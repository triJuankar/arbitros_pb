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gar\Mi unidad (arbitros.pickleballspain@gmail.com)\DATOS\"/>
    </mc:Choice>
  </mc:AlternateContent>
  <bookViews>
    <workbookView xWindow="0" yWindow="0" windowWidth="11700" windowHeight="4392" activeTab="3"/>
  </bookViews>
  <sheets>
    <sheet name="ARBITROS" sheetId="1" r:id="rId1"/>
    <sheet name="LICENCIAS" sheetId="2" r:id="rId2"/>
    <sheet name="SOLICITUDES" sheetId="4" r:id="rId3"/>
    <sheet name="CURSOS" sheetId="5" r:id="rId4"/>
    <sheet name="GRUPOS GMAIL CURSOS" sheetId="6" r:id="rId5"/>
    <sheet name="CATALOGOS" sheetId="7" r:id="rId6"/>
    <sheet name="Hoja1" sheetId="8" r:id="rId7"/>
  </sheets>
  <functionGroups builtInGroupCount="18"/>
  <definedNames>
    <definedName name="_xlnm._FilterDatabase" localSheetId="0" hidden="1">ARBITROS!$A$1:$U$1</definedName>
    <definedName name="_xlnm._FilterDatabase" localSheetId="1" hidden="1">LICENCIAS!$A$1:$I$1</definedName>
    <definedName name="_xlnm._FilterDatabase" localSheetId="2" hidden="1">SOLICITUDES!$A$1:$V$1</definedName>
  </definedNames>
  <calcPr calcId="162913"/>
  <extLst>
    <ext uri="GoogleSheetsCustomDataVersion2">
      <go:sheetsCustomData xmlns:go="http://customooxmlschemas.google.com/" r:id="rId13" roundtripDataChecksum="NG7AIVdCt9OI4nActpHmR2wds9GvVVswM4O1q/kosvw="/>
    </ext>
  </extLst>
</workbook>
</file>

<file path=xl/calcChain.xml><?xml version="1.0" encoding="utf-8"?>
<calcChain xmlns="http://schemas.openxmlformats.org/spreadsheetml/2006/main">
  <c r="AC53" i="6" l="1"/>
  <c r="AC54" i="6"/>
  <c r="AC55" i="6"/>
  <c r="AC56" i="6"/>
  <c r="AC57" i="6"/>
  <c r="AC58" i="6"/>
  <c r="AC59" i="6"/>
  <c r="AC60" i="6"/>
  <c r="AC61" i="6"/>
  <c r="O26" i="1" l="1"/>
  <c r="O25" i="1"/>
  <c r="O23" i="1"/>
  <c r="O21" i="1"/>
  <c r="O19" i="1"/>
  <c r="O15" i="1"/>
  <c r="O14" i="1"/>
  <c r="O10" i="1"/>
  <c r="O9" i="1"/>
  <c r="O8" i="1"/>
  <c r="O7" i="1"/>
  <c r="O6" i="1"/>
  <c r="O5" i="1"/>
  <c r="O4" i="1"/>
  <c r="O3" i="1"/>
  <c r="O2" i="1"/>
  <c r="L43" i="5" l="1"/>
  <c r="L18" i="5"/>
  <c r="L3" i="5" l="1"/>
  <c r="L4" i="5"/>
  <c r="L5" i="5"/>
  <c r="L6" i="5"/>
  <c r="L7" i="5"/>
  <c r="L8" i="5"/>
  <c r="L9" i="5"/>
  <c r="L10" i="5"/>
  <c r="L11" i="5"/>
  <c r="L13" i="5"/>
  <c r="L14" i="5"/>
  <c r="L15" i="5"/>
  <c r="L16" i="5"/>
  <c r="L17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2" i="5"/>
  <c r="B42" i="5"/>
  <c r="B41" i="5"/>
  <c r="B43" i="5"/>
  <c r="J68" i="5" l="1"/>
  <c r="I15" i="8" l="1"/>
  <c r="K15" i="8" s="1"/>
  <c r="E15" i="8"/>
  <c r="G15" i="8" s="1"/>
  <c r="I14" i="8"/>
  <c r="K14" i="8" s="1"/>
  <c r="E14" i="8"/>
  <c r="G14" i="8" s="1"/>
  <c r="J13" i="8"/>
  <c r="I13" i="8"/>
  <c r="K13" i="8" s="1"/>
  <c r="E13" i="8"/>
  <c r="G13" i="8" s="1"/>
  <c r="I12" i="8"/>
  <c r="K12" i="8" s="1"/>
  <c r="E12" i="8"/>
  <c r="G12" i="8" s="1"/>
  <c r="I11" i="8"/>
  <c r="K11" i="8" s="1"/>
  <c r="E11" i="8"/>
  <c r="G11" i="8" s="1"/>
  <c r="I10" i="8"/>
  <c r="K10" i="8" s="1"/>
  <c r="E10" i="8"/>
  <c r="G10" i="8" s="1"/>
  <c r="I9" i="8"/>
  <c r="K9" i="8" s="1"/>
  <c r="E9" i="8"/>
  <c r="G9" i="8" s="1"/>
  <c r="J8" i="8"/>
  <c r="I8" i="8"/>
  <c r="K8" i="8" s="1"/>
  <c r="E8" i="8"/>
  <c r="G8" i="8" s="1"/>
  <c r="I7" i="8"/>
  <c r="K7" i="8" s="1"/>
  <c r="E7" i="8"/>
  <c r="G7" i="8" s="1"/>
  <c r="I6" i="8"/>
  <c r="K6" i="8" s="1"/>
  <c r="E6" i="8"/>
  <c r="G6" i="8" s="1"/>
  <c r="I5" i="8"/>
  <c r="K5" i="8" s="1"/>
  <c r="E5" i="8"/>
  <c r="G5" i="8" s="1"/>
  <c r="I4" i="8"/>
  <c r="K4" i="8" s="1"/>
  <c r="E4" i="8"/>
  <c r="G4" i="8" s="1"/>
  <c r="AE61" i="6"/>
  <c r="D61" i="6"/>
  <c r="B61" i="6"/>
  <c r="AE60" i="6"/>
  <c r="D60" i="6"/>
  <c r="B60" i="6"/>
  <c r="AE59" i="6"/>
  <c r="D59" i="6"/>
  <c r="B59" i="6"/>
  <c r="AE58" i="6"/>
  <c r="D58" i="6"/>
  <c r="B58" i="6"/>
  <c r="AE57" i="6"/>
  <c r="D57" i="6"/>
  <c r="B57" i="6"/>
  <c r="AE56" i="6"/>
  <c r="D56" i="6"/>
  <c r="B56" i="6"/>
  <c r="AE55" i="6"/>
  <c r="D55" i="6"/>
  <c r="B55" i="6"/>
  <c r="AE54" i="6"/>
  <c r="D54" i="6"/>
  <c r="B54" i="6"/>
  <c r="AE53" i="6"/>
  <c r="D53" i="6"/>
  <c r="B53" i="6"/>
  <c r="AE52" i="6"/>
  <c r="D52" i="6"/>
  <c r="B52" i="6"/>
  <c r="AE51" i="6"/>
  <c r="D51" i="6"/>
  <c r="B51" i="6"/>
  <c r="AE50" i="6"/>
  <c r="D50" i="6"/>
  <c r="B50" i="6"/>
  <c r="AE49" i="6"/>
  <c r="D49" i="6"/>
  <c r="B49" i="6"/>
  <c r="AE48" i="6"/>
  <c r="D48" i="6"/>
  <c r="B48" i="6"/>
  <c r="AE47" i="6"/>
  <c r="D47" i="6"/>
  <c r="B47" i="6"/>
  <c r="AE46" i="6"/>
  <c r="D46" i="6"/>
  <c r="B46" i="6"/>
  <c r="AE45" i="6"/>
  <c r="D45" i="6"/>
  <c r="B45" i="6"/>
  <c r="AE44" i="6"/>
  <c r="D44" i="6"/>
  <c r="B44" i="6"/>
  <c r="AE43" i="6"/>
  <c r="D43" i="6"/>
  <c r="B43" i="6"/>
  <c r="AE42" i="6"/>
  <c r="D42" i="6"/>
  <c r="B42" i="6"/>
  <c r="AE41" i="6"/>
  <c r="D41" i="6"/>
  <c r="B41" i="6"/>
  <c r="AE40" i="6"/>
  <c r="D40" i="6"/>
  <c r="B40" i="6"/>
  <c r="AE39" i="6"/>
  <c r="D39" i="6"/>
  <c r="B39" i="6"/>
  <c r="AE38" i="6"/>
  <c r="D38" i="6"/>
  <c r="B38" i="6"/>
  <c r="AE37" i="6"/>
  <c r="D37" i="6"/>
  <c r="B37" i="6"/>
  <c r="AE36" i="6"/>
  <c r="D36" i="6"/>
  <c r="B36" i="6"/>
  <c r="AE35" i="6"/>
  <c r="D35" i="6"/>
  <c r="B35" i="6"/>
  <c r="AE34" i="6"/>
  <c r="D34" i="6"/>
  <c r="B34" i="6"/>
  <c r="AE33" i="6"/>
  <c r="D33" i="6"/>
  <c r="B33" i="6"/>
  <c r="AE32" i="6"/>
  <c r="D32" i="6"/>
  <c r="B32" i="6"/>
  <c r="AE31" i="6"/>
  <c r="D31" i="6"/>
  <c r="B31" i="6"/>
  <c r="AE30" i="6"/>
  <c r="D30" i="6"/>
  <c r="B30" i="6"/>
  <c r="AE29" i="6"/>
  <c r="D29" i="6"/>
  <c r="B29" i="6"/>
  <c r="AE28" i="6"/>
  <c r="D28" i="6"/>
  <c r="B28" i="6"/>
  <c r="AE27" i="6"/>
  <c r="D27" i="6"/>
  <c r="B27" i="6"/>
  <c r="AE26" i="6"/>
  <c r="D26" i="6"/>
  <c r="B26" i="6"/>
  <c r="AE25" i="6"/>
  <c r="D25" i="6"/>
  <c r="B25" i="6"/>
  <c r="AE24" i="6"/>
  <c r="D24" i="6"/>
  <c r="B24" i="6"/>
  <c r="AE23" i="6"/>
  <c r="D23" i="6"/>
  <c r="B23" i="6"/>
  <c r="AE22" i="6"/>
  <c r="D22" i="6"/>
  <c r="B22" i="6"/>
  <c r="AE21" i="6"/>
  <c r="D21" i="6"/>
  <c r="B21" i="6"/>
  <c r="AE20" i="6"/>
  <c r="D20" i="6"/>
  <c r="B20" i="6"/>
  <c r="AE19" i="6"/>
  <c r="D19" i="6"/>
  <c r="B19" i="6"/>
  <c r="AE18" i="6"/>
  <c r="D18" i="6"/>
  <c r="B18" i="6"/>
  <c r="AE17" i="6"/>
  <c r="D17" i="6"/>
  <c r="B17" i="6"/>
  <c r="AE16" i="6"/>
  <c r="D16" i="6"/>
  <c r="B16" i="6"/>
  <c r="AE15" i="6"/>
  <c r="D15" i="6"/>
  <c r="B15" i="6"/>
  <c r="AE14" i="6"/>
  <c r="D14" i="6"/>
  <c r="B14" i="6"/>
  <c r="AE13" i="6"/>
  <c r="D13" i="6"/>
  <c r="B13" i="6"/>
  <c r="AE12" i="6"/>
  <c r="D12" i="6"/>
  <c r="B12" i="6"/>
  <c r="AE11" i="6"/>
  <c r="D11" i="6"/>
  <c r="B11" i="6"/>
  <c r="AE10" i="6"/>
  <c r="D10" i="6"/>
  <c r="B10" i="6"/>
  <c r="AE9" i="6"/>
  <c r="D9" i="6"/>
  <c r="B9" i="6"/>
  <c r="AE8" i="6"/>
  <c r="D8" i="6"/>
  <c r="B8" i="6"/>
  <c r="AE7" i="6"/>
  <c r="D7" i="6"/>
  <c r="B7" i="6"/>
  <c r="AE6" i="6"/>
  <c r="D6" i="6"/>
  <c r="B6" i="6"/>
  <c r="AE5" i="6"/>
  <c r="D5" i="6"/>
  <c r="B5" i="6"/>
  <c r="AE4" i="6"/>
  <c r="D4" i="6"/>
  <c r="B4" i="6"/>
  <c r="AE3" i="6"/>
  <c r="D3" i="6"/>
  <c r="B3" i="6"/>
  <c r="AE2" i="6"/>
  <c r="D2" i="6"/>
  <c r="B2" i="6"/>
  <c r="K67" i="5"/>
  <c r="J67" i="5"/>
  <c r="K66" i="5"/>
  <c r="J66" i="5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R29" i="1"/>
  <c r="E29" i="1"/>
  <c r="R28" i="1"/>
  <c r="E28" i="1"/>
  <c r="R27" i="1"/>
  <c r="E27" i="1"/>
  <c r="R26" i="1"/>
  <c r="E26" i="1"/>
  <c r="R25" i="1"/>
  <c r="E25" i="1"/>
  <c r="R24" i="1"/>
  <c r="E24" i="1"/>
  <c r="R23" i="1"/>
  <c r="E23" i="1"/>
  <c r="R22" i="1"/>
  <c r="E22" i="1"/>
  <c r="R21" i="1"/>
  <c r="E21" i="1"/>
  <c r="R20" i="1"/>
  <c r="E20" i="1"/>
  <c r="R19" i="1"/>
  <c r="E19" i="1"/>
  <c r="R18" i="1"/>
  <c r="E18" i="1"/>
  <c r="R17" i="1"/>
  <c r="E17" i="1"/>
  <c r="R16" i="1"/>
  <c r="E16" i="1"/>
  <c r="R15" i="1"/>
  <c r="E15" i="1"/>
  <c r="R14" i="1"/>
  <c r="E14" i="1"/>
  <c r="R13" i="1"/>
  <c r="E13" i="1"/>
  <c r="R12" i="1"/>
  <c r="E12" i="1"/>
  <c r="R11" i="1"/>
  <c r="E11" i="1"/>
  <c r="R10" i="1"/>
  <c r="E10" i="1"/>
  <c r="R9" i="1"/>
  <c r="E9" i="1"/>
  <c r="R8" i="1"/>
  <c r="E8" i="1"/>
  <c r="R7" i="1"/>
  <c r="E7" i="1"/>
  <c r="R6" i="1"/>
  <c r="E6" i="1"/>
  <c r="R5" i="1"/>
  <c r="E5" i="1"/>
  <c r="R4" i="1"/>
  <c r="E4" i="1"/>
  <c r="R3" i="1"/>
  <c r="E3" i="1"/>
  <c r="R2" i="1"/>
  <c r="E2" i="1"/>
  <c r="C97" i="4"/>
  <c r="B33" i="5"/>
  <c r="B22" i="5"/>
  <c r="C70" i="4"/>
  <c r="B58" i="5"/>
  <c r="B40" i="5"/>
  <c r="B39" i="5"/>
  <c r="B34" i="5"/>
  <c r="C77" i="4"/>
  <c r="C11" i="4"/>
  <c r="B24" i="5"/>
  <c r="B15" i="5"/>
  <c r="C64" i="4"/>
  <c r="B2" i="5"/>
  <c r="C92" i="4"/>
  <c r="C24" i="4"/>
  <c r="C33" i="4"/>
  <c r="B55" i="5"/>
  <c r="B10" i="5"/>
  <c r="C84" i="4"/>
  <c r="B32" i="5"/>
  <c r="C74" i="4"/>
  <c r="B12" i="5"/>
  <c r="B31" i="5"/>
  <c r="C39" i="4"/>
  <c r="C83" i="4"/>
  <c r="C27" i="4"/>
  <c r="C35" i="4"/>
  <c r="B36" i="5"/>
  <c r="C3" i="4"/>
  <c r="B63" i="5"/>
  <c r="C85" i="4"/>
  <c r="B11" i="5"/>
  <c r="B52" i="5"/>
  <c r="B8" i="5"/>
  <c r="C49" i="4"/>
  <c r="B57" i="5"/>
  <c r="B14" i="5"/>
  <c r="B4" i="5"/>
  <c r="C2" i="4"/>
  <c r="B65" i="5"/>
  <c r="C43" i="4"/>
  <c r="B16" i="5"/>
  <c r="C61" i="4"/>
  <c r="C62" i="4"/>
  <c r="B5" i="5"/>
  <c r="B61" i="5"/>
  <c r="B26" i="5"/>
  <c r="C65" i="4"/>
  <c r="B30" i="5"/>
  <c r="C56" i="4"/>
  <c r="C25" i="4"/>
  <c r="C66" i="4"/>
  <c r="C96" i="4"/>
  <c r="C94" i="4"/>
  <c r="B50" i="5"/>
  <c r="C73" i="4"/>
  <c r="B54" i="5"/>
  <c r="B23" i="5"/>
  <c r="C10" i="4"/>
  <c r="B27" i="5"/>
  <c r="B62" i="5"/>
  <c r="C91" i="4"/>
  <c r="B3" i="5"/>
  <c r="C72" i="4"/>
  <c r="C78" i="4"/>
  <c r="B51" i="5"/>
  <c r="C55" i="4"/>
  <c r="C68" i="4"/>
  <c r="C31" i="4"/>
  <c r="C32" i="4"/>
  <c r="B47" i="5"/>
  <c r="C89" i="4"/>
  <c r="C90" i="4"/>
  <c r="C76" i="4"/>
  <c r="C20" i="4"/>
  <c r="C47" i="4"/>
  <c r="C42" i="4"/>
  <c r="C9" i="4"/>
  <c r="C38" i="4"/>
  <c r="C52" i="4"/>
  <c r="C37" i="4"/>
  <c r="C5" i="4"/>
  <c r="B19" i="5"/>
  <c r="B35" i="5"/>
  <c r="B60" i="5"/>
  <c r="C57" i="4"/>
  <c r="C40" i="4"/>
  <c r="C53" i="4"/>
  <c r="C7" i="4"/>
  <c r="B6" i="5"/>
  <c r="B38" i="5"/>
  <c r="C75" i="4"/>
  <c r="C69" i="4"/>
  <c r="C67" i="4"/>
  <c r="C21" i="4"/>
  <c r="B37" i="5"/>
  <c r="C16" i="4"/>
  <c r="B9" i="5"/>
  <c r="C12" i="4"/>
  <c r="C15" i="4"/>
  <c r="C79" i="4"/>
  <c r="C22" i="4"/>
  <c r="C29" i="4"/>
  <c r="C34" i="4"/>
  <c r="C81" i="4"/>
  <c r="B46" i="5"/>
  <c r="C63" i="4"/>
  <c r="B17" i="5"/>
  <c r="C6" i="4"/>
  <c r="C28" i="4"/>
  <c r="C59" i="4"/>
  <c r="C14" i="4"/>
  <c r="C23" i="4"/>
  <c r="B25" i="5"/>
  <c r="B18" i="5"/>
  <c r="C48" i="4"/>
  <c r="B13" i="5"/>
  <c r="C58" i="4"/>
  <c r="B59" i="5"/>
  <c r="C80" i="4"/>
  <c r="C18" i="4"/>
  <c r="B28" i="5"/>
  <c r="C41" i="4"/>
  <c r="B21" i="5"/>
  <c r="C36" i="4"/>
  <c r="C26" i="4"/>
  <c r="B20" i="5"/>
  <c r="C51" i="4"/>
  <c r="B49" i="5"/>
  <c r="B7" i="5"/>
  <c r="B29" i="5"/>
  <c r="C19" i="4"/>
  <c r="C13" i="4"/>
  <c r="C46" i="4"/>
  <c r="C86" i="4"/>
  <c r="C88" i="4"/>
  <c r="C93" i="4"/>
  <c r="C50" i="4"/>
  <c r="C87" i="4"/>
  <c r="C60" i="4"/>
  <c r="C17" i="4"/>
  <c r="B53" i="5"/>
  <c r="C4" i="4"/>
  <c r="B48" i="5"/>
  <c r="C54" i="4"/>
  <c r="C71" i="4"/>
  <c r="C95" i="4"/>
  <c r="C45" i="4"/>
  <c r="B64" i="5"/>
  <c r="B56" i="5"/>
  <c r="B45" i="5"/>
  <c r="C30" i="4"/>
  <c r="O29" i="1" l="1"/>
  <c r="O13" i="1"/>
  <c r="O28" i="1"/>
  <c r="O20" i="1"/>
  <c r="O12" i="1"/>
  <c r="O22" i="1"/>
  <c r="O27" i="1"/>
  <c r="O11" i="1"/>
  <c r="O18" i="1"/>
  <c r="O17" i="1"/>
  <c r="O24" i="1"/>
  <c r="O16" i="1"/>
  <c r="J6" i="8"/>
  <c r="F7" i="8"/>
  <c r="F14" i="8"/>
  <c r="E79" i="4"/>
  <c r="F79" i="4"/>
  <c r="H79" i="4"/>
  <c r="G79" i="4"/>
  <c r="H81" i="4"/>
  <c r="E81" i="4"/>
  <c r="F81" i="4"/>
  <c r="G81" i="4"/>
  <c r="H38" i="4"/>
  <c r="AC38" i="6" s="1"/>
  <c r="E38" i="4"/>
  <c r="F38" i="4"/>
  <c r="G38" i="4"/>
  <c r="H68" i="4"/>
  <c r="E68" i="4"/>
  <c r="F68" i="4"/>
  <c r="G68" i="4"/>
  <c r="H51" i="4"/>
  <c r="AC51" i="6" s="1"/>
  <c r="E51" i="4"/>
  <c r="F51" i="4"/>
  <c r="G51" i="4"/>
  <c r="H2" i="4"/>
  <c r="G2" i="4"/>
  <c r="F2" i="4"/>
  <c r="E2" i="4"/>
  <c r="E34" i="4"/>
  <c r="H34" i="4"/>
  <c r="F34" i="4"/>
  <c r="G34" i="4"/>
  <c r="G20" i="4"/>
  <c r="E20" i="4"/>
  <c r="H20" i="4"/>
  <c r="F20" i="4"/>
  <c r="E67" i="4"/>
  <c r="F67" i="4"/>
  <c r="H67" i="4"/>
  <c r="G67" i="4"/>
  <c r="H27" i="4"/>
  <c r="E27" i="4"/>
  <c r="F27" i="4"/>
  <c r="G27" i="4"/>
  <c r="H83" i="4"/>
  <c r="E83" i="4"/>
  <c r="F83" i="4"/>
  <c r="G83" i="4"/>
  <c r="E48" i="4"/>
  <c r="G48" i="4"/>
  <c r="H48" i="4"/>
  <c r="F48" i="4"/>
  <c r="E42" i="4"/>
  <c r="F42" i="4"/>
  <c r="G42" i="4"/>
  <c r="H42" i="4"/>
  <c r="H3" i="4"/>
  <c r="E3" i="4"/>
  <c r="F3" i="4"/>
  <c r="G3" i="4"/>
  <c r="E90" i="4"/>
  <c r="H90" i="4"/>
  <c r="F90" i="4"/>
  <c r="G90" i="4"/>
  <c r="H75" i="4"/>
  <c r="E75" i="4"/>
  <c r="F75" i="4"/>
  <c r="G75" i="4"/>
  <c r="E19" i="4"/>
  <c r="F19" i="4"/>
  <c r="G19" i="4"/>
  <c r="H19" i="4"/>
  <c r="E40" i="4"/>
  <c r="H40" i="4"/>
  <c r="F40" i="4"/>
  <c r="G40" i="4"/>
  <c r="E46" i="4"/>
  <c r="H46" i="4"/>
  <c r="G46" i="4"/>
  <c r="F46" i="4"/>
  <c r="H62" i="4"/>
  <c r="E62" i="4"/>
  <c r="F62" i="4"/>
  <c r="G62" i="4"/>
  <c r="E52" i="4"/>
  <c r="F52" i="4"/>
  <c r="H52" i="4"/>
  <c r="G52" i="4"/>
  <c r="H50" i="4"/>
  <c r="E50" i="4"/>
  <c r="F50" i="4"/>
  <c r="G50" i="4"/>
  <c r="E72" i="4"/>
  <c r="F72" i="4"/>
  <c r="H72" i="4"/>
  <c r="G72" i="4"/>
  <c r="H93" i="4"/>
  <c r="E93" i="4"/>
  <c r="F93" i="4"/>
  <c r="G93" i="4"/>
  <c r="E54" i="4"/>
  <c r="F54" i="4"/>
  <c r="H54" i="4"/>
  <c r="G54" i="4"/>
  <c r="H74" i="4"/>
  <c r="E74" i="4"/>
  <c r="F74" i="4"/>
  <c r="G74" i="4"/>
  <c r="H63" i="4"/>
  <c r="E63" i="4"/>
  <c r="F63" i="4"/>
  <c r="G63" i="4"/>
  <c r="H92" i="4"/>
  <c r="E92" i="4"/>
  <c r="F92" i="4"/>
  <c r="G92" i="4"/>
  <c r="G29" i="4"/>
  <c r="H29" i="4"/>
  <c r="E29" i="4"/>
  <c r="F29" i="4"/>
  <c r="H32" i="4"/>
  <c r="E32" i="4"/>
  <c r="F32" i="4"/>
  <c r="G32" i="4"/>
  <c r="G45" i="4"/>
  <c r="H45" i="4"/>
  <c r="E45" i="4"/>
  <c r="F45" i="4"/>
  <c r="G28" i="4"/>
  <c r="H28" i="4"/>
  <c r="E28" i="4"/>
  <c r="F28" i="4"/>
  <c r="E73" i="4"/>
  <c r="F73" i="4"/>
  <c r="H73" i="4"/>
  <c r="G73" i="4"/>
  <c r="E7" i="4"/>
  <c r="F7" i="4"/>
  <c r="G7" i="4"/>
  <c r="H7" i="4"/>
  <c r="E84" i="4"/>
  <c r="H84" i="4"/>
  <c r="F84" i="4"/>
  <c r="G84" i="4"/>
  <c r="G12" i="4"/>
  <c r="H12" i="4"/>
  <c r="E12" i="4"/>
  <c r="F12" i="4"/>
  <c r="G31" i="4"/>
  <c r="E31" i="4"/>
  <c r="H31" i="4"/>
  <c r="F31" i="4"/>
  <c r="H77" i="4"/>
  <c r="E77" i="4"/>
  <c r="F77" i="4"/>
  <c r="G77" i="4"/>
  <c r="H86" i="4"/>
  <c r="E86" i="4"/>
  <c r="F86" i="4"/>
  <c r="G86" i="4"/>
  <c r="G22" i="4"/>
  <c r="H22" i="4"/>
  <c r="E22" i="4"/>
  <c r="F22" i="4"/>
  <c r="E78" i="4"/>
  <c r="H78" i="4"/>
  <c r="F78" i="4"/>
  <c r="G78" i="4"/>
  <c r="E58" i="4"/>
  <c r="F58" i="4"/>
  <c r="H58" i="4"/>
  <c r="G58" i="4"/>
  <c r="G33" i="4"/>
  <c r="H33" i="4"/>
  <c r="E33" i="4"/>
  <c r="F33" i="4"/>
  <c r="E11" i="4"/>
  <c r="H11" i="4"/>
  <c r="F11" i="4"/>
  <c r="G11" i="4"/>
  <c r="H57" i="4"/>
  <c r="E57" i="4"/>
  <c r="F57" i="4"/>
  <c r="G57" i="4"/>
  <c r="H53" i="4"/>
  <c r="E53" i="4"/>
  <c r="F53" i="4"/>
  <c r="G53" i="4"/>
  <c r="G39" i="4"/>
  <c r="H39" i="4"/>
  <c r="E39" i="4"/>
  <c r="F39" i="4"/>
  <c r="H95" i="4"/>
  <c r="F95" i="4"/>
  <c r="G95" i="4"/>
  <c r="E95" i="4"/>
  <c r="F97" i="4"/>
  <c r="H97" i="4"/>
  <c r="G97" i="4"/>
  <c r="E97" i="4"/>
  <c r="E76" i="4"/>
  <c r="F76" i="4"/>
  <c r="H76" i="4"/>
  <c r="G76" i="4"/>
  <c r="E49" i="4"/>
  <c r="F49" i="4"/>
  <c r="H49" i="4"/>
  <c r="G49" i="4"/>
  <c r="H15" i="4"/>
  <c r="E15" i="4"/>
  <c r="F15" i="4"/>
  <c r="G15" i="4"/>
  <c r="H47" i="4"/>
  <c r="AC47" i="6" s="1"/>
  <c r="E47" i="4"/>
  <c r="F47" i="4"/>
  <c r="G47" i="4"/>
  <c r="H9" i="4"/>
  <c r="E9" i="4"/>
  <c r="F9" i="4"/>
  <c r="G9" i="4"/>
  <c r="G24" i="4"/>
  <c r="H24" i="4"/>
  <c r="E24" i="4"/>
  <c r="F24" i="4"/>
  <c r="E25" i="4"/>
  <c r="F25" i="4"/>
  <c r="G25" i="4"/>
  <c r="H25" i="4"/>
  <c r="G4" i="4"/>
  <c r="H4" i="4"/>
  <c r="E4" i="4"/>
  <c r="F4" i="4"/>
  <c r="H80" i="4"/>
  <c r="E80" i="4"/>
  <c r="F80" i="4"/>
  <c r="G80" i="4"/>
  <c r="E88" i="4"/>
  <c r="F88" i="4"/>
  <c r="H88" i="4"/>
  <c r="G88" i="4"/>
  <c r="E23" i="4"/>
  <c r="H23" i="4"/>
  <c r="F23" i="4"/>
  <c r="G23" i="4"/>
  <c r="H87" i="4"/>
  <c r="E87" i="4"/>
  <c r="F87" i="4"/>
  <c r="G87" i="4"/>
  <c r="H69" i="4"/>
  <c r="E69" i="4"/>
  <c r="F69" i="4"/>
  <c r="G69" i="4"/>
  <c r="G43" i="4"/>
  <c r="E43" i="4"/>
  <c r="H43" i="4"/>
  <c r="F43" i="4"/>
  <c r="E55" i="4"/>
  <c r="F55" i="4"/>
  <c r="H55" i="4"/>
  <c r="G55" i="4"/>
  <c r="E96" i="4"/>
  <c r="F96" i="4"/>
  <c r="H96" i="4"/>
  <c r="G96" i="4"/>
  <c r="H65" i="4"/>
  <c r="E65" i="4"/>
  <c r="F65" i="4"/>
  <c r="G65" i="4"/>
  <c r="H59" i="4"/>
  <c r="E59" i="4"/>
  <c r="F59" i="4"/>
  <c r="G59" i="4"/>
  <c r="E17" i="4"/>
  <c r="H17" i="4"/>
  <c r="F17" i="4"/>
  <c r="G17" i="4"/>
  <c r="G37" i="4"/>
  <c r="E37" i="4"/>
  <c r="H37" i="4"/>
  <c r="F37" i="4"/>
  <c r="G10" i="4"/>
  <c r="H10" i="4"/>
  <c r="E10" i="4"/>
  <c r="F10" i="4"/>
  <c r="E61" i="4"/>
  <c r="F61" i="4"/>
  <c r="H61" i="4"/>
  <c r="G61" i="4"/>
  <c r="G18" i="4"/>
  <c r="H18" i="4"/>
  <c r="E18" i="4"/>
  <c r="F18" i="4"/>
  <c r="H71" i="4"/>
  <c r="E71" i="4"/>
  <c r="F71" i="4"/>
  <c r="G71" i="4"/>
  <c r="G14" i="4"/>
  <c r="E14" i="4"/>
  <c r="H14" i="4"/>
  <c r="F14" i="4"/>
  <c r="E30" i="4"/>
  <c r="F30" i="4"/>
  <c r="G30" i="4"/>
  <c r="H30" i="4"/>
  <c r="H89" i="4"/>
  <c r="E89" i="4"/>
  <c r="F89" i="4"/>
  <c r="G89" i="4"/>
  <c r="G26" i="4"/>
  <c r="E26" i="4"/>
  <c r="H26" i="4"/>
  <c r="F26" i="4"/>
  <c r="E13" i="4"/>
  <c r="F13" i="4"/>
  <c r="G13" i="4"/>
  <c r="H13" i="4"/>
  <c r="H44" i="4"/>
  <c r="AC44" i="6" s="1"/>
  <c r="E44" i="4"/>
  <c r="F44" i="4"/>
  <c r="G44" i="4"/>
  <c r="E5" i="4"/>
  <c r="H5" i="4"/>
  <c r="F5" i="4"/>
  <c r="G5" i="4"/>
  <c r="G41" i="4"/>
  <c r="H41" i="4"/>
  <c r="E41" i="4"/>
  <c r="F41" i="4"/>
  <c r="G35" i="4"/>
  <c r="H35" i="4"/>
  <c r="E35" i="4"/>
  <c r="F35" i="4"/>
  <c r="E91" i="4"/>
  <c r="F91" i="4"/>
  <c r="H91" i="4"/>
  <c r="G91" i="4"/>
  <c r="E66" i="4"/>
  <c r="F66" i="4"/>
  <c r="H66" i="4"/>
  <c r="G66" i="4"/>
  <c r="E60" i="4"/>
  <c r="F60" i="4"/>
  <c r="H60" i="4"/>
  <c r="G60" i="4"/>
  <c r="E70" i="4"/>
  <c r="H70" i="4"/>
  <c r="F70" i="4"/>
  <c r="G70" i="4"/>
  <c r="E85" i="4"/>
  <c r="F85" i="4"/>
  <c r="H85" i="4"/>
  <c r="G85" i="4"/>
  <c r="E36" i="4"/>
  <c r="F36" i="4"/>
  <c r="G36" i="4"/>
  <c r="H36" i="4"/>
  <c r="H56" i="4"/>
  <c r="E56" i="4"/>
  <c r="F56" i="4"/>
  <c r="G56" i="4"/>
  <c r="E64" i="4"/>
  <c r="H64" i="4"/>
  <c r="F64" i="4"/>
  <c r="G64" i="4"/>
  <c r="G6" i="4"/>
  <c r="H6" i="4"/>
  <c r="E6" i="4"/>
  <c r="F6" i="4"/>
  <c r="H21" i="4"/>
  <c r="E21" i="4"/>
  <c r="F21" i="4"/>
  <c r="G21" i="4"/>
  <c r="E94" i="4"/>
  <c r="H94" i="4"/>
  <c r="F94" i="4"/>
  <c r="G94" i="4"/>
  <c r="G16" i="4"/>
  <c r="H16" i="4"/>
  <c r="E16" i="4"/>
  <c r="F16" i="4"/>
  <c r="F10" i="8"/>
  <c r="J5" i="8"/>
  <c r="L5" i="8" s="1"/>
  <c r="F11" i="8"/>
  <c r="H11" i="8" s="1"/>
  <c r="F13" i="8"/>
  <c r="H13" i="8" s="1"/>
  <c r="J14" i="8"/>
  <c r="L14" i="8" s="1"/>
  <c r="J9" i="8"/>
  <c r="F4" i="8"/>
  <c r="H4" i="8" s="1"/>
  <c r="F8" i="8"/>
  <c r="J11" i="8"/>
  <c r="L6" i="8"/>
  <c r="H8" i="8"/>
  <c r="L9" i="8"/>
  <c r="H14" i="8"/>
  <c r="F5" i="8"/>
  <c r="H5" i="8" s="1"/>
  <c r="J12" i="8"/>
  <c r="L12" i="8" s="1"/>
  <c r="H7" i="8"/>
  <c r="L8" i="8"/>
  <c r="H10" i="8"/>
  <c r="L11" i="8"/>
  <c r="L13" i="8"/>
  <c r="J4" i="8"/>
  <c r="L4" i="8" s="1"/>
  <c r="F6" i="8"/>
  <c r="H6" i="8" s="1"/>
  <c r="J7" i="8"/>
  <c r="L7" i="8" s="1"/>
  <c r="F9" i="8"/>
  <c r="H9" i="8" s="1"/>
  <c r="J10" i="8"/>
  <c r="L10" i="8" s="1"/>
  <c r="F12" i="8"/>
  <c r="H12" i="8" s="1"/>
  <c r="C5" i="6"/>
  <c r="C18" i="6"/>
  <c r="C21" i="6"/>
  <c r="C57" i="6"/>
  <c r="C9" i="6"/>
  <c r="C15" i="6"/>
  <c r="C24" i="6"/>
  <c r="C27" i="6"/>
  <c r="C29" i="6"/>
  <c r="C33" i="6"/>
  <c r="C37" i="6"/>
  <c r="C49" i="6"/>
  <c r="C3" i="6"/>
  <c r="C12" i="6"/>
  <c r="C42" i="6"/>
  <c r="C54" i="6"/>
  <c r="C6" i="6"/>
  <c r="C16" i="6"/>
  <c r="C19" i="6"/>
  <c r="C22" i="6"/>
  <c r="C25" i="6"/>
  <c r="C28" i="6"/>
  <c r="C34" i="6"/>
  <c r="C46" i="6"/>
  <c r="C59" i="6"/>
  <c r="C10" i="6"/>
  <c r="C30" i="6"/>
  <c r="C39" i="6"/>
  <c r="C51" i="6"/>
  <c r="C4" i="6"/>
  <c r="C7" i="6"/>
  <c r="C17" i="6"/>
  <c r="C44" i="6"/>
  <c r="C56" i="6"/>
  <c r="C20" i="6"/>
  <c r="C23" i="6"/>
  <c r="C26" i="6"/>
  <c r="C36" i="6"/>
  <c r="C48" i="6"/>
  <c r="C60" i="6"/>
  <c r="C2" i="6"/>
  <c r="C11" i="6"/>
  <c r="C14" i="6"/>
  <c r="C32" i="6"/>
  <c r="C41" i="6"/>
  <c r="C52" i="6"/>
  <c r="C31" i="6"/>
  <c r="C40" i="6"/>
  <c r="C47" i="6"/>
  <c r="C55" i="6"/>
  <c r="C35" i="6"/>
  <c r="C43" i="6"/>
  <c r="C50" i="6"/>
  <c r="C58" i="6"/>
  <c r="C38" i="6"/>
  <c r="C45" i="6"/>
  <c r="C53" i="6"/>
  <c r="C61" i="6"/>
  <c r="L67" i="5"/>
  <c r="F15" i="8"/>
  <c r="H15" i="8" s="1"/>
  <c r="J15" i="8"/>
  <c r="L15" i="8" s="1"/>
  <c r="C8" i="4"/>
  <c r="C82" i="4"/>
  <c r="AC14" i="6" l="1"/>
  <c r="AC48" i="6"/>
  <c r="AC20" i="6"/>
  <c r="AC6" i="6"/>
  <c r="AC41" i="6"/>
  <c r="AC4" i="6"/>
  <c r="AC24" i="6"/>
  <c r="AC39" i="6"/>
  <c r="AC33" i="6"/>
  <c r="AC36" i="6"/>
  <c r="AC13" i="6"/>
  <c r="AC25" i="6"/>
  <c r="AC7" i="6"/>
  <c r="AC16" i="6"/>
  <c r="AC35" i="6"/>
  <c r="AC5" i="6"/>
  <c r="AC18" i="6"/>
  <c r="AC10" i="6"/>
  <c r="AC17" i="6"/>
  <c r="AC23" i="6"/>
  <c r="AC11" i="6"/>
  <c r="AC22" i="6"/>
  <c r="AC12" i="6"/>
  <c r="AC28" i="6"/>
  <c r="AC40" i="6"/>
  <c r="AC21" i="6"/>
  <c r="AC9" i="6"/>
  <c r="AC15" i="6"/>
  <c r="AC32" i="6"/>
  <c r="AC50" i="6"/>
  <c r="AC3" i="6"/>
  <c r="AC27" i="6"/>
  <c r="AC2" i="6"/>
  <c r="AC30" i="6"/>
  <c r="AC19" i="6"/>
  <c r="AC42" i="6"/>
  <c r="AC26" i="6"/>
  <c r="AC37" i="6"/>
  <c r="AC43" i="6"/>
  <c r="AC49" i="6"/>
  <c r="AC31" i="6"/>
  <c r="AC52" i="6"/>
  <c r="AC45" i="6"/>
  <c r="AC29" i="6"/>
  <c r="AC46" i="6"/>
  <c r="AC34" i="6"/>
  <c r="E82" i="4"/>
  <c r="F82" i="4"/>
  <c r="H82" i="4"/>
  <c r="G82" i="4"/>
  <c r="G8" i="4"/>
  <c r="E8" i="4"/>
  <c r="H8" i="4"/>
  <c r="F8" i="4"/>
  <c r="AI5" i="6"/>
  <c r="AI61" i="6"/>
  <c r="AI52" i="6"/>
  <c r="AI51" i="6"/>
  <c r="AI34" i="6"/>
  <c r="AI37" i="6"/>
  <c r="AI9" i="6"/>
  <c r="AI58" i="6"/>
  <c r="AI40" i="6"/>
  <c r="AI11" i="6"/>
  <c r="AI26" i="6"/>
  <c r="AI59" i="6"/>
  <c r="AI60" i="6"/>
  <c r="AI53" i="6"/>
  <c r="AI35" i="6"/>
  <c r="AI41" i="6"/>
  <c r="AI48" i="6"/>
  <c r="AI56" i="6"/>
  <c r="AI39" i="6"/>
  <c r="AI28" i="6"/>
  <c r="AI54" i="6"/>
  <c r="AI57" i="6"/>
  <c r="AI3" i="6"/>
  <c r="AI50" i="6"/>
  <c r="AI55" i="6"/>
  <c r="AI36" i="6"/>
  <c r="AI2" i="6"/>
  <c r="AI23" i="6"/>
  <c r="AI4" i="6"/>
  <c r="AI42" i="6"/>
  <c r="AI29" i="6"/>
  <c r="AI38" i="6"/>
  <c r="AI17" i="6"/>
  <c r="AI10" i="6"/>
  <c r="O38" i="6"/>
  <c r="O34" i="6"/>
  <c r="O42" i="6"/>
  <c r="O48" i="6"/>
  <c r="O17" i="6"/>
  <c r="O54" i="6"/>
  <c r="O58" i="6"/>
  <c r="O52" i="6"/>
  <c r="O36" i="6"/>
  <c r="O50" i="6"/>
  <c r="O41" i="6"/>
  <c r="O4" i="6"/>
  <c r="O28" i="6"/>
  <c r="O26" i="6"/>
  <c r="O51" i="6"/>
  <c r="O3" i="6"/>
  <c r="O9" i="6"/>
  <c r="O35" i="6"/>
  <c r="O23" i="6"/>
  <c r="O39" i="6"/>
  <c r="O57" i="6"/>
  <c r="O61" i="6"/>
  <c r="O55" i="6"/>
  <c r="O11" i="6"/>
  <c r="O37" i="6"/>
  <c r="O53" i="6"/>
  <c r="O2" i="6"/>
  <c r="O56" i="6"/>
  <c r="O10" i="6"/>
  <c r="O40" i="6"/>
  <c r="O60" i="6"/>
  <c r="O59" i="6"/>
  <c r="O29" i="6"/>
  <c r="O5" i="6"/>
  <c r="L10" i="1"/>
  <c r="AG20" i="6" s="1"/>
  <c r="M10" i="1"/>
  <c r="AI20" i="6" s="1"/>
  <c r="P7" i="1"/>
  <c r="Q7" i="1"/>
  <c r="H7" i="1"/>
  <c r="Q10" i="1"/>
  <c r="N7" i="1"/>
  <c r="H10" i="1"/>
  <c r="F7" i="1"/>
  <c r="I10" i="1"/>
  <c r="C8" i="6"/>
  <c r="J7" i="1"/>
  <c r="G10" i="1"/>
  <c r="N10" i="1"/>
  <c r="J10" i="1"/>
  <c r="M7" i="1"/>
  <c r="AI14" i="6" s="1"/>
  <c r="F10" i="1"/>
  <c r="L7" i="1"/>
  <c r="AG14" i="6" s="1"/>
  <c r="I7" i="1"/>
  <c r="P10" i="1"/>
  <c r="G7" i="1"/>
  <c r="D82" i="4"/>
  <c r="D21" i="4"/>
  <c r="D70" i="4"/>
  <c r="D29" i="4"/>
  <c r="D49" i="4"/>
  <c r="D92" i="4"/>
  <c r="D28" i="4"/>
  <c r="D39" i="4"/>
  <c r="D13" i="4"/>
  <c r="F25" i="1"/>
  <c r="J19" i="1"/>
  <c r="K19" i="1" s="1"/>
  <c r="H14" i="1"/>
  <c r="F9" i="1"/>
  <c r="J3" i="1"/>
  <c r="P26" i="1"/>
  <c r="J24" i="1"/>
  <c r="K24" i="1" s="1"/>
  <c r="H19" i="1"/>
  <c r="F14" i="1"/>
  <c r="J8" i="1"/>
  <c r="H3" i="1"/>
  <c r="P23" i="1"/>
  <c r="L26" i="1"/>
  <c r="Q20" i="1"/>
  <c r="N15" i="1"/>
  <c r="Q4" i="1"/>
  <c r="M27" i="1"/>
  <c r="AI30" i="6" s="1"/>
  <c r="N28" i="1"/>
  <c r="L23" i="1"/>
  <c r="AG18" i="6" s="1"/>
  <c r="Q17" i="1"/>
  <c r="N12" i="1"/>
  <c r="I26" i="1"/>
  <c r="M24" i="1"/>
  <c r="AI43" i="6" s="1"/>
  <c r="G14" i="1"/>
  <c r="P11" i="1"/>
  <c r="I9" i="1"/>
  <c r="G3" i="1"/>
  <c r="G9" i="1"/>
  <c r="I19" i="1"/>
  <c r="G19" i="1"/>
  <c r="M15" i="1"/>
  <c r="AI19" i="6" s="1"/>
  <c r="P9" i="1"/>
  <c r="D52" i="4"/>
  <c r="D31" i="4"/>
  <c r="D79" i="4"/>
  <c r="D77" i="4"/>
  <c r="M9" i="1"/>
  <c r="AI27" i="6" s="1"/>
  <c r="G8" i="1"/>
  <c r="P5" i="1"/>
  <c r="I13" i="1"/>
  <c r="D14" i="4"/>
  <c r="D66" i="4"/>
  <c r="D53" i="4"/>
  <c r="M14" i="1"/>
  <c r="AI24" i="6" s="1"/>
  <c r="D15" i="4"/>
  <c r="D3" i="4"/>
  <c r="D59" i="4"/>
  <c r="D89" i="4"/>
  <c r="D56" i="4"/>
  <c r="D20" i="4"/>
  <c r="N29" i="1"/>
  <c r="L24" i="1"/>
  <c r="AG43" i="6" s="1"/>
  <c r="Q18" i="1"/>
  <c r="N13" i="1"/>
  <c r="L8" i="1"/>
  <c r="Q2" i="1"/>
  <c r="L29" i="1"/>
  <c r="Q23" i="1"/>
  <c r="N18" i="1"/>
  <c r="L13" i="1"/>
  <c r="E4" i="2" s="1"/>
  <c r="N2" i="1"/>
  <c r="G23" i="1"/>
  <c r="J25" i="1"/>
  <c r="K25" i="1" s="1"/>
  <c r="H20" i="1"/>
  <c r="F15" i="1"/>
  <c r="J9" i="1"/>
  <c r="H4" i="1"/>
  <c r="I25" i="1"/>
  <c r="F28" i="1"/>
  <c r="J22" i="1"/>
  <c r="K22" i="1" s="1"/>
  <c r="H17" i="1"/>
  <c r="F12" i="1"/>
  <c r="J6" i="1"/>
  <c r="G25" i="1"/>
  <c r="G6" i="1"/>
  <c r="M2" i="1"/>
  <c r="AI7" i="6" s="1"/>
  <c r="G18" i="1"/>
  <c r="P15" i="1"/>
  <c r="I6" i="1"/>
  <c r="D43" i="4"/>
  <c r="D5" i="4"/>
  <c r="D83" i="4"/>
  <c r="D33" i="4"/>
  <c r="D62" i="4"/>
  <c r="D54" i="4"/>
  <c r="D6" i="4"/>
  <c r="D22" i="4"/>
  <c r="D10" i="4"/>
  <c r="D60" i="4"/>
  <c r="F29" i="1"/>
  <c r="J23" i="1"/>
  <c r="K23" i="1" s="1"/>
  <c r="H18" i="1"/>
  <c r="F13" i="1"/>
  <c r="H2" i="1"/>
  <c r="J28" i="1"/>
  <c r="K28" i="1" s="1"/>
  <c r="H23" i="1"/>
  <c r="F18" i="1"/>
  <c r="J12" i="1"/>
  <c r="F2" i="1"/>
  <c r="M22" i="1"/>
  <c r="AI45" i="6" s="1"/>
  <c r="Q24" i="1"/>
  <c r="N19" i="1"/>
  <c r="L14" i="1"/>
  <c r="E6" i="2" s="1"/>
  <c r="Q8" i="1"/>
  <c r="N3" i="1"/>
  <c r="G24" i="1"/>
  <c r="L27" i="1"/>
  <c r="Q21" i="1"/>
  <c r="N16" i="1"/>
  <c r="L11" i="1"/>
  <c r="AG33" i="6" s="1"/>
  <c r="Q5" i="1"/>
  <c r="P21" i="1"/>
  <c r="G21" i="1"/>
  <c r="P2" i="1"/>
  <c r="P3" i="1"/>
  <c r="P20" i="1"/>
  <c r="P4" i="1"/>
  <c r="M20" i="1"/>
  <c r="AI49" i="6" s="1"/>
  <c r="M4" i="1"/>
  <c r="AI15" i="6" s="1"/>
  <c r="P14" i="1"/>
  <c r="G12" i="1"/>
  <c r="D24" i="4"/>
  <c r="D34" i="4"/>
  <c r="D72" i="4"/>
  <c r="D51" i="4"/>
  <c r="D17" i="4"/>
  <c r="D68" i="4"/>
  <c r="D23" i="4"/>
  <c r="L28" i="1"/>
  <c r="Q22" i="1"/>
  <c r="N17" i="1"/>
  <c r="L12" i="1"/>
  <c r="E5" i="2" s="1"/>
  <c r="Q6" i="1"/>
  <c r="I27" i="1"/>
  <c r="Q27" i="1"/>
  <c r="N22" i="1"/>
  <c r="L17" i="1"/>
  <c r="AG44" i="6" s="1"/>
  <c r="Q11" i="1"/>
  <c r="N6" i="1"/>
  <c r="I28" i="1"/>
  <c r="J29" i="1"/>
  <c r="K29" i="1" s="1"/>
  <c r="H24" i="1"/>
  <c r="F19" i="1"/>
  <c r="J13" i="1"/>
  <c r="H8" i="1"/>
  <c r="F3" i="1"/>
  <c r="M23" i="1"/>
  <c r="AI18" i="6" s="1"/>
  <c r="J26" i="1"/>
  <c r="K26" i="1" s="1"/>
  <c r="H21" i="1"/>
  <c r="F16" i="1"/>
  <c r="H5" i="1"/>
  <c r="D2" i="4"/>
  <c r="P17" i="1"/>
  <c r="G22" i="1"/>
  <c r="M19" i="1"/>
  <c r="AI22" i="6" s="1"/>
  <c r="M3" i="1"/>
  <c r="AI16" i="6" s="1"/>
  <c r="I18" i="1"/>
  <c r="M13" i="1"/>
  <c r="AI32" i="6" s="1"/>
  <c r="I12" i="1"/>
  <c r="P8" i="1"/>
  <c r="D32" i="4"/>
  <c r="D65" i="4"/>
  <c r="D74" i="4"/>
  <c r="D38" i="4"/>
  <c r="D61" i="4"/>
  <c r="G2" i="1"/>
  <c r="G11" i="1"/>
  <c r="D8" i="4"/>
  <c r="D40" i="4"/>
  <c r="D63" i="4"/>
  <c r="D95" i="4"/>
  <c r="D50" i="4"/>
  <c r="D93" i="4"/>
  <c r="M21" i="1"/>
  <c r="AI21" i="6" s="1"/>
  <c r="I14" i="1"/>
  <c r="D96" i="4"/>
  <c r="D37" i="4"/>
  <c r="D75" i="4"/>
  <c r="D12" i="4"/>
  <c r="D67" i="4"/>
  <c r="D16" i="4"/>
  <c r="D4" i="4"/>
  <c r="D36" i="4"/>
  <c r="J27" i="1"/>
  <c r="K27" i="1" s="1"/>
  <c r="H22" i="1"/>
  <c r="F17" i="1"/>
  <c r="J11" i="1"/>
  <c r="H6" i="1"/>
  <c r="G26" i="1"/>
  <c r="H27" i="1"/>
  <c r="F22" i="1"/>
  <c r="J16" i="1"/>
  <c r="K16" i="1" s="1"/>
  <c r="H11" i="1"/>
  <c r="F6" i="1"/>
  <c r="P27" i="1"/>
  <c r="Q28" i="1"/>
  <c r="N23" i="1"/>
  <c r="L18" i="1"/>
  <c r="AG46" i="6" s="1"/>
  <c r="Q12" i="1"/>
  <c r="L2" i="1"/>
  <c r="AG7" i="6" s="1"/>
  <c r="P24" i="1"/>
  <c r="Q25" i="1"/>
  <c r="N20" i="1"/>
  <c r="L15" i="1"/>
  <c r="AG19" i="6" s="1"/>
  <c r="Q9" i="1"/>
  <c r="N4" i="1"/>
  <c r="P29" i="1"/>
  <c r="M16" i="1"/>
  <c r="AI47" i="6" s="1"/>
  <c r="P22" i="1"/>
  <c r="P19" i="1"/>
  <c r="I17" i="1"/>
  <c r="I2" i="1"/>
  <c r="G17" i="1"/>
  <c r="P6" i="1"/>
  <c r="D87" i="4"/>
  <c r="D18" i="4"/>
  <c r="D27" i="4"/>
  <c r="D25" i="4"/>
  <c r="D84" i="4"/>
  <c r="D30" i="4"/>
  <c r="D64" i="4"/>
  <c r="D81" i="4"/>
  <c r="D73" i="4"/>
  <c r="Q26" i="1"/>
  <c r="N21" i="1"/>
  <c r="L16" i="1"/>
  <c r="AG47" i="6" s="1"/>
  <c r="N5" i="1"/>
  <c r="M25" i="1"/>
  <c r="N26" i="1"/>
  <c r="L21" i="1"/>
  <c r="AG21" i="6" s="1"/>
  <c r="Q15" i="1"/>
  <c r="L5" i="1"/>
  <c r="E3" i="2" s="1"/>
  <c r="G27" i="1"/>
  <c r="H28" i="1"/>
  <c r="F23" i="1"/>
  <c r="J17" i="1"/>
  <c r="K17" i="1" s="1"/>
  <c r="H12" i="1"/>
  <c r="I29" i="1"/>
  <c r="H25" i="1"/>
  <c r="F20" i="1"/>
  <c r="J14" i="1"/>
  <c r="H9" i="1"/>
  <c r="F4" i="1"/>
  <c r="G29" i="1"/>
  <c r="G13" i="1"/>
  <c r="P18" i="1"/>
  <c r="M18" i="1"/>
  <c r="AI46" i="6" s="1"/>
  <c r="G16" i="1"/>
  <c r="I11" i="1"/>
  <c r="P13" i="1"/>
  <c r="M5" i="1"/>
  <c r="I4" i="1"/>
  <c r="I21" i="1"/>
  <c r="I5" i="1"/>
  <c r="D78" i="4"/>
  <c r="Q3" i="1"/>
  <c r="J5" i="1"/>
  <c r="J18" i="1"/>
  <c r="K18" i="1" s="1"/>
  <c r="F8" i="1"/>
  <c r="I15" i="1"/>
  <c r="M11" i="1"/>
  <c r="AI33" i="6" s="1"/>
  <c r="I20" i="1"/>
  <c r="D91" i="4"/>
  <c r="D58" i="4"/>
  <c r="D55" i="4"/>
  <c r="D57" i="4"/>
  <c r="D88" i="4"/>
  <c r="D80" i="4"/>
  <c r="D46" i="4"/>
  <c r="D7" i="4"/>
  <c r="D44" i="4"/>
  <c r="D26" i="4"/>
  <c r="D86" i="4"/>
  <c r="H26" i="1"/>
  <c r="F21" i="1"/>
  <c r="J15" i="1"/>
  <c r="F5" i="1"/>
  <c r="I23" i="1"/>
  <c r="F26" i="1"/>
  <c r="J20" i="1"/>
  <c r="K20" i="1" s="1"/>
  <c r="H15" i="1"/>
  <c r="J4" i="1"/>
  <c r="M26" i="1"/>
  <c r="N27" i="1"/>
  <c r="L22" i="1"/>
  <c r="AG45" i="6" s="1"/>
  <c r="Q16" i="1"/>
  <c r="N11" i="1"/>
  <c r="L6" i="1"/>
  <c r="AG6" i="6" s="1"/>
  <c r="P28" i="1"/>
  <c r="Q29" i="1"/>
  <c r="N24" i="1"/>
  <c r="L19" i="1"/>
  <c r="AG22" i="6" s="1"/>
  <c r="Q13" i="1"/>
  <c r="N8" i="1"/>
  <c r="L3" i="1"/>
  <c r="AG16" i="6" s="1"/>
  <c r="M28" i="1"/>
  <c r="M8" i="1"/>
  <c r="M17" i="1"/>
  <c r="AI44" i="6" s="1"/>
  <c r="I16" i="1"/>
  <c r="P12" i="1"/>
  <c r="I3" i="1"/>
  <c r="M12" i="1"/>
  <c r="AI31" i="6" s="1"/>
  <c r="M6" i="1"/>
  <c r="AI6" i="6" s="1"/>
  <c r="I8" i="1"/>
  <c r="G20" i="1"/>
  <c r="G4" i="1"/>
  <c r="D41" i="4"/>
  <c r="D71" i="4"/>
  <c r="D35" i="4"/>
  <c r="D45" i="4"/>
  <c r="D69" i="4"/>
  <c r="L9" i="1"/>
  <c r="AG27" i="6" s="1"/>
  <c r="J21" i="1"/>
  <c r="K21" i="1" s="1"/>
  <c r="F11" i="1"/>
  <c r="F24" i="1"/>
  <c r="J2" i="1"/>
  <c r="G5" i="1"/>
  <c r="P16" i="1"/>
  <c r="D47" i="4"/>
  <c r="D85" i="4"/>
  <c r="D9" i="4"/>
  <c r="D42" i="4"/>
  <c r="D19" i="4"/>
  <c r="D97" i="4"/>
  <c r="D76" i="4"/>
  <c r="C13" i="6"/>
  <c r="D94" i="4"/>
  <c r="D48" i="4"/>
  <c r="N25" i="1"/>
  <c r="L20" i="1"/>
  <c r="AG49" i="6" s="1"/>
  <c r="Q14" i="1"/>
  <c r="N9" i="1"/>
  <c r="L4" i="1"/>
  <c r="E2" i="2" s="1"/>
  <c r="M29" i="1"/>
  <c r="L25" i="1"/>
  <c r="AG12" i="6" s="1"/>
  <c r="Q19" i="1"/>
  <c r="N14" i="1"/>
  <c r="I24" i="1"/>
  <c r="F27" i="1"/>
  <c r="H16" i="1"/>
  <c r="G28" i="1"/>
  <c r="H29" i="1"/>
  <c r="H13" i="1"/>
  <c r="P25" i="1"/>
  <c r="G15" i="1"/>
  <c r="D11" i="4"/>
  <c r="D90" i="4"/>
  <c r="A47" i="6"/>
  <c r="A14" i="6"/>
  <c r="A53" i="6"/>
  <c r="AG53" i="6"/>
  <c r="A56" i="6"/>
  <c r="AG56" i="6"/>
  <c r="A59" i="6"/>
  <c r="AG59" i="6"/>
  <c r="A3" i="6"/>
  <c r="AG3" i="6"/>
  <c r="A48" i="6"/>
  <c r="AG48" i="6"/>
  <c r="AG39" i="6"/>
  <c r="A39" i="6"/>
  <c r="A28" i="6"/>
  <c r="AG28" i="6"/>
  <c r="A49" i="6"/>
  <c r="A29" i="6"/>
  <c r="AG29" i="6"/>
  <c r="A21" i="6"/>
  <c r="A35" i="6"/>
  <c r="AG35" i="6"/>
  <c r="A11" i="6"/>
  <c r="AG11" i="6"/>
  <c r="A26" i="6"/>
  <c r="AG26" i="6"/>
  <c r="A7" i="6"/>
  <c r="A19" i="6"/>
  <c r="A42" i="6"/>
  <c r="AG42" i="6"/>
  <c r="A37" i="6"/>
  <c r="A9" i="6"/>
  <c r="AG9" i="6"/>
  <c r="A44" i="6"/>
  <c r="A46" i="6"/>
  <c r="A27" i="6"/>
  <c r="A57" i="6"/>
  <c r="AG57" i="6"/>
  <c r="A58" i="6"/>
  <c r="AG58" i="6"/>
  <c r="A45" i="6"/>
  <c r="A41" i="6"/>
  <c r="AG41" i="6"/>
  <c r="A50" i="6"/>
  <c r="AG50" i="6"/>
  <c r="A40" i="6"/>
  <c r="AG40" i="6"/>
  <c r="A60" i="6"/>
  <c r="AG60" i="6"/>
  <c r="A36" i="6"/>
  <c r="AG36" i="6"/>
  <c r="A30" i="6"/>
  <c r="AG30" i="6"/>
  <c r="A25" i="6"/>
  <c r="A16" i="6"/>
  <c r="A18" i="6"/>
  <c r="A61" i="6"/>
  <c r="AG61" i="6"/>
  <c r="A23" i="6"/>
  <c r="AG23" i="6"/>
  <c r="A4" i="6"/>
  <c r="AG4" i="6"/>
  <c r="A12" i="6"/>
  <c r="A24" i="6"/>
  <c r="A32" i="6"/>
  <c r="A38" i="6"/>
  <c r="AG38" i="6"/>
  <c r="A55" i="6"/>
  <c r="AG55" i="6"/>
  <c r="A31" i="6"/>
  <c r="A52" i="6"/>
  <c r="AG52" i="6"/>
  <c r="A17" i="6"/>
  <c r="AG17" i="6"/>
  <c r="A51" i="6"/>
  <c r="AG51" i="6"/>
  <c r="A34" i="6"/>
  <c r="AG34" i="6"/>
  <c r="A6" i="6"/>
  <c r="A33" i="6"/>
  <c r="A43" i="6"/>
  <c r="A2" i="6"/>
  <c r="AG2" i="6"/>
  <c r="A20" i="6"/>
  <c r="A10" i="6"/>
  <c r="AG10" i="6"/>
  <c r="A22" i="6"/>
  <c r="AG54" i="6"/>
  <c r="A54" i="6"/>
  <c r="A15" i="6"/>
  <c r="A5" i="6"/>
  <c r="AG5" i="6"/>
  <c r="AC8" i="6" l="1"/>
  <c r="O30" i="6"/>
  <c r="AI25" i="6"/>
  <c r="AI12" i="6"/>
  <c r="O43" i="6"/>
  <c r="O12" i="6"/>
  <c r="O25" i="6"/>
  <c r="O18" i="6"/>
  <c r="O45" i="6"/>
  <c r="O21" i="6"/>
  <c r="O49" i="6"/>
  <c r="O22" i="6"/>
  <c r="O46" i="6"/>
  <c r="O44" i="6"/>
  <c r="AI8" i="6"/>
  <c r="AI13" i="6"/>
  <c r="O47" i="6"/>
  <c r="A3" i="1"/>
  <c r="A8" i="6"/>
  <c r="A13" i="6"/>
  <c r="K15" i="1"/>
  <c r="O19" i="6"/>
  <c r="K7" i="1"/>
  <c r="O14" i="6"/>
  <c r="K2" i="1"/>
  <c r="O7" i="6"/>
  <c r="K11" i="1"/>
  <c r="O33" i="6"/>
  <c r="K3" i="1"/>
  <c r="O16" i="6"/>
  <c r="K10" i="1"/>
  <c r="O20" i="6"/>
  <c r="K4" i="1"/>
  <c r="O15" i="6"/>
  <c r="K12" i="1"/>
  <c r="O31" i="6"/>
  <c r="K9" i="1"/>
  <c r="O27" i="6"/>
  <c r="K5" i="1"/>
  <c r="O8" i="6"/>
  <c r="K14" i="1"/>
  <c r="O24" i="6"/>
  <c r="K6" i="1"/>
  <c r="O6" i="6"/>
  <c r="K13" i="1"/>
  <c r="O32" i="6"/>
  <c r="K8" i="1"/>
  <c r="O13" i="6"/>
  <c r="A21" i="1"/>
  <c r="A23" i="1"/>
  <c r="AG8" i="6"/>
  <c r="A7" i="1"/>
  <c r="AG32" i="6"/>
  <c r="AG24" i="6"/>
  <c r="AG15" i="6"/>
  <c r="A14" i="1"/>
  <c r="A8" i="1"/>
  <c r="A12" i="1"/>
  <c r="A9" i="1"/>
  <c r="A11" i="1"/>
  <c r="A18" i="1"/>
  <c r="A4" i="1"/>
  <c r="A15" i="1"/>
  <c r="AG31" i="6"/>
  <c r="A22" i="1"/>
  <c r="A29" i="1"/>
  <c r="A27" i="1"/>
  <c r="A2" i="1"/>
  <c r="A6" i="1"/>
  <c r="A10" i="1"/>
  <c r="A28" i="1"/>
  <c r="A5" i="1"/>
  <c r="AG13" i="6"/>
  <c r="A17" i="1"/>
  <c r="A24" i="1"/>
  <c r="A13" i="1"/>
  <c r="A20" i="1"/>
  <c r="AG25" i="6"/>
  <c r="A16" i="1"/>
  <c r="A25" i="1"/>
  <c r="A19" i="1"/>
  <c r="A26" i="1"/>
  <c r="AG37" i="6"/>
</calcChain>
</file>

<file path=xl/sharedStrings.xml><?xml version="1.0" encoding="utf-8"?>
<sst xmlns="http://schemas.openxmlformats.org/spreadsheetml/2006/main" count="1552" uniqueCount="651">
  <si>
    <t>NOMBRE COMPLETO</t>
  </si>
  <si>
    <t>ID ARBITRO</t>
  </si>
  <si>
    <t>FECHA ALTA</t>
  </si>
  <si>
    <t>CLAVE</t>
  </si>
  <si>
    <t>CHECK</t>
  </si>
  <si>
    <t>NIF CIF</t>
  </si>
  <si>
    <t>NOMBRE</t>
  </si>
  <si>
    <t>PRIMER APELLIDO</t>
  </si>
  <si>
    <t>SEGUNDO APELLIDO</t>
  </si>
  <si>
    <t>FECHA NACIMIENTO</t>
  </si>
  <si>
    <t>EDAD</t>
  </si>
  <si>
    <t>CORREO E</t>
  </si>
  <si>
    <t>MOVIL</t>
  </si>
  <si>
    <t>TERRITORIAL</t>
  </si>
  <si>
    <t>PROVINCIA</t>
  </si>
  <si>
    <t>CLUB</t>
  </si>
  <si>
    <t>CTRL CLAVE</t>
  </si>
  <si>
    <t>ID AEP</t>
  </si>
  <si>
    <t>NIVEL</t>
  </si>
  <si>
    <t>Nº CUENTA</t>
  </si>
  <si>
    <t>JIMJUL</t>
  </si>
  <si>
    <t>1er Nivel</t>
  </si>
  <si>
    <t>SAEMAR</t>
  </si>
  <si>
    <t>GARJUA</t>
  </si>
  <si>
    <t>ES72 0073 0100 5404 6129 6243</t>
  </si>
  <si>
    <t>SANELO</t>
  </si>
  <si>
    <t>ES89 0234 0001 0190 0609 4700</t>
  </si>
  <si>
    <t>GONFRA</t>
  </si>
  <si>
    <t>DELCON</t>
  </si>
  <si>
    <t>SERPIL</t>
  </si>
  <si>
    <t>GARGEM</t>
  </si>
  <si>
    <t>HERDAN</t>
  </si>
  <si>
    <t>CALSAL</t>
  </si>
  <si>
    <t>BAEVIC</t>
  </si>
  <si>
    <t>ES75 0182 3431 5502 0161 5725</t>
  </si>
  <si>
    <t>GARPAT</t>
  </si>
  <si>
    <t>RUIJAV</t>
  </si>
  <si>
    <t>ES96 3017 0554 4922 1541 3622</t>
  </si>
  <si>
    <t>ID SOLICITUD</t>
  </si>
  <si>
    <t>e-MAIL</t>
  </si>
  <si>
    <t>FECHA SOLICITUD</t>
  </si>
  <si>
    <t>ARBITRO</t>
  </si>
  <si>
    <t>TIPO</t>
  </si>
  <si>
    <t>TORNEO</t>
  </si>
  <si>
    <t>COMENTARIO</t>
  </si>
  <si>
    <t>jcgarflo@gmail.com</t>
  </si>
  <si>
    <t>Juan Carlos García Flores</t>
  </si>
  <si>
    <t>Anual - 30€</t>
  </si>
  <si>
    <t>ejsanchezcidg@gmail.com</t>
  </si>
  <si>
    <t>Eloy Jesús Sánchez-Cid García-Tenorio - L</t>
  </si>
  <si>
    <t>Temporal (Especificar para que Torneo)</t>
  </si>
  <si>
    <t>VIII Spanish Open Pickleball Championships (Salamanca - Sep'23)</t>
  </si>
  <si>
    <t>gartorpat@gmail.com</t>
  </si>
  <si>
    <t>Patricia García Torres</t>
  </si>
  <si>
    <t>victorbaezf@gmail.com</t>
  </si>
  <si>
    <t>Víctor Báez Fernández</t>
  </si>
  <si>
    <t>javiruiz1982@gmail.com</t>
  </si>
  <si>
    <t>Javier Ruiz Calvo - L</t>
  </si>
  <si>
    <t>DIRECCION</t>
  </si>
  <si>
    <t>ALIAS</t>
  </si>
  <si>
    <t>CORREO E_2</t>
  </si>
  <si>
    <t xml:space="preserve">Pablo </t>
  </si>
  <si>
    <t>Sanagustín</t>
  </si>
  <si>
    <t>Izaga</t>
  </si>
  <si>
    <t>pablosanag@gmail.com</t>
  </si>
  <si>
    <t>+34680630821</t>
  </si>
  <si>
    <t xml:space="preserve">Susana </t>
  </si>
  <si>
    <t>Martínez</t>
  </si>
  <si>
    <t>Vallés</t>
  </si>
  <si>
    <t>martinezvallessusana@gmail.com</t>
  </si>
  <si>
    <t xml:space="preserve">José Manuel </t>
  </si>
  <si>
    <t>Freire</t>
  </si>
  <si>
    <t>Piñeiro</t>
  </si>
  <si>
    <t>freirefutbol@gmail.com</t>
  </si>
  <si>
    <t>+34646465753</t>
  </si>
  <si>
    <t xml:space="preserve">Óscar </t>
  </si>
  <si>
    <t>omv1979zgz@gmail.com</t>
  </si>
  <si>
    <t>OK</t>
  </si>
  <si>
    <t>28598883Q</t>
  </si>
  <si>
    <t>Francisco Javier</t>
  </si>
  <si>
    <t>González</t>
  </si>
  <si>
    <t>Baena</t>
  </si>
  <si>
    <t>jgbaena6@gmail.com</t>
  </si>
  <si>
    <t>+34630045042</t>
  </si>
  <si>
    <t>Asociación de Andalucía</t>
  </si>
  <si>
    <t>Club Deportivo Pickleball Sevilla</t>
  </si>
  <si>
    <t>41 - Sevilla</t>
  </si>
  <si>
    <t>Av. De Asia, 74
Bajo B - 41927 Mairena del Aljarafe</t>
  </si>
  <si>
    <t>28914692N</t>
  </si>
  <si>
    <t>Julián</t>
  </si>
  <si>
    <t>Jiménez</t>
  </si>
  <si>
    <t>Herrera</t>
  </si>
  <si>
    <t>julian.jimenez.herrera@gmail.com</t>
  </si>
  <si>
    <t>+34670243162</t>
  </si>
  <si>
    <t>Carabela La Pinta, 23</t>
  </si>
  <si>
    <t>05353556F</t>
  </si>
  <si>
    <t>Eloy Jesús</t>
  </si>
  <si>
    <t>Sánchez-Cid</t>
  </si>
  <si>
    <t>García-Tenorio</t>
  </si>
  <si>
    <t>+34633298235</t>
  </si>
  <si>
    <t>Asociación Madrileña</t>
  </si>
  <si>
    <t>Pickleball Growth</t>
  </si>
  <si>
    <t>28 - Madrid</t>
  </si>
  <si>
    <t>Calle Logroño, 1</t>
  </si>
  <si>
    <t xml:space="preserve">Paco Luis </t>
  </si>
  <si>
    <t>Navarro</t>
  </si>
  <si>
    <t>Artés</t>
  </si>
  <si>
    <t>pacoluis.navarro@gmail.com</t>
  </si>
  <si>
    <t xml:space="preserve">Jose Miguel </t>
  </si>
  <si>
    <t>Moreno</t>
  </si>
  <si>
    <t>Verdejo</t>
  </si>
  <si>
    <t>j_m_m_verdejo@hotmail.com</t>
  </si>
  <si>
    <t>+34628789733</t>
  </si>
  <si>
    <t xml:space="preserve">Mercedes </t>
  </si>
  <si>
    <t>Peris</t>
  </si>
  <si>
    <t>López</t>
  </si>
  <si>
    <t>mercedesperislopez@gmail.com</t>
  </si>
  <si>
    <t>+34617068551</t>
  </si>
  <si>
    <t>Roberto</t>
  </si>
  <si>
    <t>Pérez</t>
  </si>
  <si>
    <t>Gómez</t>
  </si>
  <si>
    <t xml:space="preserve">rperez1303@gmail.com </t>
  </si>
  <si>
    <t>+34649619989</t>
  </si>
  <si>
    <t>5272115D</t>
  </si>
  <si>
    <t>Pilar Begoña</t>
  </si>
  <si>
    <t>Serrano</t>
  </si>
  <si>
    <t>Garrote</t>
  </si>
  <si>
    <t>pilumpilon@hotmail.com</t>
  </si>
  <si>
    <t>+34600710323</t>
  </si>
  <si>
    <t>c/ Angel Ganivet, 28. Pt.1. 4-B</t>
  </si>
  <si>
    <t xml:space="preserve">Piluca </t>
  </si>
  <si>
    <t>pilumpilon@gmail.com</t>
  </si>
  <si>
    <t>50804323Z</t>
  </si>
  <si>
    <t>Concha</t>
  </si>
  <si>
    <t>Delgado</t>
  </si>
  <si>
    <t>Raso</t>
  </si>
  <si>
    <t>delra.pick@gmail.com</t>
  </si>
  <si>
    <t>+34675089376</t>
  </si>
  <si>
    <t>02 - Albacete</t>
  </si>
  <si>
    <t>San Lamberto nº 6 3ºB</t>
  </si>
  <si>
    <t>01820829B</t>
  </si>
  <si>
    <t>Juan Carlos</t>
  </si>
  <si>
    <t>García</t>
  </si>
  <si>
    <t>Flores</t>
  </si>
  <si>
    <t>+34611493755</t>
  </si>
  <si>
    <t>Vicalvarada Pick</t>
  </si>
  <si>
    <t>Juankar</t>
  </si>
  <si>
    <t>07234314D</t>
  </si>
  <si>
    <t>Maria Luisa</t>
  </si>
  <si>
    <t>Saez</t>
  </si>
  <si>
    <t>Díez</t>
  </si>
  <si>
    <t>detodounpoco6919@gmail.com</t>
  </si>
  <si>
    <t>+34670740862</t>
  </si>
  <si>
    <t>Impickados</t>
  </si>
  <si>
    <t>Marisa</t>
  </si>
  <si>
    <t xml:space="preserve">Enrique </t>
  </si>
  <si>
    <t>Carrera</t>
  </si>
  <si>
    <t>Soto</t>
  </si>
  <si>
    <t>Alberto Hernando</t>
  </si>
  <si>
    <t>de la Manzanara</t>
  </si>
  <si>
    <t>delfinocamela@outlook.es</t>
  </si>
  <si>
    <t>+34658269870</t>
  </si>
  <si>
    <t xml:space="preserve">Javier </t>
  </si>
  <si>
    <t>Otero</t>
  </si>
  <si>
    <t>joterode@gmail.com</t>
  </si>
  <si>
    <t>50111213D</t>
  </si>
  <si>
    <t>Daniel</t>
  </si>
  <si>
    <t>Hernando</t>
  </si>
  <si>
    <t>nanielhg@gmail.com</t>
  </si>
  <si>
    <t>+34653689295</t>
  </si>
  <si>
    <t>Elipaipai</t>
  </si>
  <si>
    <t>Villasandino 1</t>
  </si>
  <si>
    <t xml:space="preserve">Alicia </t>
  </si>
  <si>
    <t>Yanes</t>
  </si>
  <si>
    <t>Cabrera</t>
  </si>
  <si>
    <t>ayanesc@gmail.com</t>
  </si>
  <si>
    <t>Araceli</t>
  </si>
  <si>
    <t>Senciales</t>
  </si>
  <si>
    <t>Del Moral</t>
  </si>
  <si>
    <t>chelisenciales@hotmail.com</t>
  </si>
  <si>
    <t xml:space="preserve">Xavier </t>
  </si>
  <si>
    <t>Cuevas</t>
  </si>
  <si>
    <t>jgarcia@sportmadness.es</t>
  </si>
  <si>
    <t>03129756P</t>
  </si>
  <si>
    <t>Javier</t>
  </si>
  <si>
    <t>Ruiz</t>
  </si>
  <si>
    <t>Calvo</t>
  </si>
  <si>
    <t>+34696803918</t>
  </si>
  <si>
    <t>No pertenezco a ninguna ASOCIACIÓN</t>
  </si>
  <si>
    <t>No pertenezco a ningún CLUB</t>
  </si>
  <si>
    <t>19 - Guadalajara</t>
  </si>
  <si>
    <t>Travesía Erilla 8, Valdeavellano</t>
  </si>
  <si>
    <t xml:space="preserve">Katlin </t>
  </si>
  <si>
    <t>Savva</t>
  </si>
  <si>
    <t>katlinsavva@hotmail.com</t>
  </si>
  <si>
    <t>+34644375576</t>
  </si>
  <si>
    <t xml:space="preserve">David </t>
  </si>
  <si>
    <t>Gutiérrez</t>
  </si>
  <si>
    <t>Alfaro</t>
  </si>
  <si>
    <t>dabiciti@gmail.com</t>
  </si>
  <si>
    <t>+34655652065</t>
  </si>
  <si>
    <t>46931145J</t>
  </si>
  <si>
    <t xml:space="preserve">Gema </t>
  </si>
  <si>
    <t xml:space="preserve">García </t>
  </si>
  <si>
    <t>Rodríguez</t>
  </si>
  <si>
    <t>gemuas1@yahoo.es</t>
  </si>
  <si>
    <t>+34635688935</t>
  </si>
  <si>
    <t>CALLE VILLASANDINO 1 BB</t>
  </si>
  <si>
    <t>Carlos</t>
  </si>
  <si>
    <t>Fararoni</t>
  </si>
  <si>
    <t>alejandrofararoni@gmail.com</t>
  </si>
  <si>
    <t>+34665786742</t>
  </si>
  <si>
    <t>MIGUEL</t>
  </si>
  <si>
    <t>AROSTEGUI</t>
  </si>
  <si>
    <t>AZCUNAGA</t>
  </si>
  <si>
    <t>miguel.arostegui@pickleball-club.com</t>
  </si>
  <si>
    <t>+34622042342</t>
  </si>
  <si>
    <t>29 - Málaga</t>
  </si>
  <si>
    <t>Avd Andalucia, 27</t>
  </si>
  <si>
    <t>TOMÁS</t>
  </si>
  <si>
    <t>SANTIAGO</t>
  </si>
  <si>
    <t>OTERO</t>
  </si>
  <si>
    <t>tomassantiagootero@gmail.com</t>
  </si>
  <si>
    <t>+34638415240</t>
  </si>
  <si>
    <t>AVENIDA ANDALUCÍA, 27</t>
  </si>
  <si>
    <t xml:space="preserve">79022298W </t>
  </si>
  <si>
    <t>Víctor</t>
  </si>
  <si>
    <t>Báez</t>
  </si>
  <si>
    <t>Fernández</t>
  </si>
  <si>
    <t>+34658436672</t>
  </si>
  <si>
    <t>Pickleball Axarquía</t>
  </si>
  <si>
    <t>C/ Carmen Martín Gaite, 38 CP 29580 El Sexmo, Cártama</t>
  </si>
  <si>
    <t>45311928L</t>
  </si>
  <si>
    <t>Patricia</t>
  </si>
  <si>
    <t>Torres</t>
  </si>
  <si>
    <t>+34680667293</t>
  </si>
  <si>
    <t>Calle Carmen Martín Gaite 38 29580 Cártama</t>
  </si>
  <si>
    <t>52538928M</t>
  </si>
  <si>
    <t>Salvador</t>
  </si>
  <si>
    <t>Castelló</t>
  </si>
  <si>
    <t>salva.calvocastello@gmail.com</t>
  </si>
  <si>
    <t>+34657812104</t>
  </si>
  <si>
    <t>AVD Pintor Antonio López n10</t>
  </si>
  <si>
    <t>Edgar Alexander</t>
  </si>
  <si>
    <t>Monagas</t>
  </si>
  <si>
    <t>Briceño</t>
  </si>
  <si>
    <t>edalex@gmail.com</t>
  </si>
  <si>
    <t>+34624452622</t>
  </si>
  <si>
    <t>15 - Coruña, A</t>
  </si>
  <si>
    <t>A Coruña</t>
  </si>
  <si>
    <t>Paulino</t>
  </si>
  <si>
    <t>Aliseda</t>
  </si>
  <si>
    <t>Hoya</t>
  </si>
  <si>
    <t>pau.cursos1@gmail.com</t>
  </si>
  <si>
    <t>+34660282882</t>
  </si>
  <si>
    <t>37 - Salamanca</t>
  </si>
  <si>
    <t>calle Alegría 14-18, 1ºB</t>
  </si>
  <si>
    <t>Ana</t>
  </si>
  <si>
    <t>Domínguez</t>
  </si>
  <si>
    <t>Bellanco</t>
  </si>
  <si>
    <t>anautwo@gmail.com</t>
  </si>
  <si>
    <t>+34665325860</t>
  </si>
  <si>
    <t>Ministro Fernández Ordóñez, nº 2, 2ºA</t>
  </si>
  <si>
    <t>Jorge</t>
  </si>
  <si>
    <t>Artigas</t>
  </si>
  <si>
    <t>Díaz</t>
  </si>
  <si>
    <t>jorgeartigas47@gmail.com</t>
  </si>
  <si>
    <t>+34617093487</t>
  </si>
  <si>
    <t>Calle Alcalde Lens 8 P 9D</t>
  </si>
  <si>
    <t>Elisa</t>
  </si>
  <si>
    <t>Gomez</t>
  </si>
  <si>
    <t>Gil</t>
  </si>
  <si>
    <t>gomezgilelisa@gmail.com</t>
  </si>
  <si>
    <t>+34689366108</t>
  </si>
  <si>
    <t>Calle Pizarro, 34,5a</t>
  </si>
  <si>
    <t>Maria</t>
  </si>
  <si>
    <t>Rodriguez</t>
  </si>
  <si>
    <t>geno64670@hotmail.com</t>
  </si>
  <si>
    <t>+34622088691</t>
  </si>
  <si>
    <t>Calle Soria,38-40 Moriscos.</t>
  </si>
  <si>
    <t>Jesús</t>
  </si>
  <si>
    <t>Lucas</t>
  </si>
  <si>
    <t>Alonso</t>
  </si>
  <si>
    <t>jesusluc@gmail.com</t>
  </si>
  <si>
    <t>+34610875257</t>
  </si>
  <si>
    <t>C/ Burgos 1, Villares de la Reina</t>
  </si>
  <si>
    <t>Fraga</t>
  </si>
  <si>
    <t>Fernando</t>
  </si>
  <si>
    <t>fjorgefraga@hotmail.com</t>
  </si>
  <si>
    <t>Otra</t>
  </si>
  <si>
    <t>Rua da constituição, 2323 3o esq</t>
  </si>
  <si>
    <t>ID CURSO</t>
  </si>
  <si>
    <t>FECHA CURSO</t>
  </si>
  <si>
    <t>ID PARTICPANTE</t>
  </si>
  <si>
    <t>DNI/NIF</t>
  </si>
  <si>
    <t>TEÓRICO</t>
  </si>
  <si>
    <t>PRÁCTICO</t>
  </si>
  <si>
    <t>CERTIFICADO</t>
  </si>
  <si>
    <t>TEST</t>
  </si>
  <si>
    <t>1º intento</t>
  </si>
  <si>
    <t>2º intento</t>
  </si>
  <si>
    <t>3º intento</t>
  </si>
  <si>
    <t>4º intento</t>
  </si>
  <si>
    <t>5º intento</t>
  </si>
  <si>
    <t>JUN22</t>
  </si>
  <si>
    <t>KO</t>
  </si>
  <si>
    <t>1: x-  x</t>
  </si>
  <si>
    <t>enviado</t>
  </si>
  <si>
    <t>2: x -- x</t>
  </si>
  <si>
    <t>3: x - x</t>
  </si>
  <si>
    <t>5: x--  x</t>
  </si>
  <si>
    <t xml:space="preserve">4: x -x </t>
  </si>
  <si>
    <t>v.03</t>
  </si>
  <si>
    <t xml:space="preserve">Francisco Javier </t>
  </si>
  <si>
    <t>Julian</t>
  </si>
  <si>
    <t>Jimenez</t>
  </si>
  <si>
    <t xml:space="preserve">Eloy Jesús </t>
  </si>
  <si>
    <t>ejsanchezcidg@yahoo.es</t>
  </si>
  <si>
    <t>v.02</t>
  </si>
  <si>
    <t>Pilar (Piluca) Begoña</t>
  </si>
  <si>
    <t>Juankar (JC)</t>
  </si>
  <si>
    <t xml:space="preserve">Maria Luisa </t>
  </si>
  <si>
    <t>Diez</t>
  </si>
  <si>
    <t>v.01</t>
  </si>
  <si>
    <t>JUL23</t>
  </si>
  <si>
    <t>25683022A</t>
  </si>
  <si>
    <t>25738957W</t>
  </si>
  <si>
    <t>79022298W</t>
  </si>
  <si>
    <t>v.2.12</t>
  </si>
  <si>
    <t>v.2.01</t>
  </si>
  <si>
    <t>52538928m</t>
  </si>
  <si>
    <t>v.2.11</t>
  </si>
  <si>
    <t>v.2.13</t>
  </si>
  <si>
    <t>v.2.02</t>
  </si>
  <si>
    <t>Y9522262T</t>
  </si>
  <si>
    <t>8107664A</t>
  </si>
  <si>
    <t>70960675V</t>
  </si>
  <si>
    <t>Y7769155E</t>
  </si>
  <si>
    <t>70915205H</t>
  </si>
  <si>
    <t>70889139b</t>
  </si>
  <si>
    <t>07955133P</t>
  </si>
  <si>
    <t>SI</t>
  </si>
  <si>
    <t>Name</t>
  </si>
  <si>
    <t>Given Name</t>
  </si>
  <si>
    <t>Additional Name</t>
  </si>
  <si>
    <t>Family Name</t>
  </si>
  <si>
    <t>Yomi Name</t>
  </si>
  <si>
    <t>Given Name Yomi</t>
  </si>
  <si>
    <t>Additional Name Yomi</t>
  </si>
  <si>
    <t>Family Name Yomi</t>
  </si>
  <si>
    <t>Name Prefix</t>
  </si>
  <si>
    <t>Name Suffix</t>
  </si>
  <si>
    <t>Initials</t>
  </si>
  <si>
    <t>Nickname</t>
  </si>
  <si>
    <t>Short Name</t>
  </si>
  <si>
    <t>Maiden Name</t>
  </si>
  <si>
    <t>Birthday</t>
  </si>
  <si>
    <t>Gender</t>
  </si>
  <si>
    <t>Location</t>
  </si>
  <si>
    <t>Billing Information</t>
  </si>
  <si>
    <t>Directory Server</t>
  </si>
  <si>
    <t>Mileage</t>
  </si>
  <si>
    <t>Occupation</t>
  </si>
  <si>
    <t>Hobby</t>
  </si>
  <si>
    <t>Sensitivity</t>
  </si>
  <si>
    <t>Priority</t>
  </si>
  <si>
    <t>Subject</t>
  </si>
  <si>
    <t>Notes</t>
  </si>
  <si>
    <t>Language</t>
  </si>
  <si>
    <t>Photo</t>
  </si>
  <si>
    <t>Group Membership</t>
  </si>
  <si>
    <t>E-mail 1 - Type</t>
  </si>
  <si>
    <t>E-mail 1 - Value</t>
  </si>
  <si>
    <t>E-mail 2 - Type</t>
  </si>
  <si>
    <t>E-mail 2 - Value</t>
  </si>
  <si>
    <t>Phone 1 - Type</t>
  </si>
  <si>
    <t>Phone 1 - Value</t>
  </si>
  <si>
    <t>* Home</t>
  </si>
  <si>
    <t>* Work</t>
  </si>
  <si>
    <t>TERRITORIALES</t>
  </si>
  <si>
    <t>IDIOMAS</t>
  </si>
  <si>
    <t>DIVISIONES</t>
  </si>
  <si>
    <t>RATING</t>
  </si>
  <si>
    <t>EVENTO</t>
  </si>
  <si>
    <t>CLUBS</t>
  </si>
  <si>
    <t>PROVINCIAS</t>
  </si>
  <si>
    <t>CREDENCIAL</t>
  </si>
  <si>
    <t>Asociación Catalana</t>
  </si>
  <si>
    <t>Español</t>
  </si>
  <si>
    <t>DOBLES MASCULINOS</t>
  </si>
  <si>
    <t>19+</t>
  </si>
  <si>
    <t>NIVEL_3</t>
  </si>
  <si>
    <t>$</t>
  </si>
  <si>
    <t>FINAL</t>
  </si>
  <si>
    <t>Club Deportivo Pickleball Almería</t>
  </si>
  <si>
    <t>01 - Araba/Álava</t>
  </si>
  <si>
    <t>Nivel 1</t>
  </si>
  <si>
    <t>Asociación de Alicante</t>
  </si>
  <si>
    <t>Francés</t>
  </si>
  <si>
    <t>DOBLES FEMENINOS</t>
  </si>
  <si>
    <t>50+</t>
  </si>
  <si>
    <t>NIVEL_2</t>
  </si>
  <si>
    <t>NON MONEY</t>
  </si>
  <si>
    <t>3er PUESTO</t>
  </si>
  <si>
    <t>Club Deportivo Pickleball Málaga</t>
  </si>
  <si>
    <t>Nivel 2</t>
  </si>
  <si>
    <t>Inglés</t>
  </si>
  <si>
    <t>DOBLES MIXTO</t>
  </si>
  <si>
    <t>65+</t>
  </si>
  <si>
    <t>NIVEL_1</t>
  </si>
  <si>
    <t>4.0</t>
  </si>
  <si>
    <t>SEMIFINAL</t>
  </si>
  <si>
    <t>03 - Alicante/Alacant</t>
  </si>
  <si>
    <t>Certificado</t>
  </si>
  <si>
    <t>Asociación de Asturias</t>
  </si>
  <si>
    <t>Otros</t>
  </si>
  <si>
    <t>INDIVIDUAL MASCULINO</t>
  </si>
  <si>
    <t>3.0</t>
  </si>
  <si>
    <t>CUARTOS DE FINAL</t>
  </si>
  <si>
    <t>Costa del Sol Pickleball</t>
  </si>
  <si>
    <t>04 - Almería</t>
  </si>
  <si>
    <t>Asociación de Cartagena</t>
  </si>
  <si>
    <t>INDIVIDUAL FEMENINO</t>
  </si>
  <si>
    <t>OCTAVOS DE FINAL</t>
  </si>
  <si>
    <t>05 - Ávila</t>
  </si>
  <si>
    <t>Asociación de Castilla y León</t>
  </si>
  <si>
    <t>ROUND ROBIN</t>
  </si>
  <si>
    <t>Pickleball Bages</t>
  </si>
  <si>
    <t>06 - Badajoz</t>
  </si>
  <si>
    <t>Asociación de Euskadi</t>
  </si>
  <si>
    <t>Pickleball Cádiz</t>
  </si>
  <si>
    <t>07 - Balears, Illes</t>
  </si>
  <si>
    <t>Asociación de Galicia</t>
  </si>
  <si>
    <t>Pickleball Ceuta</t>
  </si>
  <si>
    <t>08 - Barcelona</t>
  </si>
  <si>
    <t>Asociación de Huelva</t>
  </si>
  <si>
    <t>Pickleball Córdoba</t>
  </si>
  <si>
    <t>09 - Burgos</t>
  </si>
  <si>
    <t>Asociación de Murcia</t>
  </si>
  <si>
    <t>Pickleball Rota</t>
  </si>
  <si>
    <t>10 - Cáceres</t>
  </si>
  <si>
    <t>Asociación de Región de Murcia</t>
  </si>
  <si>
    <t>Pickleball Top Albacete</t>
  </si>
  <si>
    <t>11 - Cádiz</t>
  </si>
  <si>
    <t>Asociación de Navarra</t>
  </si>
  <si>
    <t>Pickleball Valencia</t>
  </si>
  <si>
    <t>12 - Castellón/Castelló</t>
  </si>
  <si>
    <t>Asociación de Pickleball Bages (Barcelona)</t>
  </si>
  <si>
    <t>13 - Ciudad Real</t>
  </si>
  <si>
    <t>Asociación de Salamanca</t>
  </si>
  <si>
    <t>Vila Pickleball (Sabadell)</t>
  </si>
  <si>
    <t>14 - Córdoba</t>
  </si>
  <si>
    <t>16 - Cuenca</t>
  </si>
  <si>
    <t>17 - Girona</t>
  </si>
  <si>
    <t>18 - Granada</t>
  </si>
  <si>
    <t>20 - Gipuzkoa</t>
  </si>
  <si>
    <t>21 - Huelva</t>
  </si>
  <si>
    <t>22 - Huesca</t>
  </si>
  <si>
    <t>23 - Jaén</t>
  </si>
  <si>
    <t>24 - León</t>
  </si>
  <si>
    <t>25 - Lleida</t>
  </si>
  <si>
    <t>26 - Rioja, La</t>
  </si>
  <si>
    <t>27 - Lugo</t>
  </si>
  <si>
    <t>30 - Murcia</t>
  </si>
  <si>
    <t>31 - Navarra</t>
  </si>
  <si>
    <t>32 - Ourense</t>
  </si>
  <si>
    <t>33 - Asturias</t>
  </si>
  <si>
    <t>34 - Palencia</t>
  </si>
  <si>
    <t>35 - Palmas, Las</t>
  </si>
  <si>
    <t>36 - Pontevedra</t>
  </si>
  <si>
    <t>38 - Santa Cruz de Tenerife</t>
  </si>
  <si>
    <t>39 - Cantabria</t>
  </si>
  <si>
    <t>40 - Segovia</t>
  </si>
  <si>
    <t>42 - Soria</t>
  </si>
  <si>
    <t>43 - Tarragona</t>
  </si>
  <si>
    <t>44 - Teruel</t>
  </si>
  <si>
    <t>45 - Toledo</t>
  </si>
  <si>
    <t>46 - Valencia/València</t>
  </si>
  <si>
    <t>47 - Valladolid</t>
  </si>
  <si>
    <t>48 - Bizkaia</t>
  </si>
  <si>
    <t>49 - Zamora</t>
  </si>
  <si>
    <t>50 - Zaragoza</t>
  </si>
  <si>
    <t>51 - Ceuta</t>
  </si>
  <si>
    <t>52 - Melilla</t>
  </si>
  <si>
    <t>Factor</t>
  </si>
  <si>
    <t>Factor handicap 1</t>
  </si>
  <si>
    <t>Ptos * handicap 1</t>
  </si>
  <si>
    <t>PAREJA 1</t>
  </si>
  <si>
    <t>Factor handicap 2</t>
  </si>
  <si>
    <t>Ptos * handicap 2</t>
  </si>
  <si>
    <t>PAREJA 2</t>
  </si>
  <si>
    <t>Puntos por ganar</t>
  </si>
  <si>
    <t>handicap 1</t>
  </si>
  <si>
    <t>handicap 2</t>
  </si>
  <si>
    <t>Nivel P1</t>
  </si>
  <si>
    <t>Nivel P2</t>
  </si>
  <si>
    <t>Pto P1</t>
  </si>
  <si>
    <t>Pto P2</t>
  </si>
  <si>
    <t>H1 ((NP1+NP2)/(NP1*100)</t>
  </si>
  <si>
    <t>H1 * PTOS 1</t>
  </si>
  <si>
    <t>Pto P1/1000</t>
  </si>
  <si>
    <t>Puntos P1</t>
  </si>
  <si>
    <t>H2 ((NP1+NP2)/(NP2*100)</t>
  </si>
  <si>
    <t>H2 * PTOS 2</t>
  </si>
  <si>
    <t>Pto P2/1000</t>
  </si>
  <si>
    <t>Puntos P2</t>
  </si>
  <si>
    <t>Puntos por Ganar un partido</t>
  </si>
  <si>
    <t>Constante cálculo factor</t>
  </si>
  <si>
    <t>KF</t>
  </si>
  <si>
    <t>Factor Handicap Pareja 1</t>
  </si>
  <si>
    <t>FHP1</t>
  </si>
  <si>
    <t>(Nivel P1+Nivel P2)/(Nivel P1*KF)</t>
  </si>
  <si>
    <t>Factor Handicap Pareja 2</t>
  </si>
  <si>
    <t>FHP2</t>
  </si>
  <si>
    <t>(Nivel P1+Nivel P2)/(Nivel P2*KF)</t>
  </si>
  <si>
    <t>Si Nivel P1 &gt; Nivel P2</t>
  </si>
  <si>
    <t>Si Pto P1 &gt; Ptos P2</t>
  </si>
  <si>
    <t>Ptos * FHP1</t>
  </si>
  <si>
    <t>-FH2*Pto P2</t>
  </si>
  <si>
    <t>Si No</t>
  </si>
  <si>
    <t>-(FH2*Pto P2) - ((Pto P2-Pto P1)*FH2</t>
  </si>
  <si>
    <t>(FH1*Pto P1) + ((Pto P1-Pto P2)*FH1</t>
  </si>
  <si>
    <t>FH1*Pto P1</t>
  </si>
  <si>
    <t>Gema</t>
  </si>
  <si>
    <t>NOV23</t>
  </si>
  <si>
    <t>Inmaculada</t>
  </si>
  <si>
    <t>Meni</t>
  </si>
  <si>
    <t>Solano</t>
  </si>
  <si>
    <t>JUAN LUIS</t>
  </si>
  <si>
    <t>MARINAS</t>
  </si>
  <si>
    <t>PONTE</t>
  </si>
  <si>
    <t>Maria José</t>
  </si>
  <si>
    <t>Ramos</t>
  </si>
  <si>
    <t>28898525Z</t>
  </si>
  <si>
    <t>31225493A</t>
  </si>
  <si>
    <t>28868598X</t>
  </si>
  <si>
    <t>menisolano@gmail.com</t>
  </si>
  <si>
    <t>jlmponte@hotmail.com</t>
  </si>
  <si>
    <t>RODMJO</t>
  </si>
  <si>
    <t>Julio Cesar 3</t>
  </si>
  <si>
    <t>Miguel</t>
  </si>
  <si>
    <t>Tomás</t>
  </si>
  <si>
    <t>Arostegui</t>
  </si>
  <si>
    <t>Azcunaga</t>
  </si>
  <si>
    <t>Santiago</t>
  </si>
  <si>
    <t>Juan Luis</t>
  </si>
  <si>
    <t>Marinas</t>
  </si>
  <si>
    <t>Ponte</t>
  </si>
  <si>
    <t>Ronnie</t>
  </si>
  <si>
    <t>McKee</t>
  </si>
  <si>
    <t>Xx</t>
  </si>
  <si>
    <t>ronnieruth@gmail.com</t>
  </si>
  <si>
    <t xml:space="preserve">X6611144R </t>
  </si>
  <si>
    <t>Bjorn</t>
  </si>
  <si>
    <t>Persson</t>
  </si>
  <si>
    <t>bpersson01@gmail.com</t>
  </si>
  <si>
    <t>X3764242Q</t>
  </si>
  <si>
    <t>Gustavo</t>
  </si>
  <si>
    <t>gustavalonso@gmail.com</t>
  </si>
  <si>
    <t>31403527V</t>
  </si>
  <si>
    <t>Helder</t>
  </si>
  <si>
    <t>Veríssimo</t>
  </si>
  <si>
    <t>Bastos</t>
  </si>
  <si>
    <t>Domini Elias</t>
  </si>
  <si>
    <t>Pereira</t>
  </si>
  <si>
    <t>De Mattos</t>
  </si>
  <si>
    <t>helder.verissimo@isell.com.pt</t>
  </si>
  <si>
    <t>dominielias@gmail.com</t>
  </si>
  <si>
    <t>+351917241086</t>
  </si>
  <si>
    <t>+3519367751512</t>
  </si>
  <si>
    <t>Carcavelos, Portugal</t>
  </si>
  <si>
    <t>Avenida Adolfo Suarez 8 1A - 41704 - Dos Hermanas</t>
  </si>
  <si>
    <t>54783916D</t>
  </si>
  <si>
    <t>Antonio</t>
  </si>
  <si>
    <t>Mosteirín</t>
  </si>
  <si>
    <t>11392392D</t>
  </si>
  <si>
    <t>amosteirinperez@gmail.com</t>
  </si>
  <si>
    <t>Charrán 18. El Puerto de Santa María</t>
  </si>
  <si>
    <t>Valverde</t>
  </si>
  <si>
    <t>franciscojvmoreno@gmail.com</t>
  </si>
  <si>
    <t>44266613P</t>
  </si>
  <si>
    <t>José Cappa Ibáñez 2. Ático. La Zubia</t>
  </si>
  <si>
    <t>Sánchez</t>
  </si>
  <si>
    <t>Álvarez</t>
  </si>
  <si>
    <t>csa2010csa@gmail.com</t>
  </si>
  <si>
    <t>Calle Pereira 6 4D Cádiz</t>
  </si>
  <si>
    <t>06555623W</t>
  </si>
  <si>
    <t>v.3.11</t>
  </si>
  <si>
    <t>v3.03</t>
  </si>
  <si>
    <t>v.3.01</t>
  </si>
  <si>
    <t>v3.02</t>
  </si>
  <si>
    <t xml:space="preserve">Oscar </t>
  </si>
  <si>
    <t>v.3.02</t>
  </si>
  <si>
    <t>v.3.03</t>
  </si>
  <si>
    <t>quiquegoretti@gmail.com</t>
  </si>
  <si>
    <t>+34609639739</t>
  </si>
  <si>
    <t>+34656819580</t>
  </si>
  <si>
    <t>+34629389815</t>
  </si>
  <si>
    <t>+34629452405</t>
  </si>
  <si>
    <t>+34607465237</t>
  </si>
  <si>
    <t>+34669323339</t>
  </si>
  <si>
    <t>+34615197741</t>
  </si>
  <si>
    <t>+34678762287</t>
  </si>
  <si>
    <t>+34649668492</t>
  </si>
  <si>
    <t>+34630407877</t>
  </si>
  <si>
    <t>+34634571848</t>
  </si>
  <si>
    <t>+34601398062</t>
  </si>
  <si>
    <t>+34639639424</t>
  </si>
  <si>
    <t>28740615E</t>
  </si>
  <si>
    <t>OTEJAV</t>
  </si>
  <si>
    <t>Real 27 10D 41920 Sevilla</t>
  </si>
  <si>
    <t>CURSO</t>
  </si>
  <si>
    <t>ALOGUS</t>
  </si>
  <si>
    <t>Club La Barrosa (Chiclana,Cádiz)</t>
  </si>
  <si>
    <t>Carretera El Erizo s/n, 11139 Chiclana</t>
  </si>
  <si>
    <t>+34656895471</t>
  </si>
  <si>
    <t>+34636758445</t>
  </si>
  <si>
    <t>TRR</t>
  </si>
  <si>
    <t>VIDEO</t>
  </si>
  <si>
    <t>mividaesdecolor@gmail.com</t>
  </si>
  <si>
    <t>Underground</t>
  </si>
  <si>
    <t xml:space="preserve">Angel Rodríguez Castilla 9-28. Dos Hermanas, 41704 </t>
  </si>
  <si>
    <t>PERBJO</t>
  </si>
  <si>
    <t>Anders</t>
  </si>
  <si>
    <t>Calle Morenos 3, 11402 Jerez de la Frontera</t>
  </si>
  <si>
    <t>SENARA</t>
  </si>
  <si>
    <t>27314408E</t>
  </si>
  <si>
    <t xml:space="preserve">Avenida de Bellavista nº 12 - 2ºB </t>
  </si>
  <si>
    <t>PERDOM</t>
  </si>
  <si>
    <t>Underground Pickleball Sevilla</t>
  </si>
  <si>
    <t>YANALI</t>
  </si>
  <si>
    <t>31852176M</t>
  </si>
  <si>
    <t>Glorieta de Letonia 1 Bloque A 9ºC</t>
  </si>
  <si>
    <t>MCKRON</t>
  </si>
  <si>
    <t>.</t>
  </si>
  <si>
    <t>LOPALB</t>
  </si>
  <si>
    <t>53450507W</t>
  </si>
  <si>
    <t>Pikleball Elipaipai</t>
  </si>
  <si>
    <t>Calle pedroches 48 4A</t>
  </si>
  <si>
    <t>MARJUA</t>
  </si>
  <si>
    <t>Calle Doñana, 7- 41120- (GELVES) SEVILLA</t>
  </si>
  <si>
    <t>SAVKAT</t>
  </si>
  <si>
    <t>PERROB</t>
  </si>
  <si>
    <t>50099004J</t>
  </si>
  <si>
    <t>robertoperez@pickleball.rfet.es</t>
  </si>
  <si>
    <t>Comité de Pickleball de la RFET</t>
  </si>
  <si>
    <t>Calle Juan Sánchez 3D Piso 2ºD</t>
  </si>
  <si>
    <t>Y0640950T</t>
  </si>
  <si>
    <t>c/ Miguel Yuste, 29, Bloque A, p14</t>
  </si>
  <si>
    <t>SANTOM</t>
  </si>
  <si>
    <t>Club Deportivo Pickleball Europe (Málaga)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</si>
</sst>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/yyyy"/>
    <numFmt numFmtId="165" formatCode="0.0000"/>
  </numFmts>
  <fonts count="1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</font>
    <font>
      <sz val="11"/>
      <color theme="0"/>
      <name val="Calibri"/>
      <family val="2"/>
    </font>
    <font>
      <sz val="11"/>
      <color rgb="FF9C6500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006100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rgb="FF000000"/>
      <name val="Sans-serif"/>
    </font>
    <font>
      <sz val="10"/>
      <color rgb="FF222222"/>
      <name val="Arial"/>
      <family val="2"/>
    </font>
    <font>
      <sz val="10"/>
      <color rgb="FF212121"/>
      <name val="Arial"/>
      <family val="2"/>
    </font>
    <font>
      <sz val="10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9900"/>
        <bgColor rgb="FFFF990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D5A6BD"/>
        <bgColor rgb="FFD5A6BD"/>
      </patternFill>
    </fill>
    <fill>
      <patternFill patternType="solid">
        <fgColor rgb="FF00FF00"/>
        <bgColor rgb="FF00FF00"/>
      </patternFill>
    </fill>
    <fill>
      <patternFill patternType="solid">
        <fgColor theme="6"/>
        <bgColor theme="6"/>
      </patternFill>
    </fill>
    <fill>
      <patternFill patternType="solid">
        <fgColor rgb="FF00FFFF"/>
        <bgColor rgb="FF00FFFF"/>
      </patternFill>
    </fill>
    <fill>
      <patternFill patternType="solid">
        <fgColor rgb="FF92D050"/>
        <bgColor rgb="FF92D05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7">
    <xf numFmtId="0" fontId="0" fillId="0" borderId="0" xfId="0" applyFont="1" applyAlignment="1"/>
    <xf numFmtId="0" fontId="2" fillId="2" borderId="1" xfId="0" applyFont="1" applyFill="1" applyBorder="1"/>
    <xf numFmtId="0" fontId="5" fillId="0" borderId="1" xfId="0" applyFont="1" applyBorder="1"/>
    <xf numFmtId="164" fontId="6" fillId="0" borderId="0" xfId="0" applyNumberFormat="1" applyFont="1"/>
    <xf numFmtId="0" fontId="5" fillId="0" borderId="0" xfId="0" applyFont="1"/>
    <xf numFmtId="1" fontId="5" fillId="0" borderId="0" xfId="0" applyNumberFormat="1" applyFont="1"/>
    <xf numFmtId="0" fontId="3" fillId="3" borderId="2" xfId="0" applyFont="1" applyFill="1" applyBorder="1"/>
    <xf numFmtId="0" fontId="2" fillId="2" borderId="3" xfId="0" applyFont="1" applyFill="1" applyBorder="1"/>
    <xf numFmtId="0" fontId="6" fillId="0" borderId="0" xfId="0" applyFont="1"/>
    <xf numFmtId="164" fontId="4" fillId="4" borderId="2" xfId="0" applyNumberFormat="1" applyFont="1" applyFill="1" applyBorder="1"/>
    <xf numFmtId="1" fontId="4" fillId="4" borderId="2" xfId="0" applyNumberFormat="1" applyFont="1" applyFill="1" applyBorder="1"/>
    <xf numFmtId="0" fontId="6" fillId="0" borderId="4" xfId="0" applyFont="1" applyBorder="1" applyAlignment="1">
      <alignment wrapText="1"/>
    </xf>
    <xf numFmtId="164" fontId="6" fillId="0" borderId="4" xfId="0" applyNumberFormat="1" applyFont="1" applyBorder="1" applyAlignment="1">
      <alignment horizontal="right" wrapText="1"/>
    </xf>
    <xf numFmtId="0" fontId="6" fillId="0" borderId="4" xfId="0" applyFont="1" applyBorder="1"/>
    <xf numFmtId="0" fontId="6" fillId="0" borderId="4" xfId="0" applyFont="1" applyBorder="1" applyAlignment="1">
      <alignment vertical="center"/>
    </xf>
    <xf numFmtId="0" fontId="2" fillId="2" borderId="3" xfId="0" applyFont="1" applyFill="1" applyBorder="1" applyAlignment="1">
      <alignment horizontal="center"/>
    </xf>
    <xf numFmtId="0" fontId="4" fillId="4" borderId="2" xfId="0" applyFont="1" applyFill="1" applyBorder="1"/>
    <xf numFmtId="0" fontId="5" fillId="0" borderId="0" xfId="0" applyFont="1" applyAlignment="1">
      <alignment horizontal="center"/>
    </xf>
    <xf numFmtId="0" fontId="5" fillId="0" borderId="0" xfId="0" quotePrefix="1" applyFont="1"/>
    <xf numFmtId="164" fontId="5" fillId="0" borderId="0" xfId="0" applyNumberFormat="1" applyFont="1"/>
    <xf numFmtId="0" fontId="6" fillId="0" borderId="0" xfId="0" quotePrefix="1" applyFont="1"/>
    <xf numFmtId="164" fontId="6" fillId="0" borderId="4" xfId="0" applyNumberFormat="1" applyFont="1" applyBorder="1" applyAlignment="1">
      <alignment horizontal="right" wrapText="1"/>
    </xf>
    <xf numFmtId="0" fontId="6" fillId="0" borderId="4" xfId="0" quotePrefix="1" applyFont="1" applyBorder="1" applyAlignment="1">
      <alignment wrapText="1"/>
    </xf>
    <xf numFmtId="0" fontId="6" fillId="0" borderId="5" xfId="0" applyFont="1" applyBorder="1"/>
    <xf numFmtId="164" fontId="6" fillId="0" borderId="0" xfId="0" applyNumberFormat="1" applyFont="1"/>
    <xf numFmtId="0" fontId="5" fillId="0" borderId="0" xfId="0" applyFont="1" applyAlignment="1">
      <alignment wrapText="1"/>
    </xf>
    <xf numFmtId="164" fontId="5" fillId="0" borderId="0" xfId="0" applyNumberFormat="1" applyFont="1"/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8" fillId="6" borderId="2" xfId="0" applyFont="1" applyFill="1" applyBorder="1"/>
    <xf numFmtId="0" fontId="9" fillId="0" borderId="0" xfId="0" applyFont="1"/>
    <xf numFmtId="17" fontId="5" fillId="0" borderId="1" xfId="0" quotePrefix="1" applyNumberFormat="1" applyFont="1" applyBorder="1"/>
    <xf numFmtId="164" fontId="5" fillId="0" borderId="1" xfId="0" applyNumberFormat="1" applyFont="1" applyBorder="1"/>
    <xf numFmtId="0" fontId="9" fillId="0" borderId="1" xfId="0" applyFont="1" applyBorder="1" applyAlignment="1">
      <alignment horizontal="center"/>
    </xf>
    <xf numFmtId="0" fontId="6" fillId="7" borderId="1" xfId="0" applyFont="1" applyFill="1" applyBorder="1"/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8" borderId="2" xfId="0" applyFont="1" applyFill="1" applyBorder="1"/>
    <xf numFmtId="0" fontId="6" fillId="7" borderId="1" xfId="0" applyFont="1" applyFill="1" applyBorder="1" applyAlignment="1">
      <alignment horizontal="left"/>
    </xf>
    <xf numFmtId="0" fontId="9" fillId="9" borderId="2" xfId="0" applyFont="1" applyFill="1" applyBorder="1"/>
    <xf numFmtId="0" fontId="9" fillId="10" borderId="2" xfId="0" applyFont="1" applyFill="1" applyBorder="1"/>
    <xf numFmtId="0" fontId="9" fillId="11" borderId="2" xfId="0" applyFont="1" applyFill="1" applyBorder="1"/>
    <xf numFmtId="0" fontId="9" fillId="12" borderId="2" xfId="0" applyFont="1" applyFill="1" applyBorder="1"/>
    <xf numFmtId="0" fontId="9" fillId="0" borderId="1" xfId="0" applyFont="1" applyBorder="1"/>
    <xf numFmtId="0" fontId="10" fillId="0" borderId="1" xfId="0" applyFont="1" applyBorder="1"/>
    <xf numFmtId="0" fontId="11" fillId="7" borderId="1" xfId="0" applyFont="1" applyFill="1" applyBorder="1" applyAlignment="1">
      <alignment horizontal="left"/>
    </xf>
    <xf numFmtId="0" fontId="12" fillId="7" borderId="1" xfId="0" applyFont="1" applyFill="1" applyBorder="1"/>
    <xf numFmtId="0" fontId="11" fillId="7" borderId="1" xfId="0" applyFont="1" applyFill="1" applyBorder="1"/>
    <xf numFmtId="0" fontId="13" fillId="7" borderId="1" xfId="0" applyFont="1" applyFill="1" applyBorder="1" applyAlignment="1">
      <alignment horizontal="left"/>
    </xf>
    <xf numFmtId="9" fontId="5" fillId="0" borderId="1" xfId="0" applyNumberFormat="1" applyFont="1" applyBorder="1" applyAlignment="1">
      <alignment horizontal="center" vertical="center"/>
    </xf>
    <xf numFmtId="16" fontId="9" fillId="13" borderId="2" xfId="0" applyNumberFormat="1" applyFont="1" applyFill="1" applyBorder="1"/>
    <xf numFmtId="16" fontId="5" fillId="14" borderId="2" xfId="0" applyNumberFormat="1" applyFont="1" applyFill="1" applyBorder="1"/>
    <xf numFmtId="16" fontId="9" fillId="14" borderId="2" xfId="0" applyNumberFormat="1" applyFont="1" applyFill="1" applyBorder="1"/>
    <xf numFmtId="0" fontId="5" fillId="0" borderId="6" xfId="0" applyFont="1" applyBorder="1"/>
    <xf numFmtId="0" fontId="9" fillId="0" borderId="6" xfId="0" applyFont="1" applyBorder="1"/>
    <xf numFmtId="0" fontId="9" fillId="0" borderId="7" xfId="0" applyFont="1" applyBorder="1" applyAlignment="1">
      <alignment horizontal="center"/>
    </xf>
    <xf numFmtId="0" fontId="6" fillId="0" borderId="1" xfId="0" applyFont="1" applyBorder="1" applyAlignment="1">
      <alignment wrapText="1"/>
    </xf>
    <xf numFmtId="0" fontId="5" fillId="8" borderId="2" xfId="0" applyFont="1" applyFill="1" applyBorder="1"/>
    <xf numFmtId="0" fontId="5" fillId="0" borderId="8" xfId="0" applyFont="1" applyBorder="1"/>
    <xf numFmtId="0" fontId="9" fillId="0" borderId="8" xfId="0" applyFont="1" applyBorder="1"/>
    <xf numFmtId="0" fontId="14" fillId="0" borderId="0" xfId="0" applyFont="1"/>
    <xf numFmtId="165" fontId="5" fillId="0" borderId="0" xfId="0" applyNumberFormat="1" applyFont="1"/>
    <xf numFmtId="0" fontId="9" fillId="15" borderId="1" xfId="0" applyFont="1" applyFill="1" applyBorder="1" applyAlignment="1">
      <alignment horizontal="center"/>
    </xf>
    <xf numFmtId="164" fontId="15" fillId="4" borderId="2" xfId="0" applyNumberFormat="1" applyFont="1" applyFill="1" applyBorder="1"/>
    <xf numFmtId="0" fontId="5" fillId="0" borderId="0" xfId="0" applyFont="1" applyBorder="1"/>
    <xf numFmtId="164" fontId="5" fillId="0" borderId="0" xfId="0" applyNumberFormat="1" applyFont="1" applyBorder="1"/>
    <xf numFmtId="0" fontId="5" fillId="0" borderId="0" xfId="0" quotePrefix="1" applyFont="1" applyBorder="1"/>
    <xf numFmtId="0" fontId="0" fillId="0" borderId="0" xfId="0" applyFont="1" applyBorder="1" applyAlignment="1"/>
    <xf numFmtId="0" fontId="6" fillId="0" borderId="0" xfId="0" applyFont="1" applyAlignment="1"/>
    <xf numFmtId="0" fontId="0" fillId="15" borderId="0" xfId="0" applyFont="1" applyFill="1" applyAlignment="1"/>
    <xf numFmtId="16" fontId="0" fillId="17" borderId="0" xfId="0" applyNumberFormat="1" applyFont="1" applyFill="1" applyAlignment="1"/>
    <xf numFmtId="16" fontId="0" fillId="16" borderId="0" xfId="0" applyNumberFormat="1" applyFont="1" applyFill="1" applyAlignment="1"/>
    <xf numFmtId="0" fontId="5" fillId="16" borderId="8" xfId="0" applyFont="1" applyFill="1" applyBorder="1"/>
    <xf numFmtId="0" fontId="5" fillId="16" borderId="1" xfId="0" applyFont="1" applyFill="1" applyBorder="1"/>
    <xf numFmtId="0" fontId="0" fillId="18" borderId="0" xfId="0" applyFont="1" applyFill="1" applyAlignment="1"/>
    <xf numFmtId="0" fontId="0" fillId="19" borderId="0" xfId="0" applyFont="1" applyFill="1" applyAlignment="1"/>
    <xf numFmtId="0" fontId="0" fillId="0" borderId="2" xfId="0" applyBorder="1"/>
    <xf numFmtId="0" fontId="0" fillId="0" borderId="0" xfId="0" quotePrefix="1" applyFont="1" applyAlignment="1"/>
    <xf numFmtId="0" fontId="5" fillId="0" borderId="2" xfId="0" quotePrefix="1" applyFont="1" applyFill="1" applyBorder="1" applyAlignment="1"/>
    <xf numFmtId="0" fontId="6" fillId="0" borderId="0" xfId="0" quotePrefix="1" applyFont="1" applyAlignment="1"/>
    <xf numFmtId="0" fontId="5" fillId="0" borderId="0" xfId="0" quotePrefix="1" applyFont="1" applyAlignment="1"/>
    <xf numFmtId="0" fontId="5" fillId="0" borderId="10" xfId="0" applyFont="1" applyBorder="1" applyAlignment="1">
      <alignment horizontal="center" vertical="center"/>
    </xf>
    <xf numFmtId="0" fontId="5" fillId="0" borderId="9" xfId="0" applyFont="1" applyBorder="1"/>
    <xf numFmtId="14" fontId="0" fillId="0" borderId="0" xfId="0" applyNumberFormat="1" applyFont="1" applyAlignment="1"/>
    <xf numFmtId="14" fontId="6" fillId="0" borderId="0" xfId="0" applyNumberFormat="1" applyFont="1" applyAlignment="1"/>
    <xf numFmtId="0" fontId="2" fillId="2" borderId="2" xfId="0" applyFont="1" applyFill="1" applyBorder="1" applyAlignment="1">
      <alignment horizontal="center"/>
    </xf>
    <xf numFmtId="14" fontId="5" fillId="0" borderId="0" xfId="0" applyNumberFormat="1" applyFont="1"/>
    <xf numFmtId="0" fontId="5" fillId="0" borderId="2" xfId="0" applyFont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1" fillId="0" borderId="9" xfId="0" applyFont="1" applyBorder="1" applyAlignment="1"/>
    <xf numFmtId="0" fontId="5" fillId="0" borderId="9" xfId="0" applyFont="1" applyBorder="1" applyAlignment="1">
      <alignment horizontal="center" vertical="center"/>
    </xf>
    <xf numFmtId="0" fontId="9" fillId="17" borderId="1" xfId="0" applyFont="1" applyFill="1" applyBorder="1" applyAlignment="1">
      <alignment horizontal="center"/>
    </xf>
    <xf numFmtId="0" fontId="6" fillId="0" borderId="4" xfId="0" applyFont="1" applyBorder="1" applyAlignment="1"/>
    <xf numFmtId="0" fontId="2" fillId="2" borderId="9" xfId="0" applyFont="1" applyFill="1" applyBorder="1"/>
    <xf numFmtId="0" fontId="3" fillId="3" borderId="9" xfId="0" applyFont="1" applyFill="1" applyBorder="1"/>
    <xf numFmtId="1" fontId="2" fillId="2" borderId="9" xfId="0" applyNumberFormat="1" applyFont="1" applyFill="1" applyBorder="1"/>
    <xf numFmtId="164" fontId="4" fillId="4" borderId="9" xfId="0" applyNumberFormat="1" applyFont="1" applyFill="1" applyBorder="1"/>
    <xf numFmtId="164" fontId="6" fillId="0" borderId="9" xfId="0" applyNumberFormat="1" applyFont="1" applyBorder="1"/>
    <xf numFmtId="1" fontId="4" fillId="4" borderId="9" xfId="0" applyNumberFormat="1" applyFont="1" applyFill="1" applyBorder="1"/>
    <xf numFmtId="49" fontId="4" fillId="4" borderId="9" xfId="0" applyNumberFormat="1" applyFont="1" applyFill="1" applyBorder="1"/>
    <xf numFmtId="164" fontId="5" fillId="0" borderId="9" xfId="0" applyNumberFormat="1" applyFont="1" applyBorder="1"/>
    <xf numFmtId="14" fontId="5" fillId="0" borderId="9" xfId="0" applyNumberFormat="1" applyFont="1" applyBorder="1"/>
    <xf numFmtId="14" fontId="6" fillId="0" borderId="9" xfId="0" applyNumberFormat="1" applyFont="1" applyBorder="1" applyAlignment="1"/>
    <xf numFmtId="0" fontId="5" fillId="0" borderId="0" xfId="0" applyFont="1" applyAlignment="1"/>
  </cellXfs>
  <cellStyles count="1">
    <cellStyle name="Normal" xfId="0" builtinId="0"/>
  </cellStyles>
  <dxfs count="154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000"/>
  <sheetViews>
    <sheetView workbookViewId="0">
      <selection activeCell="C27" sqref="C27"/>
    </sheetView>
  </sheetViews>
  <sheetFormatPr baseColWidth="10" defaultColWidth="14.44140625" defaultRowHeight="15" customHeight="1"/>
  <cols>
    <col min="1" max="1" width="35.33203125" customWidth="1"/>
    <col min="2" max="2" width="10.6640625" customWidth="1"/>
    <col min="3" max="3" width="13.109375" customWidth="1"/>
    <col min="4" max="4" width="17.44140625" customWidth="1"/>
    <col min="5" max="5" width="10.6640625" customWidth="1"/>
    <col min="6" max="6" width="10.33203125" customWidth="1"/>
    <col min="7" max="7" width="10.88671875" customWidth="1"/>
    <col min="8" max="8" width="18.6640625" customWidth="1"/>
    <col min="9" max="10" width="20.44140625" customWidth="1"/>
    <col min="11" max="11" width="7.88671875" customWidth="1"/>
    <col min="12" max="12" width="22.33203125" customWidth="1"/>
    <col min="13" max="13" width="13" bestFit="1" customWidth="1"/>
    <col min="14" max="14" width="20.6640625" customWidth="1"/>
    <col min="15" max="15" width="47.6640625" bestFit="1" customWidth="1"/>
    <col min="16" max="16" width="10.6640625" customWidth="1"/>
    <col min="17" max="17" width="27" customWidth="1"/>
    <col min="18" max="18" width="13.33203125" customWidth="1"/>
    <col min="19" max="19" width="9.33203125" customWidth="1"/>
    <col min="20" max="21" width="12.6640625" customWidth="1"/>
  </cols>
  <sheetData>
    <row r="1" spans="1:21" ht="14.4">
      <c r="A1" s="96" t="s">
        <v>0</v>
      </c>
      <c r="B1" s="97" t="s">
        <v>1</v>
      </c>
      <c r="C1" s="97" t="s">
        <v>2</v>
      </c>
      <c r="D1" s="97" t="s">
        <v>3</v>
      </c>
      <c r="E1" s="98" t="s">
        <v>4</v>
      </c>
      <c r="F1" s="96" t="s">
        <v>5</v>
      </c>
      <c r="G1" s="96" t="s">
        <v>6</v>
      </c>
      <c r="H1" s="96" t="s">
        <v>7</v>
      </c>
      <c r="I1" s="96" t="s">
        <v>8</v>
      </c>
      <c r="J1" s="96" t="s">
        <v>9</v>
      </c>
      <c r="K1" s="96" t="s">
        <v>10</v>
      </c>
      <c r="L1" s="96" t="s">
        <v>11</v>
      </c>
      <c r="M1" s="96" t="s">
        <v>12</v>
      </c>
      <c r="N1" s="96" t="s">
        <v>13</v>
      </c>
      <c r="O1" s="96" t="s">
        <v>58</v>
      </c>
      <c r="P1" s="96" t="s">
        <v>14</v>
      </c>
      <c r="Q1" s="96" t="s">
        <v>15</v>
      </c>
      <c r="R1" s="96" t="s">
        <v>16</v>
      </c>
      <c r="S1" s="97" t="s">
        <v>17</v>
      </c>
      <c r="T1" s="97" t="s">
        <v>18</v>
      </c>
      <c r="U1" s="97" t="s">
        <v>19</v>
      </c>
    </row>
    <row r="2" spans="1:21" ht="14.4">
      <c r="A2" s="99" t="str">
        <f t="shared" ref="A2:A29" si="0">CONCATENATE(G2," ",H2," ",I2)</f>
        <v>Julián Jiménez Herrera</v>
      </c>
      <c r="B2" s="83">
        <v>1</v>
      </c>
      <c r="C2" s="100">
        <v>45002</v>
      </c>
      <c r="D2" s="83" t="s">
        <v>20</v>
      </c>
      <c r="E2" s="101">
        <f t="shared" ref="E2:E29" si="1">COUNTIF(D:D,D2)</f>
        <v>1</v>
      </c>
      <c r="F2" s="102" t="str">
        <f>VLOOKUP($D2,SOLICITUDES!$C:$V,MATCH(F$1,SOLICITUDES!$1:$1,0)-2,FALSE)</f>
        <v>28914692N</v>
      </c>
      <c r="G2" s="99" t="str">
        <f>VLOOKUP($D2,SOLICITUDES!$C:$V,MATCH(G$1,SOLICITUDES!$1:$1,0)-2,FALSE)</f>
        <v>Julián</v>
      </c>
      <c r="H2" s="99" t="str">
        <f>VLOOKUP($D2,SOLICITUDES!$C:$V,MATCH(H$1,SOLICITUDES!$1:$1,0)-2,FALSE)</f>
        <v>Jiménez</v>
      </c>
      <c r="I2" s="99" t="str">
        <f>VLOOKUP($D2,SOLICITUDES!$C:$V,MATCH(I$1,SOLICITUDES!$1:$1,0)-2,FALSE)</f>
        <v>Herrera</v>
      </c>
      <c r="J2" s="99">
        <f>VLOOKUP($D2,SOLICITUDES!$C:$V,MATCH(J$1,SOLICITUDES!$1:$1,0)-2,FALSE)</f>
        <v>27296</v>
      </c>
      <c r="K2" s="101">
        <f t="shared" ref="K2:K29" ca="1" si="2">IFERROR(YEAR(NOW())-YEAR(J2),0)</f>
        <v>50</v>
      </c>
      <c r="L2" s="101" t="str">
        <f>VLOOKUP($D2,SOLICITUDES!$C:$V,MATCH(L$1,SOLICITUDES!$1:$1,0)-2,FALSE)</f>
        <v>julian.jimenez.herrera@gmail.com</v>
      </c>
      <c r="M2" s="101" t="str">
        <f>VLOOKUP($D2,SOLICITUDES!$C:$V,MATCH(M$1,SOLICITUDES!$1:$1,0)-2,FALSE)</f>
        <v>+34670243162</v>
      </c>
      <c r="N2" s="101" t="str">
        <f>VLOOKUP($D2,SOLICITUDES!$C:$V,MATCH(N$1,SOLICITUDES!$1:$1,0)-2,FALSE)</f>
        <v>Asociación de Andalucía</v>
      </c>
      <c r="O2" s="101" t="str">
        <f>VLOOKUP($D2,SOLICITUDES!$C:$V,MATCH(O$1,SOLICITUDES!$1:$1,0)-2,FALSE)</f>
        <v>Carabela La Pinta, 23</v>
      </c>
      <c r="P2" s="101" t="str">
        <f>VLOOKUP($D2,SOLICITUDES!$C:$V,MATCH(P$1,SOLICITUDES!$1:$1,0)-2,FALSE)</f>
        <v>41 - Sevilla</v>
      </c>
      <c r="Q2" s="101" t="str">
        <f>VLOOKUP($D2,SOLICITUDES!$C:$V,MATCH(Q$1,SOLICITUDES!$1:$1,0)-2,FALSE)</f>
        <v>Club Deportivo Pickleball Sevilla</v>
      </c>
      <c r="R2" s="101">
        <f t="shared" ref="R2:R29" si="3">COUNTIF(D:D,D2)</f>
        <v>1</v>
      </c>
      <c r="S2" s="83"/>
      <c r="T2" s="83" t="s">
        <v>21</v>
      </c>
      <c r="U2" s="83"/>
    </row>
    <row r="3" spans="1:21" ht="14.4">
      <c r="A3" s="99" t="str">
        <f t="shared" si="0"/>
        <v>Maria Luisa Saez Díez</v>
      </c>
      <c r="B3" s="83">
        <v>2</v>
      </c>
      <c r="C3" s="100">
        <v>45002</v>
      </c>
      <c r="D3" s="83" t="s">
        <v>22</v>
      </c>
      <c r="E3" s="101">
        <f t="shared" si="1"/>
        <v>1</v>
      </c>
      <c r="F3" s="102" t="str">
        <f>VLOOKUP($D3,SOLICITUDES!$C:$V,MATCH(F$1,SOLICITUDES!$1:$1,0)-2,FALSE)</f>
        <v>07234314D</v>
      </c>
      <c r="G3" s="99" t="str">
        <f>VLOOKUP($D3,SOLICITUDES!$C:$V,MATCH(G$1,SOLICITUDES!$1:$1,0)-2,FALSE)</f>
        <v>Maria Luisa</v>
      </c>
      <c r="H3" s="99" t="str">
        <f>VLOOKUP($D3,SOLICITUDES!$C:$V,MATCH(H$1,SOLICITUDES!$1:$1,0)-2,FALSE)</f>
        <v>Saez</v>
      </c>
      <c r="I3" s="99" t="str">
        <f>VLOOKUP($D3,SOLICITUDES!$C:$V,MATCH(I$1,SOLICITUDES!$1:$1,0)-2,FALSE)</f>
        <v>Díez</v>
      </c>
      <c r="J3" s="99">
        <f>VLOOKUP($D3,SOLICITUDES!$C:$V,MATCH(J$1,SOLICITUDES!$1:$1,0)-2,FALSE)</f>
        <v>25380</v>
      </c>
      <c r="K3" s="101">
        <f t="shared" ca="1" si="2"/>
        <v>55</v>
      </c>
      <c r="L3" s="101" t="str">
        <f>VLOOKUP($D3,SOLICITUDES!$C:$V,MATCH(L$1,SOLICITUDES!$1:$1,0)-2,FALSE)</f>
        <v>detodounpoco6919@gmail.com</v>
      </c>
      <c r="M3" s="101" t="str">
        <f>VLOOKUP($D3,SOLICITUDES!$C:$V,MATCH(M$1,SOLICITUDES!$1:$1,0)-2,FALSE)</f>
        <v>+34670740862</v>
      </c>
      <c r="N3" s="101" t="str">
        <f>VLOOKUP($D3,SOLICITUDES!$C:$V,MATCH(N$1,SOLICITUDES!$1:$1,0)-2,FALSE)</f>
        <v>Asociación Madrileña</v>
      </c>
      <c r="O3" s="101">
        <f>VLOOKUP($D3,SOLICITUDES!$C:$V,MATCH(O$1,SOLICITUDES!$1:$1,0)-2,FALSE)</f>
        <v>0</v>
      </c>
      <c r="P3" s="101" t="str">
        <f>VLOOKUP($D3,SOLICITUDES!$C:$V,MATCH(P$1,SOLICITUDES!$1:$1,0)-2,FALSE)</f>
        <v>28 - Madrid</v>
      </c>
      <c r="Q3" s="101" t="str">
        <f>VLOOKUP($D3,SOLICITUDES!$C:$V,MATCH(Q$1,SOLICITUDES!$1:$1,0)-2,FALSE)</f>
        <v>Impickados</v>
      </c>
      <c r="R3" s="101">
        <f t="shared" si="3"/>
        <v>1</v>
      </c>
      <c r="S3" s="83"/>
      <c r="T3" s="83" t="s">
        <v>21</v>
      </c>
      <c r="U3" s="83"/>
    </row>
    <row r="4" spans="1:21" ht="14.4">
      <c r="A4" s="99" t="str">
        <f t="shared" si="0"/>
        <v>Juan Carlos García Flores</v>
      </c>
      <c r="B4" s="83">
        <v>3</v>
      </c>
      <c r="C4" s="100">
        <v>45002</v>
      </c>
      <c r="D4" s="83" t="s">
        <v>23</v>
      </c>
      <c r="E4" s="101">
        <f t="shared" si="1"/>
        <v>1</v>
      </c>
      <c r="F4" s="102" t="str">
        <f>VLOOKUP($D4,SOLICITUDES!$C:$V,MATCH(F$1,SOLICITUDES!$1:$1,0)-2,FALSE)</f>
        <v>01820829B</v>
      </c>
      <c r="G4" s="99" t="str">
        <f>VLOOKUP($D4,SOLICITUDES!$C:$V,MATCH(G$1,SOLICITUDES!$1:$1,0)-2,FALSE)</f>
        <v>Juan Carlos</v>
      </c>
      <c r="H4" s="99" t="str">
        <f>VLOOKUP($D4,SOLICITUDES!$C:$V,MATCH(H$1,SOLICITUDES!$1:$1,0)-2,FALSE)</f>
        <v>García</v>
      </c>
      <c r="I4" s="99" t="str">
        <f>VLOOKUP($D4,SOLICITUDES!$C:$V,MATCH(I$1,SOLICITUDES!$1:$1,0)-2,FALSE)</f>
        <v>Flores</v>
      </c>
      <c r="J4" s="99">
        <f>VLOOKUP($D4,SOLICITUDES!$C:$V,MATCH(J$1,SOLICITUDES!$1:$1,0)-2,FALSE)</f>
        <v>23268</v>
      </c>
      <c r="K4" s="101">
        <f t="shared" ca="1" si="2"/>
        <v>61</v>
      </c>
      <c r="L4" s="101" t="str">
        <f>VLOOKUP($D4,SOLICITUDES!$C:$V,MATCH(L$1,SOLICITUDES!$1:$1,0)-2,FALSE)</f>
        <v>jcgarflo@gmail.com</v>
      </c>
      <c r="M4" s="101" t="str">
        <f>VLOOKUP($D4,SOLICITUDES!$C:$V,MATCH(M$1,SOLICITUDES!$1:$1,0)-2,FALSE)</f>
        <v>+34611493755</v>
      </c>
      <c r="N4" s="101" t="str">
        <f>VLOOKUP($D4,SOLICITUDES!$C:$V,MATCH(N$1,SOLICITUDES!$1:$1,0)-2,FALSE)</f>
        <v>Asociación Madrileña</v>
      </c>
      <c r="O4" s="101" t="str">
        <f>VLOOKUP($D4,SOLICITUDES!$C:$V,MATCH(O$1,SOLICITUDES!$1:$1,0)-2,FALSE)</f>
        <v>c/ Miguel Yuste, 29, Bloque A, p14</v>
      </c>
      <c r="P4" s="101" t="str">
        <f>VLOOKUP($D4,SOLICITUDES!$C:$V,MATCH(P$1,SOLICITUDES!$1:$1,0)-2,FALSE)</f>
        <v>28 - Madrid</v>
      </c>
      <c r="Q4" s="101" t="str">
        <f>VLOOKUP($D4,SOLICITUDES!$C:$V,MATCH(Q$1,SOLICITUDES!$1:$1,0)-2,FALSE)</f>
        <v>Vicalvarada Pick</v>
      </c>
      <c r="R4" s="101">
        <f t="shared" si="3"/>
        <v>1</v>
      </c>
      <c r="S4" s="83"/>
      <c r="T4" s="83" t="s">
        <v>21</v>
      </c>
      <c r="U4" s="83" t="s">
        <v>24</v>
      </c>
    </row>
    <row r="5" spans="1:21" ht="14.4">
      <c r="A5" s="99" t="str">
        <f t="shared" si="0"/>
        <v>Eloy Jesús Sánchez-Cid García-Tenorio</v>
      </c>
      <c r="B5" s="83">
        <v>4</v>
      </c>
      <c r="C5" s="100">
        <v>45002</v>
      </c>
      <c r="D5" s="83" t="s">
        <v>25</v>
      </c>
      <c r="E5" s="101">
        <f t="shared" si="1"/>
        <v>1</v>
      </c>
      <c r="F5" s="102" t="str">
        <f>VLOOKUP($D5,SOLICITUDES!$C:$V,MATCH(F$1,SOLICITUDES!$1:$1,0)-2,FALSE)</f>
        <v>05353556F</v>
      </c>
      <c r="G5" s="99" t="str">
        <f>VLOOKUP($D5,SOLICITUDES!$C:$V,MATCH(G$1,SOLICITUDES!$1:$1,0)-2,FALSE)</f>
        <v>Eloy Jesús</v>
      </c>
      <c r="H5" s="99" t="str">
        <f>VLOOKUP($D5,SOLICITUDES!$C:$V,MATCH(H$1,SOLICITUDES!$1:$1,0)-2,FALSE)</f>
        <v>Sánchez-Cid</v>
      </c>
      <c r="I5" s="99" t="str">
        <f>VLOOKUP($D5,SOLICITUDES!$C:$V,MATCH(I$1,SOLICITUDES!$1:$1,0)-2,FALSE)</f>
        <v>García-Tenorio</v>
      </c>
      <c r="J5" s="99">
        <f>VLOOKUP($D5,SOLICITUDES!$C:$V,MATCH(J$1,SOLICITUDES!$1:$1,0)-2,FALSE)</f>
        <v>21163</v>
      </c>
      <c r="K5" s="101">
        <f t="shared" ca="1" si="2"/>
        <v>67</v>
      </c>
      <c r="L5" s="101" t="str">
        <f>VLOOKUP($D5,SOLICITUDES!$C:$V,MATCH(L$1,SOLICITUDES!$1:$1,0)-2,FALSE)</f>
        <v>ejsanchezcidg@gmail.com</v>
      </c>
      <c r="M5" s="101" t="str">
        <f>VLOOKUP($D5,SOLICITUDES!$C:$V,MATCH(M$1,SOLICITUDES!$1:$1,0)-2,FALSE)</f>
        <v>+34633298235</v>
      </c>
      <c r="N5" s="101" t="str">
        <f>VLOOKUP($D5,SOLICITUDES!$C:$V,MATCH(N$1,SOLICITUDES!$1:$1,0)-2,FALSE)</f>
        <v>Asociación Madrileña</v>
      </c>
      <c r="O5" s="101" t="str">
        <f>VLOOKUP($D5,SOLICITUDES!$C:$V,MATCH(O$1,SOLICITUDES!$1:$1,0)-2,FALSE)</f>
        <v>Calle Logroño, 1</v>
      </c>
      <c r="P5" s="101" t="str">
        <f>VLOOKUP($D5,SOLICITUDES!$C:$V,MATCH(P$1,SOLICITUDES!$1:$1,0)-2,FALSE)</f>
        <v>28 - Madrid</v>
      </c>
      <c r="Q5" s="101" t="str">
        <f>VLOOKUP($D5,SOLICITUDES!$C:$V,MATCH(Q$1,SOLICITUDES!$1:$1,0)-2,FALSE)</f>
        <v>Pickleball Growth</v>
      </c>
      <c r="R5" s="101">
        <f t="shared" si="3"/>
        <v>1</v>
      </c>
      <c r="S5" s="83"/>
      <c r="T5" s="83" t="s">
        <v>21</v>
      </c>
      <c r="U5" s="83" t="s">
        <v>26</v>
      </c>
    </row>
    <row r="6" spans="1:21" ht="14.4">
      <c r="A6" s="99" t="str">
        <f t="shared" si="0"/>
        <v>Francisco Javier González Baena</v>
      </c>
      <c r="B6" s="83">
        <v>5</v>
      </c>
      <c r="C6" s="100">
        <v>45055</v>
      </c>
      <c r="D6" s="83" t="s">
        <v>27</v>
      </c>
      <c r="E6" s="101">
        <f t="shared" si="1"/>
        <v>1</v>
      </c>
      <c r="F6" s="102" t="str">
        <f>VLOOKUP($D6,SOLICITUDES!$C:$V,MATCH(F$1,SOLICITUDES!$1:$1,0)-2,FALSE)</f>
        <v>28598883Q</v>
      </c>
      <c r="G6" s="99" t="str">
        <f>VLOOKUP($D6,SOLICITUDES!$C:$V,MATCH(G$1,SOLICITUDES!$1:$1,0)-2,FALSE)</f>
        <v>Francisco Javier</v>
      </c>
      <c r="H6" s="99" t="str">
        <f>VLOOKUP($D6,SOLICITUDES!$C:$V,MATCH(H$1,SOLICITUDES!$1:$1,0)-2,FALSE)</f>
        <v>González</v>
      </c>
      <c r="I6" s="99" t="str">
        <f>VLOOKUP($D6,SOLICITUDES!$C:$V,MATCH(I$1,SOLICITUDES!$1:$1,0)-2,FALSE)</f>
        <v>Baena</v>
      </c>
      <c r="J6" s="99">
        <f>VLOOKUP($D6,SOLICITUDES!$C:$V,MATCH(J$1,SOLICITUDES!$1:$1,0)-2,FALSE)</f>
        <v>26325</v>
      </c>
      <c r="K6" s="101">
        <f t="shared" ca="1" si="2"/>
        <v>52</v>
      </c>
      <c r="L6" s="101" t="str">
        <f>VLOOKUP($D6,SOLICITUDES!$C:$V,MATCH(L$1,SOLICITUDES!$1:$1,0)-2,FALSE)</f>
        <v>jgbaena6@gmail.com</v>
      </c>
      <c r="M6" s="101" t="str">
        <f>VLOOKUP($D6,SOLICITUDES!$C:$V,MATCH(M$1,SOLICITUDES!$1:$1,0)-2,FALSE)</f>
        <v>+34630045042</v>
      </c>
      <c r="N6" s="101" t="str">
        <f>VLOOKUP($D6,SOLICITUDES!$C:$V,MATCH(N$1,SOLICITUDES!$1:$1,0)-2,FALSE)</f>
        <v>Asociación de Andalucía</v>
      </c>
      <c r="O6" s="101" t="str">
        <f>VLOOKUP($D6,SOLICITUDES!$C:$V,MATCH(O$1,SOLICITUDES!$1:$1,0)-2,FALSE)</f>
        <v>Av. De Asia, 74
Bajo B - 41927 Mairena del Aljarafe</v>
      </c>
      <c r="P6" s="101" t="str">
        <f>VLOOKUP($D6,SOLICITUDES!$C:$V,MATCH(P$1,SOLICITUDES!$1:$1,0)-2,FALSE)</f>
        <v>41 - Sevilla</v>
      </c>
      <c r="Q6" s="101" t="str">
        <f>VLOOKUP($D6,SOLICITUDES!$C:$V,MATCH(Q$1,SOLICITUDES!$1:$1,0)-2,FALSE)</f>
        <v>Club Deportivo Pickleball Sevilla</v>
      </c>
      <c r="R6" s="101">
        <f t="shared" si="3"/>
        <v>1</v>
      </c>
      <c r="S6" s="83"/>
      <c r="T6" s="83" t="s">
        <v>21</v>
      </c>
      <c r="U6" s="83"/>
    </row>
    <row r="7" spans="1:21" ht="14.4">
      <c r="A7" s="99" t="str">
        <f t="shared" si="0"/>
        <v>Concha Delgado Raso</v>
      </c>
      <c r="B7" s="83">
        <v>6</v>
      </c>
      <c r="C7" s="100">
        <v>45054</v>
      </c>
      <c r="D7" s="83" t="s">
        <v>28</v>
      </c>
      <c r="E7" s="101">
        <f t="shared" si="1"/>
        <v>1</v>
      </c>
      <c r="F7" s="102" t="str">
        <f>VLOOKUP($D7,SOLICITUDES!$C:$V,MATCH(F$1,SOLICITUDES!$1:$1,0)-2,FALSE)</f>
        <v>50804323Z</v>
      </c>
      <c r="G7" s="99" t="str">
        <f>VLOOKUP($D7,SOLICITUDES!$C:$V,MATCH(G$1,SOLICITUDES!$1:$1,0)-2,FALSE)</f>
        <v>Concha</v>
      </c>
      <c r="H7" s="99" t="str">
        <f>VLOOKUP($D7,SOLICITUDES!$C:$V,MATCH(H$1,SOLICITUDES!$1:$1,0)-2,FALSE)</f>
        <v>Delgado</v>
      </c>
      <c r="I7" s="99" t="str">
        <f>VLOOKUP($D7,SOLICITUDES!$C:$V,MATCH(I$1,SOLICITUDES!$1:$1,0)-2,FALSE)</f>
        <v>Raso</v>
      </c>
      <c r="J7" s="99">
        <f>VLOOKUP($D7,SOLICITUDES!$C:$V,MATCH(J$1,SOLICITUDES!$1:$1,0)-2,FALSE)</f>
        <v>21892</v>
      </c>
      <c r="K7" s="101">
        <f t="shared" ca="1" si="2"/>
        <v>65</v>
      </c>
      <c r="L7" s="101" t="str">
        <f>VLOOKUP($D7,SOLICITUDES!$C:$V,MATCH(L$1,SOLICITUDES!$1:$1,0)-2,FALSE)</f>
        <v>delra.pick@gmail.com</v>
      </c>
      <c r="M7" s="101" t="str">
        <f>VLOOKUP($D7,SOLICITUDES!$C:$V,MATCH(M$1,SOLICITUDES!$1:$1,0)-2,FALSE)</f>
        <v>+34675089376</v>
      </c>
      <c r="N7" s="101" t="str">
        <f>VLOOKUP($D7,SOLICITUDES!$C:$V,MATCH(N$1,SOLICITUDES!$1:$1,0)-2,FALSE)</f>
        <v>Asociación Madrileña</v>
      </c>
      <c r="O7" s="101" t="str">
        <f>VLOOKUP($D7,SOLICITUDES!$C:$V,MATCH(O$1,SOLICITUDES!$1:$1,0)-2,FALSE)</f>
        <v>San Lamberto nº 6 3ºB</v>
      </c>
      <c r="P7" s="101" t="str">
        <f>VLOOKUP($D7,SOLICITUDES!$C:$V,MATCH(P$1,SOLICITUDES!$1:$1,0)-2,FALSE)</f>
        <v>02 - Albacete</v>
      </c>
      <c r="Q7" s="101">
        <f>VLOOKUP($D7,SOLICITUDES!$C:$V,MATCH(Q$1,SOLICITUDES!$1:$1,0)-2,FALSE)</f>
        <v>0</v>
      </c>
      <c r="R7" s="101">
        <f t="shared" si="3"/>
        <v>1</v>
      </c>
      <c r="S7" s="83"/>
      <c r="T7" s="83" t="s">
        <v>21</v>
      </c>
      <c r="U7" s="83"/>
    </row>
    <row r="8" spans="1:21" ht="14.4">
      <c r="A8" s="99" t="str">
        <f t="shared" si="0"/>
        <v>Pilar Begoña Serrano Garrote</v>
      </c>
      <c r="B8" s="83">
        <v>7</v>
      </c>
      <c r="C8" s="100">
        <v>45075</v>
      </c>
      <c r="D8" s="83" t="s">
        <v>29</v>
      </c>
      <c r="E8" s="101">
        <f t="shared" si="1"/>
        <v>1</v>
      </c>
      <c r="F8" s="102" t="str">
        <f>VLOOKUP($D8,SOLICITUDES!$C:$V,MATCH(F$1,SOLICITUDES!$1:$1,0)-2,FALSE)</f>
        <v>5272115D</v>
      </c>
      <c r="G8" s="99" t="str">
        <f>VLOOKUP($D8,SOLICITUDES!$C:$V,MATCH(G$1,SOLICITUDES!$1:$1,0)-2,FALSE)</f>
        <v>Pilar Begoña</v>
      </c>
      <c r="H8" s="99" t="str">
        <f>VLOOKUP($D8,SOLICITUDES!$C:$V,MATCH(H$1,SOLICITUDES!$1:$1,0)-2,FALSE)</f>
        <v>Serrano</v>
      </c>
      <c r="I8" s="99" t="str">
        <f>VLOOKUP($D8,SOLICITUDES!$C:$V,MATCH(I$1,SOLICITUDES!$1:$1,0)-2,FALSE)</f>
        <v>Garrote</v>
      </c>
      <c r="J8" s="99">
        <f>VLOOKUP($D8,SOLICITUDES!$C:$V,MATCH(J$1,SOLICITUDES!$1:$1,0)-2,FALSE)</f>
        <v>24134</v>
      </c>
      <c r="K8" s="101">
        <f t="shared" ca="1" si="2"/>
        <v>58</v>
      </c>
      <c r="L8" s="101" t="str">
        <f>VLOOKUP($D8,SOLICITUDES!$C:$V,MATCH(L$1,SOLICITUDES!$1:$1,0)-2,FALSE)</f>
        <v>pilumpilon@hotmail.com</v>
      </c>
      <c r="M8" s="101" t="str">
        <f>VLOOKUP($D8,SOLICITUDES!$C:$V,MATCH(M$1,SOLICITUDES!$1:$1,0)-2,FALSE)</f>
        <v>+34600710323</v>
      </c>
      <c r="N8" s="101" t="str">
        <f>VLOOKUP($D8,SOLICITUDES!$C:$V,MATCH(N$1,SOLICITUDES!$1:$1,0)-2,FALSE)</f>
        <v>Asociación Madrileña</v>
      </c>
      <c r="O8" s="101" t="str">
        <f>VLOOKUP($D8,SOLICITUDES!$C:$V,MATCH(O$1,SOLICITUDES!$1:$1,0)-2,FALSE)</f>
        <v>c/ Angel Ganivet, 28. Pt.1. 4-B</v>
      </c>
      <c r="P8" s="101" t="str">
        <f>VLOOKUP($D8,SOLICITUDES!$C:$V,MATCH(P$1,SOLICITUDES!$1:$1,0)-2,FALSE)</f>
        <v>28 - Madrid</v>
      </c>
      <c r="Q8" s="101" t="str">
        <f>VLOOKUP($D8,SOLICITUDES!$C:$V,MATCH(Q$1,SOLICITUDES!$1:$1,0)-2,FALSE)</f>
        <v>Pickleball Growth</v>
      </c>
      <c r="R8" s="101">
        <f t="shared" si="3"/>
        <v>1</v>
      </c>
      <c r="S8" s="83"/>
      <c r="T8" s="83" t="s">
        <v>21</v>
      </c>
      <c r="U8" s="83"/>
    </row>
    <row r="9" spans="1:21" ht="14.4">
      <c r="A9" s="99" t="str">
        <f t="shared" si="0"/>
        <v>Gema García Rodríguez</v>
      </c>
      <c r="B9" s="83">
        <v>8</v>
      </c>
      <c r="C9" s="100">
        <v>45107</v>
      </c>
      <c r="D9" s="83" t="s">
        <v>30</v>
      </c>
      <c r="E9" s="101">
        <f t="shared" si="1"/>
        <v>1</v>
      </c>
      <c r="F9" s="102" t="str">
        <f>VLOOKUP($D9,SOLICITUDES!$C:$V,MATCH(F$1,SOLICITUDES!$1:$1,0)-2,FALSE)</f>
        <v>46931145J</v>
      </c>
      <c r="G9" s="99" t="str">
        <f>VLOOKUP($D9,SOLICITUDES!$C:$V,MATCH(G$1,SOLICITUDES!$1:$1,0)-2,FALSE)</f>
        <v>Gema</v>
      </c>
      <c r="H9" s="99" t="str">
        <f>VLOOKUP($D9,SOLICITUDES!$C:$V,MATCH(H$1,SOLICITUDES!$1:$1,0)-2,FALSE)</f>
        <v>García</v>
      </c>
      <c r="I9" s="99" t="str">
        <f>VLOOKUP($D9,SOLICITUDES!$C:$V,MATCH(I$1,SOLICITUDES!$1:$1,0)-2,FALSE)</f>
        <v>Rodríguez</v>
      </c>
      <c r="J9" s="99">
        <f>VLOOKUP($D9,SOLICITUDES!$C:$V,MATCH(J$1,SOLICITUDES!$1:$1,0)-2,FALSE)</f>
        <v>28661</v>
      </c>
      <c r="K9" s="101">
        <f t="shared" ca="1" si="2"/>
        <v>46</v>
      </c>
      <c r="L9" s="101" t="str">
        <f>VLOOKUP($D9,SOLICITUDES!$C:$V,MATCH(L$1,SOLICITUDES!$1:$1,0)-2,FALSE)</f>
        <v>gemuas1@yahoo.es</v>
      </c>
      <c r="M9" s="101" t="str">
        <f>VLOOKUP($D9,SOLICITUDES!$C:$V,MATCH(M$1,SOLICITUDES!$1:$1,0)-2,FALSE)</f>
        <v>+34635688935</v>
      </c>
      <c r="N9" s="101" t="str">
        <f>VLOOKUP($D9,SOLICITUDES!$C:$V,MATCH(N$1,SOLICITUDES!$1:$1,0)-2,FALSE)</f>
        <v>Asociación Madrileña</v>
      </c>
      <c r="O9" s="101" t="str">
        <f>VLOOKUP($D9,SOLICITUDES!$C:$V,MATCH(O$1,SOLICITUDES!$1:$1,0)-2,FALSE)</f>
        <v>CALLE VILLASANDINO 1 BB</v>
      </c>
      <c r="P9" s="101" t="str">
        <f>VLOOKUP($D9,SOLICITUDES!$C:$V,MATCH(P$1,SOLICITUDES!$1:$1,0)-2,FALSE)</f>
        <v>28 - Madrid</v>
      </c>
      <c r="Q9" s="101">
        <f>VLOOKUP($D9,SOLICITUDES!$C:$V,MATCH(Q$1,SOLICITUDES!$1:$1,0)-2,FALSE)</f>
        <v>0</v>
      </c>
      <c r="R9" s="101">
        <f t="shared" si="3"/>
        <v>1</v>
      </c>
      <c r="S9" s="83"/>
      <c r="T9" s="83" t="s">
        <v>21</v>
      </c>
      <c r="U9" s="83"/>
    </row>
    <row r="10" spans="1:21" ht="14.4">
      <c r="A10" s="99" t="str">
        <f t="shared" si="0"/>
        <v>Daniel Hernando Gómez</v>
      </c>
      <c r="B10" s="83">
        <v>9</v>
      </c>
      <c r="C10" s="100">
        <v>45134</v>
      </c>
      <c r="D10" s="83" t="s">
        <v>31</v>
      </c>
      <c r="E10" s="101">
        <f t="shared" si="1"/>
        <v>1</v>
      </c>
      <c r="F10" s="102" t="str">
        <f>VLOOKUP($D10,SOLICITUDES!$C:$V,MATCH(F$1,SOLICITUDES!$1:$1,0)-2,FALSE)</f>
        <v>50111213D</v>
      </c>
      <c r="G10" s="99" t="str">
        <f>VLOOKUP($D10,SOLICITUDES!$C:$V,MATCH(G$1,SOLICITUDES!$1:$1,0)-2,FALSE)</f>
        <v>Daniel</v>
      </c>
      <c r="H10" s="99" t="str">
        <f>VLOOKUP($D10,SOLICITUDES!$C:$V,MATCH(H$1,SOLICITUDES!$1:$1,0)-2,FALSE)</f>
        <v>Hernando</v>
      </c>
      <c r="I10" s="99" t="str">
        <f>VLOOKUP($D10,SOLICITUDES!$C:$V,MATCH(I$1,SOLICITUDES!$1:$1,0)-2,FALSE)</f>
        <v>Gómez</v>
      </c>
      <c r="J10" s="99">
        <f>VLOOKUP($D10,SOLICITUDES!$C:$V,MATCH(J$1,SOLICITUDES!$1:$1,0)-2,FALSE)</f>
        <v>30002</v>
      </c>
      <c r="K10" s="101">
        <f t="shared" ca="1" si="2"/>
        <v>42</v>
      </c>
      <c r="L10" s="101" t="str">
        <f>VLOOKUP($D10,SOLICITUDES!$C:$V,MATCH(L$1,SOLICITUDES!$1:$1,0)-2,FALSE)</f>
        <v>nanielhg@gmail.com</v>
      </c>
      <c r="M10" s="101" t="str">
        <f>VLOOKUP($D10,SOLICITUDES!$C:$V,MATCH(M$1,SOLICITUDES!$1:$1,0)-2,FALSE)</f>
        <v>+34653689295</v>
      </c>
      <c r="N10" s="101" t="str">
        <f>VLOOKUP($D10,SOLICITUDES!$C:$V,MATCH(N$1,SOLICITUDES!$1:$1,0)-2,FALSE)</f>
        <v>Asociación Madrileña</v>
      </c>
      <c r="O10" s="101" t="str">
        <f>VLOOKUP($D10,SOLICITUDES!$C:$V,MATCH(O$1,SOLICITUDES!$1:$1,0)-2,FALSE)</f>
        <v>Villasandino 1</v>
      </c>
      <c r="P10" s="101" t="str">
        <f>VLOOKUP($D10,SOLICITUDES!$C:$V,MATCH(P$1,SOLICITUDES!$1:$1,0)-2,FALSE)</f>
        <v>28 - Madrid</v>
      </c>
      <c r="Q10" s="101" t="str">
        <f>VLOOKUP($D10,SOLICITUDES!$C:$V,MATCH(Q$1,SOLICITUDES!$1:$1,0)-2,FALSE)</f>
        <v>Elipaipai</v>
      </c>
      <c r="R10" s="101">
        <f t="shared" si="3"/>
        <v>1</v>
      </c>
      <c r="S10" s="83"/>
      <c r="T10" s="83" t="s">
        <v>21</v>
      </c>
      <c r="U10" s="83"/>
    </row>
    <row r="11" spans="1:21" ht="14.4">
      <c r="A11" s="99" t="str">
        <f t="shared" si="0"/>
        <v>Salvador Calvo Castelló</v>
      </c>
      <c r="B11" s="83">
        <v>10</v>
      </c>
      <c r="C11" s="100">
        <v>45145</v>
      </c>
      <c r="D11" s="83" t="s">
        <v>32</v>
      </c>
      <c r="E11" s="101">
        <f t="shared" si="1"/>
        <v>1</v>
      </c>
      <c r="F11" s="102" t="str">
        <f>VLOOKUP($D11,SOLICITUDES!$C:$V,MATCH(F$1,SOLICITUDES!$1:$1,0)-2,FALSE)</f>
        <v>52538928M</v>
      </c>
      <c r="G11" s="99" t="str">
        <f>VLOOKUP($D11,SOLICITUDES!$C:$V,MATCH(G$1,SOLICITUDES!$1:$1,0)-2,FALSE)</f>
        <v>Salvador</v>
      </c>
      <c r="H11" s="99" t="str">
        <f>VLOOKUP($D11,SOLICITUDES!$C:$V,MATCH(H$1,SOLICITUDES!$1:$1,0)-2,FALSE)</f>
        <v>Calvo</v>
      </c>
      <c r="I11" s="99" t="str">
        <f>VLOOKUP($D11,SOLICITUDES!$C:$V,MATCH(I$1,SOLICITUDES!$1:$1,0)-2,FALSE)</f>
        <v>Castelló</v>
      </c>
      <c r="J11" s="99">
        <f>VLOOKUP($D11,SOLICITUDES!$C:$V,MATCH(J$1,SOLICITUDES!$1:$1,0)-2,FALSE)</f>
        <v>29659</v>
      </c>
      <c r="K11" s="101">
        <f t="shared" ca="1" si="2"/>
        <v>43</v>
      </c>
      <c r="L11" s="101" t="str">
        <f>VLOOKUP($D11,SOLICITUDES!$C:$V,MATCH(L$1,SOLICITUDES!$1:$1,0)-2,FALSE)</f>
        <v>salva.calvocastello@gmail.com</v>
      </c>
      <c r="M11" s="101" t="str">
        <f>VLOOKUP($D11,SOLICITUDES!$C:$V,MATCH(M$1,SOLICITUDES!$1:$1,0)-2,FALSE)</f>
        <v>+34657812104</v>
      </c>
      <c r="N11" s="101" t="str">
        <f>VLOOKUP($D11,SOLICITUDES!$C:$V,MATCH(N$1,SOLICITUDES!$1:$1,0)-2,FALSE)</f>
        <v>Asociación Madrileña</v>
      </c>
      <c r="O11" s="101" t="str">
        <f>VLOOKUP($D11,SOLICITUDES!$C:$V,MATCH(O$1,SOLICITUDES!$1:$1,0)-2,FALSE)</f>
        <v>AVD Pintor Antonio López n10</v>
      </c>
      <c r="P11" s="101" t="str">
        <f>VLOOKUP($D11,SOLICITUDES!$C:$V,MATCH(P$1,SOLICITUDES!$1:$1,0)-2,FALSE)</f>
        <v>28 - Madrid</v>
      </c>
      <c r="Q11" s="101" t="str">
        <f>VLOOKUP($D11,SOLICITUDES!$C:$V,MATCH(Q$1,SOLICITUDES!$1:$1,0)-2,FALSE)</f>
        <v>No pertenezco a ningún CLUB</v>
      </c>
      <c r="R11" s="101">
        <f t="shared" si="3"/>
        <v>1</v>
      </c>
      <c r="S11" s="83"/>
      <c r="T11" s="83" t="s">
        <v>21</v>
      </c>
      <c r="U11" s="83"/>
    </row>
    <row r="12" spans="1:21" ht="14.4">
      <c r="A12" s="99" t="str">
        <f t="shared" si="0"/>
        <v>Víctor Báez Fernández</v>
      </c>
      <c r="B12" s="83">
        <v>11</v>
      </c>
      <c r="C12" s="100">
        <v>45164</v>
      </c>
      <c r="D12" s="83" t="s">
        <v>33</v>
      </c>
      <c r="E12" s="101">
        <f t="shared" si="1"/>
        <v>1</v>
      </c>
      <c r="F12" s="102" t="str">
        <f>VLOOKUP($D12,SOLICITUDES!$C:$V,MATCH(F$1,SOLICITUDES!$1:$1,0)-2,FALSE)</f>
        <v xml:space="preserve">79022298W </v>
      </c>
      <c r="G12" s="99" t="str">
        <f>VLOOKUP($D12,SOLICITUDES!$C:$V,MATCH(G$1,SOLICITUDES!$1:$1,0)-2,FALSE)</f>
        <v>Víctor</v>
      </c>
      <c r="H12" s="99" t="str">
        <f>VLOOKUP($D12,SOLICITUDES!$C:$V,MATCH(H$1,SOLICITUDES!$1:$1,0)-2,FALSE)</f>
        <v>Báez</v>
      </c>
      <c r="I12" s="99" t="str">
        <f>VLOOKUP($D12,SOLICITUDES!$C:$V,MATCH(I$1,SOLICITUDES!$1:$1,0)-2,FALSE)</f>
        <v>Fernández</v>
      </c>
      <c r="J12" s="99">
        <f>VLOOKUP($D12,SOLICITUDES!$C:$V,MATCH(J$1,SOLICITUDES!$1:$1,0)-2,FALSE)</f>
        <v>30723</v>
      </c>
      <c r="K12" s="101">
        <f t="shared" ca="1" si="2"/>
        <v>40</v>
      </c>
      <c r="L12" s="101" t="str">
        <f>VLOOKUP($D12,SOLICITUDES!$C:$V,MATCH(L$1,SOLICITUDES!$1:$1,0)-2,FALSE)</f>
        <v>victorbaezf@gmail.com</v>
      </c>
      <c r="M12" s="101" t="str">
        <f>VLOOKUP($D12,SOLICITUDES!$C:$V,MATCH(M$1,SOLICITUDES!$1:$1,0)-2,FALSE)</f>
        <v>+34658436672</v>
      </c>
      <c r="N12" s="101" t="str">
        <f>VLOOKUP($D12,SOLICITUDES!$C:$V,MATCH(N$1,SOLICITUDES!$1:$1,0)-2,FALSE)</f>
        <v>No pertenezco a ninguna ASOCIACIÓN</v>
      </c>
      <c r="O12" s="101" t="str">
        <f>VLOOKUP($D12,SOLICITUDES!$C:$V,MATCH(O$1,SOLICITUDES!$1:$1,0)-2,FALSE)</f>
        <v>C/ Carmen Martín Gaite, 38 CP 29580 El Sexmo, Cártama</v>
      </c>
      <c r="P12" s="101" t="str">
        <f>VLOOKUP($D12,SOLICITUDES!$C:$V,MATCH(P$1,SOLICITUDES!$1:$1,0)-2,FALSE)</f>
        <v>29 - Málaga</v>
      </c>
      <c r="Q12" s="101" t="str">
        <f>VLOOKUP($D12,SOLICITUDES!$C:$V,MATCH(Q$1,SOLICITUDES!$1:$1,0)-2,FALSE)</f>
        <v>Pickleball Axarquía</v>
      </c>
      <c r="R12" s="101">
        <f t="shared" si="3"/>
        <v>1</v>
      </c>
      <c r="S12" s="83"/>
      <c r="T12" s="83" t="s">
        <v>21</v>
      </c>
      <c r="U12" s="83" t="s">
        <v>34</v>
      </c>
    </row>
    <row r="13" spans="1:21" ht="14.4">
      <c r="A13" s="99" t="str">
        <f t="shared" si="0"/>
        <v>Patricia García Torres</v>
      </c>
      <c r="B13" s="83">
        <v>12</v>
      </c>
      <c r="C13" s="103">
        <v>45165</v>
      </c>
      <c r="D13" s="83" t="s">
        <v>35</v>
      </c>
      <c r="E13" s="101">
        <f t="shared" si="1"/>
        <v>1</v>
      </c>
      <c r="F13" s="102" t="str">
        <f>VLOOKUP($D13,SOLICITUDES!$C:$V,MATCH(F$1,SOLICITUDES!$1:$1,0)-2,FALSE)</f>
        <v>45311928L</v>
      </c>
      <c r="G13" s="99" t="str">
        <f>VLOOKUP($D13,SOLICITUDES!$C:$V,MATCH(G$1,SOLICITUDES!$1:$1,0)-2,FALSE)</f>
        <v>Patricia</v>
      </c>
      <c r="H13" s="99" t="str">
        <f>VLOOKUP($D13,SOLICITUDES!$C:$V,MATCH(H$1,SOLICITUDES!$1:$1,0)-2,FALSE)</f>
        <v>García</v>
      </c>
      <c r="I13" s="99" t="str">
        <f>VLOOKUP($D13,SOLICITUDES!$C:$V,MATCH(I$1,SOLICITUDES!$1:$1,0)-2,FALSE)</f>
        <v>Torres</v>
      </c>
      <c r="J13" s="99">
        <f>VLOOKUP($D13,SOLICITUDES!$C:$V,MATCH(J$1,SOLICITUDES!$1:$1,0)-2,FALSE)</f>
        <v>32946</v>
      </c>
      <c r="K13" s="101">
        <f t="shared" ca="1" si="2"/>
        <v>34</v>
      </c>
      <c r="L13" s="101" t="str">
        <f>VLOOKUP($D13,SOLICITUDES!$C:$V,MATCH(L$1,SOLICITUDES!$1:$1,0)-2,FALSE)</f>
        <v>gartorpat@gmail.com</v>
      </c>
      <c r="M13" s="101" t="str">
        <f>VLOOKUP($D13,SOLICITUDES!$C:$V,MATCH(M$1,SOLICITUDES!$1:$1,0)-2,FALSE)</f>
        <v>+34680667293</v>
      </c>
      <c r="N13" s="101" t="str">
        <f>VLOOKUP($D13,SOLICITUDES!$C:$V,MATCH(N$1,SOLICITUDES!$1:$1,0)-2,FALSE)</f>
        <v>No pertenezco a ninguna ASOCIACIÓN</v>
      </c>
      <c r="O13" s="101" t="str">
        <f>VLOOKUP($D13,SOLICITUDES!$C:$V,MATCH(O$1,SOLICITUDES!$1:$1,0)-2,FALSE)</f>
        <v>Calle Carmen Martín Gaite 38 29580 Cártama</v>
      </c>
      <c r="P13" s="101" t="str">
        <f>VLOOKUP($D13,SOLICITUDES!$C:$V,MATCH(P$1,SOLICITUDES!$1:$1,0)-2,FALSE)</f>
        <v>29 - Málaga</v>
      </c>
      <c r="Q13" s="101" t="str">
        <f>VLOOKUP($D13,SOLICITUDES!$C:$V,MATCH(Q$1,SOLICITUDES!$1:$1,0)-2,FALSE)</f>
        <v>Pickleball Axarquía</v>
      </c>
      <c r="R13" s="101">
        <f t="shared" si="3"/>
        <v>1</v>
      </c>
      <c r="S13" s="83"/>
      <c r="T13" s="83" t="s">
        <v>21</v>
      </c>
      <c r="U13" s="83" t="s">
        <v>34</v>
      </c>
    </row>
    <row r="14" spans="1:21" ht="14.4">
      <c r="A14" s="99" t="str">
        <f t="shared" si="0"/>
        <v>Javier Ruiz Calvo</v>
      </c>
      <c r="B14" s="83">
        <v>13</v>
      </c>
      <c r="C14" s="103">
        <v>45173</v>
      </c>
      <c r="D14" s="83" t="s">
        <v>36</v>
      </c>
      <c r="E14" s="101">
        <f t="shared" si="1"/>
        <v>1</v>
      </c>
      <c r="F14" s="102" t="str">
        <f>VLOOKUP($D14,SOLICITUDES!$C:$V,MATCH(F$1,SOLICITUDES!$1:$1,0)-2,FALSE)</f>
        <v>03129756P</v>
      </c>
      <c r="G14" s="99" t="str">
        <f>VLOOKUP($D14,SOLICITUDES!$C:$V,MATCH(G$1,SOLICITUDES!$1:$1,0)-2,FALSE)</f>
        <v>Javier</v>
      </c>
      <c r="H14" s="99" t="str">
        <f>VLOOKUP($D14,SOLICITUDES!$C:$V,MATCH(H$1,SOLICITUDES!$1:$1,0)-2,FALSE)</f>
        <v>Ruiz</v>
      </c>
      <c r="I14" s="99" t="str">
        <f>VLOOKUP($D14,SOLICITUDES!$C:$V,MATCH(I$1,SOLICITUDES!$1:$1,0)-2,FALSE)</f>
        <v>Calvo</v>
      </c>
      <c r="J14" s="99">
        <f>VLOOKUP($D14,SOLICITUDES!$C:$V,MATCH(J$1,SOLICITUDES!$1:$1,0)-2,FALSE)</f>
        <v>30209</v>
      </c>
      <c r="K14" s="101">
        <f t="shared" ca="1" si="2"/>
        <v>42</v>
      </c>
      <c r="L14" s="101" t="str">
        <f>VLOOKUP($D14,SOLICITUDES!$C:$V,MATCH(L$1,SOLICITUDES!$1:$1,0)-2,FALSE)</f>
        <v>javiruiz1982@gmail.com</v>
      </c>
      <c r="M14" s="101" t="str">
        <f>VLOOKUP($D14,SOLICITUDES!$C:$V,MATCH(M$1,SOLICITUDES!$1:$1,0)-2,FALSE)</f>
        <v>+34696803918</v>
      </c>
      <c r="N14" s="101" t="str">
        <f>VLOOKUP($D14,SOLICITUDES!$C:$V,MATCH(N$1,SOLICITUDES!$1:$1,0)-2,FALSE)</f>
        <v>No pertenezco a ninguna ASOCIACIÓN</v>
      </c>
      <c r="O14" s="101" t="str">
        <f>VLOOKUP($D14,SOLICITUDES!$C:$V,MATCH(O$1,SOLICITUDES!$1:$1,0)-2,FALSE)</f>
        <v>Travesía Erilla 8, Valdeavellano</v>
      </c>
      <c r="P14" s="101" t="str">
        <f>VLOOKUP($D14,SOLICITUDES!$C:$V,MATCH(P$1,SOLICITUDES!$1:$1,0)-2,FALSE)</f>
        <v>19 - Guadalajara</v>
      </c>
      <c r="Q14" s="101" t="str">
        <f>VLOOKUP($D14,SOLICITUDES!$C:$V,MATCH(Q$1,SOLICITUDES!$1:$1,0)-2,FALSE)</f>
        <v>No pertenezco a ningún CLUB</v>
      </c>
      <c r="R14" s="101">
        <f t="shared" si="3"/>
        <v>1</v>
      </c>
      <c r="S14" s="83"/>
      <c r="T14" s="83" t="s">
        <v>21</v>
      </c>
      <c r="U14" s="83" t="s">
        <v>37</v>
      </c>
    </row>
    <row r="15" spans="1:21" ht="14.4">
      <c r="A15" s="99" t="str">
        <f t="shared" si="0"/>
        <v>Javier  Otero Delgado</v>
      </c>
      <c r="B15" s="83">
        <v>14</v>
      </c>
      <c r="C15" s="104">
        <v>45280</v>
      </c>
      <c r="D15" s="83" t="s">
        <v>609</v>
      </c>
      <c r="E15" s="101">
        <f t="shared" si="1"/>
        <v>1</v>
      </c>
      <c r="F15" s="102" t="str">
        <f>VLOOKUP($D15,SOLICITUDES!$C:$V,MATCH(F$1,SOLICITUDES!$1:$1,0)-2,FALSE)</f>
        <v>28740615E</v>
      </c>
      <c r="G15" s="99" t="str">
        <f>VLOOKUP($D15,SOLICITUDES!$C:$V,MATCH(G$1,SOLICITUDES!$1:$1,0)-2,FALSE)</f>
        <v xml:space="preserve">Javier </v>
      </c>
      <c r="H15" s="99" t="str">
        <f>VLOOKUP($D15,SOLICITUDES!$C:$V,MATCH(H$1,SOLICITUDES!$1:$1,0)-2,FALSE)</f>
        <v>Otero</v>
      </c>
      <c r="I15" s="99" t="str">
        <f>VLOOKUP($D15,SOLICITUDES!$C:$V,MATCH(I$1,SOLICITUDES!$1:$1,0)-2,FALSE)</f>
        <v>Delgado</v>
      </c>
      <c r="J15" s="99">
        <f>VLOOKUP($D15,SOLICITUDES!$C:$V,MATCH(J$1,SOLICITUDES!$1:$1,0)-2,FALSE)</f>
        <v>27279</v>
      </c>
      <c r="K15" s="101">
        <f t="shared" ca="1" si="2"/>
        <v>50</v>
      </c>
      <c r="L15" s="101" t="str">
        <f>VLOOKUP($D15,SOLICITUDES!$C:$V,MATCH(L$1,SOLICITUDES!$1:$1,0)-2,FALSE)</f>
        <v>joterode@gmail.com</v>
      </c>
      <c r="M15" s="101" t="str">
        <f>VLOOKUP($D15,SOLICITUDES!$C:$V,MATCH(M$1,SOLICITUDES!$1:$1,0)-2,FALSE)</f>
        <v>+34656819580</v>
      </c>
      <c r="N15" s="101" t="str">
        <f>VLOOKUP($D15,SOLICITUDES!$C:$V,MATCH(N$1,SOLICITUDES!$1:$1,0)-2,FALSE)</f>
        <v>Asociación de Andalucía</v>
      </c>
      <c r="O15" s="101" t="str">
        <f>VLOOKUP($D15,SOLICITUDES!$C:$V,MATCH(O$1,SOLICITUDES!$1:$1,0)-2,FALSE)</f>
        <v>Real 27 10D 41920 Sevilla</v>
      </c>
      <c r="P15" s="101" t="str">
        <f>VLOOKUP($D15,SOLICITUDES!$C:$V,MATCH(P$1,SOLICITUDES!$1:$1,0)-2,FALSE)</f>
        <v>41 - Sevilla</v>
      </c>
      <c r="Q15" s="101" t="str">
        <f>VLOOKUP($D15,SOLICITUDES!$C:$V,MATCH(Q$1,SOLICITUDES!$1:$1,0)-2,FALSE)</f>
        <v>Club Deportivo Pickleball Sevilla</v>
      </c>
      <c r="R15" s="101">
        <f t="shared" si="3"/>
        <v>1</v>
      </c>
      <c r="S15" s="83"/>
      <c r="T15" s="83" t="s">
        <v>21</v>
      </c>
      <c r="U15" s="83"/>
    </row>
    <row r="16" spans="1:21" ht="14.4">
      <c r="A16" s="99" t="str">
        <f t="shared" si="0"/>
        <v>Gustavo Alonso González</v>
      </c>
      <c r="B16" s="83">
        <v>15</v>
      </c>
      <c r="C16" s="104">
        <v>45293</v>
      </c>
      <c r="D16" s="83" t="s">
        <v>612</v>
      </c>
      <c r="E16" s="101">
        <f t="shared" si="1"/>
        <v>1</v>
      </c>
      <c r="F16" s="102" t="str">
        <f>VLOOKUP($D16,SOLICITUDES!$C:$V,MATCH(F$1,SOLICITUDES!$1:$1,0)-2,FALSE)</f>
        <v>31403527V</v>
      </c>
      <c r="G16" s="99" t="str">
        <f>VLOOKUP($D16,SOLICITUDES!$C:$V,MATCH(G$1,SOLICITUDES!$1:$1,0)-2,FALSE)</f>
        <v>Gustavo</v>
      </c>
      <c r="H16" s="99" t="str">
        <f>VLOOKUP($D16,SOLICITUDES!$C:$V,MATCH(H$1,SOLICITUDES!$1:$1,0)-2,FALSE)</f>
        <v>Alonso</v>
      </c>
      <c r="I16" s="99" t="str">
        <f>VLOOKUP($D16,SOLICITUDES!$C:$V,MATCH(I$1,SOLICITUDES!$1:$1,0)-2,FALSE)</f>
        <v>González</v>
      </c>
      <c r="J16" s="99">
        <f>VLOOKUP($D16,SOLICITUDES!$C:$V,MATCH(J$1,SOLICITUDES!$1:$1,0)-2,FALSE)</f>
        <v>22258</v>
      </c>
      <c r="K16" s="101">
        <f t="shared" ca="1" si="2"/>
        <v>64</v>
      </c>
      <c r="L16" s="101" t="str">
        <f>VLOOKUP($D16,SOLICITUDES!$C:$V,MATCH(L$1,SOLICITUDES!$1:$1,0)-2,FALSE)</f>
        <v>gustavalonso@gmail.com</v>
      </c>
      <c r="M16" s="101" t="str">
        <f>VLOOKUP($D16,SOLICITUDES!$C:$V,MATCH(M$1,SOLICITUDES!$1:$1,0)-2,FALSE)</f>
        <v>+34678762287</v>
      </c>
      <c r="N16" s="101" t="str">
        <f>VLOOKUP($D16,SOLICITUDES!$C:$V,MATCH(N$1,SOLICITUDES!$1:$1,0)-2,FALSE)</f>
        <v>Asociación de Andalucía</v>
      </c>
      <c r="O16" s="101" t="str">
        <f>VLOOKUP($D16,SOLICITUDES!$C:$V,MATCH(O$1,SOLICITUDES!$1:$1,0)-2,FALSE)</f>
        <v>Carretera El Erizo s/n, 11139 Chiclana</v>
      </c>
      <c r="P16" s="101" t="str">
        <f>VLOOKUP($D16,SOLICITUDES!$C:$V,MATCH(P$1,SOLICITUDES!$1:$1,0)-2,FALSE)</f>
        <v>11 - Cádiz</v>
      </c>
      <c r="Q16" s="101" t="str">
        <f>VLOOKUP($D16,SOLICITUDES!$C:$V,MATCH(Q$1,SOLICITUDES!$1:$1,0)-2,FALSE)</f>
        <v>Club La Barrosa (Chiclana,Cádiz)</v>
      </c>
      <c r="R16" s="101">
        <f t="shared" si="3"/>
        <v>1</v>
      </c>
      <c r="S16" s="83"/>
      <c r="T16" s="83" t="s">
        <v>21</v>
      </c>
      <c r="U16" s="83"/>
    </row>
    <row r="17" spans="1:21" ht="14.4">
      <c r="A17" s="99" t="str">
        <f t="shared" si="0"/>
        <v>Maria José Rodríguez Ramos</v>
      </c>
      <c r="B17" s="83">
        <v>16</v>
      </c>
      <c r="C17" s="104">
        <v>45341</v>
      </c>
      <c r="D17" s="83" t="s">
        <v>538</v>
      </c>
      <c r="E17" s="101">
        <f t="shared" si="1"/>
        <v>1</v>
      </c>
      <c r="F17" s="102" t="str">
        <f>VLOOKUP($D17,SOLICITUDES!$C:$V,MATCH(F$1,SOLICITUDES!$1:$1,0)-2,FALSE)</f>
        <v>28868598X</v>
      </c>
      <c r="G17" s="99" t="str">
        <f>VLOOKUP($D17,SOLICITUDES!$C:$V,MATCH(G$1,SOLICITUDES!$1:$1,0)-2,FALSE)</f>
        <v>Maria José</v>
      </c>
      <c r="H17" s="99" t="str">
        <f>VLOOKUP($D17,SOLICITUDES!$C:$V,MATCH(H$1,SOLICITUDES!$1:$1,0)-2,FALSE)</f>
        <v>Rodríguez</v>
      </c>
      <c r="I17" s="99" t="str">
        <f>VLOOKUP($D17,SOLICITUDES!$C:$V,MATCH(I$1,SOLICITUDES!$1:$1,0)-2,FALSE)</f>
        <v>Ramos</v>
      </c>
      <c r="J17" s="99">
        <f>VLOOKUP($D17,SOLICITUDES!$C:$V,MATCH(J$1,SOLICITUDES!$1:$1,0)-2,FALSE)</f>
        <v>24881</v>
      </c>
      <c r="K17" s="101">
        <f t="shared" ca="1" si="2"/>
        <v>56</v>
      </c>
      <c r="L17" s="101" t="str">
        <f>VLOOKUP($D17,SOLICITUDES!$C:$V,MATCH(L$1,SOLICITUDES!$1:$1,0)-2,FALSE)</f>
        <v>mividaesdecolor@gmail.com</v>
      </c>
      <c r="M17" s="101" t="str">
        <f>VLOOKUP($D17,SOLICITUDES!$C:$V,MATCH(M$1,SOLICITUDES!$1:$1,0)-2,FALSE)</f>
        <v>+34607465237</v>
      </c>
      <c r="N17" s="101" t="str">
        <f>VLOOKUP($D17,SOLICITUDES!$C:$V,MATCH(N$1,SOLICITUDES!$1:$1,0)-2,FALSE)</f>
        <v>No pertenezco a ninguna ASOCIACIÓN</v>
      </c>
      <c r="O17" s="101" t="str">
        <f>VLOOKUP($D17,SOLICITUDES!$C:$V,MATCH(O$1,SOLICITUDES!$1:$1,0)-2,FALSE)</f>
        <v xml:space="preserve">Angel Rodríguez Castilla 9-28. Dos Hermanas, 41704 </v>
      </c>
      <c r="P17" s="101" t="str">
        <f>VLOOKUP($D17,SOLICITUDES!$C:$V,MATCH(P$1,SOLICITUDES!$1:$1,0)-2,FALSE)</f>
        <v>41 - Sevilla</v>
      </c>
      <c r="Q17" s="101" t="str">
        <f>VLOOKUP($D17,SOLICITUDES!$C:$V,MATCH(Q$1,SOLICITUDES!$1:$1,0)-2,FALSE)</f>
        <v>Underground</v>
      </c>
      <c r="R17" s="101">
        <f t="shared" si="3"/>
        <v>1</v>
      </c>
      <c r="S17" s="83"/>
      <c r="T17" s="83" t="s">
        <v>21</v>
      </c>
      <c r="U17" s="83"/>
    </row>
    <row r="18" spans="1:21" ht="14.4">
      <c r="A18" s="99" t="str">
        <f t="shared" si="0"/>
        <v>Bjorn Persson Anders</v>
      </c>
      <c r="B18" s="83">
        <v>17</v>
      </c>
      <c r="C18" s="104">
        <v>45341</v>
      </c>
      <c r="D18" s="83" t="s">
        <v>622</v>
      </c>
      <c r="E18" s="101">
        <f t="shared" si="1"/>
        <v>1</v>
      </c>
      <c r="F18" s="102" t="str">
        <f>VLOOKUP($D18,SOLICITUDES!$C:$V,MATCH(F$1,SOLICITUDES!$1:$1,0)-2,FALSE)</f>
        <v>X3764242Q</v>
      </c>
      <c r="G18" s="99" t="str">
        <f>VLOOKUP($D18,SOLICITUDES!$C:$V,MATCH(G$1,SOLICITUDES!$1:$1,0)-2,FALSE)</f>
        <v>Bjorn</v>
      </c>
      <c r="H18" s="99" t="str">
        <f>VLOOKUP($D18,SOLICITUDES!$C:$V,MATCH(H$1,SOLICITUDES!$1:$1,0)-2,FALSE)</f>
        <v>Persson</v>
      </c>
      <c r="I18" s="99" t="str">
        <f>VLOOKUP($D18,SOLICITUDES!$C:$V,MATCH(I$1,SOLICITUDES!$1:$1,0)-2,FALSE)</f>
        <v>Anders</v>
      </c>
      <c r="J18" s="99">
        <f>VLOOKUP($D18,SOLICITUDES!$C:$V,MATCH(J$1,SOLICITUDES!$1:$1,0)-2,FALSE)</f>
        <v>20416</v>
      </c>
      <c r="K18" s="101">
        <f t="shared" ca="1" si="2"/>
        <v>69</v>
      </c>
      <c r="L18" s="101" t="str">
        <f>VLOOKUP($D18,SOLICITUDES!$C:$V,MATCH(L$1,SOLICITUDES!$1:$1,0)-2,FALSE)</f>
        <v>bpersson01@gmail.com</v>
      </c>
      <c r="M18" s="101" t="str">
        <f>VLOOKUP($D18,SOLICITUDES!$C:$V,MATCH(M$1,SOLICITUDES!$1:$1,0)-2,FALSE)</f>
        <v>+34615197741</v>
      </c>
      <c r="N18" s="101" t="str">
        <f>VLOOKUP($D18,SOLICITUDES!$C:$V,MATCH(N$1,SOLICITUDES!$1:$1,0)-2,FALSE)</f>
        <v>Asociación de Andalucía</v>
      </c>
      <c r="O18" s="101" t="str">
        <f>VLOOKUP($D18,SOLICITUDES!$C:$V,MATCH(O$1,SOLICITUDES!$1:$1,0)-2,FALSE)</f>
        <v>Calle Morenos 3, 11402 Jerez de la Frontera</v>
      </c>
      <c r="P18" s="101" t="str">
        <f>VLOOKUP($D18,SOLICITUDES!$C:$V,MATCH(P$1,SOLICITUDES!$1:$1,0)-2,FALSE)</f>
        <v>11 - Cádiz</v>
      </c>
      <c r="Q18" s="101" t="str">
        <f>VLOOKUP($D18,SOLICITUDES!$C:$V,MATCH(Q$1,SOLICITUDES!$1:$1,0)-2,FALSE)</f>
        <v>Pickleball Rota</v>
      </c>
      <c r="R18" s="101">
        <f t="shared" si="3"/>
        <v>1</v>
      </c>
      <c r="S18" s="83"/>
      <c r="T18" s="83" t="s">
        <v>21</v>
      </c>
      <c r="U18" s="83"/>
    </row>
    <row r="19" spans="1:21" ht="14.4">
      <c r="A19" s="99" t="str">
        <f t="shared" si="0"/>
        <v>Araceli Senciales Del Moral</v>
      </c>
      <c r="B19" s="83">
        <v>18</v>
      </c>
      <c r="C19" s="105">
        <v>45338</v>
      </c>
      <c r="D19" s="83" t="s">
        <v>625</v>
      </c>
      <c r="E19" s="101">
        <f t="shared" si="1"/>
        <v>1</v>
      </c>
      <c r="F19" s="102" t="str">
        <f>VLOOKUP($D19,SOLICITUDES!$C:$V,MATCH(F$1,SOLICITUDES!$1:$1,0)-2,FALSE)</f>
        <v>27314408E</v>
      </c>
      <c r="G19" s="99" t="str">
        <f>VLOOKUP($D19,SOLICITUDES!$C:$V,MATCH(G$1,SOLICITUDES!$1:$1,0)-2,FALSE)</f>
        <v>Araceli</v>
      </c>
      <c r="H19" s="99" t="str">
        <f>VLOOKUP($D19,SOLICITUDES!$C:$V,MATCH(H$1,SOLICITUDES!$1:$1,0)-2,FALSE)</f>
        <v>Senciales</v>
      </c>
      <c r="I19" s="99" t="str">
        <f>VLOOKUP($D19,SOLICITUDES!$C:$V,MATCH(I$1,SOLICITUDES!$1:$1,0)-2,FALSE)</f>
        <v>Del Moral</v>
      </c>
      <c r="J19" s="99">
        <f>VLOOKUP($D19,SOLICITUDES!$C:$V,MATCH(J$1,SOLICITUDES!$1:$1,0)-2,FALSE)</f>
        <v>26255</v>
      </c>
      <c r="K19" s="101">
        <f t="shared" ca="1" si="2"/>
        <v>53</v>
      </c>
      <c r="L19" s="101" t="str">
        <f>VLOOKUP($D19,SOLICITUDES!$C:$V,MATCH(L$1,SOLICITUDES!$1:$1,0)-2,FALSE)</f>
        <v>chelisenciales@hotmail.com</v>
      </c>
      <c r="M19" s="101" t="str">
        <f>VLOOKUP($D19,SOLICITUDES!$C:$V,MATCH(M$1,SOLICITUDES!$1:$1,0)-2,FALSE)</f>
        <v>+34636758445</v>
      </c>
      <c r="N19" s="101" t="str">
        <f>VLOOKUP($D19,SOLICITUDES!$C:$V,MATCH(N$1,SOLICITUDES!$1:$1,0)-2,FALSE)</f>
        <v>Asociación de Andalucía</v>
      </c>
      <c r="O19" s="101" t="str">
        <f>VLOOKUP($D19,SOLICITUDES!$C:$V,MATCH(O$1,SOLICITUDES!$1:$1,0)-2,FALSE)</f>
        <v xml:space="preserve">Avenida de Bellavista nº 12 - 2ºB </v>
      </c>
      <c r="P19" s="101" t="str">
        <f>VLOOKUP($D19,SOLICITUDES!$C:$V,MATCH(P$1,SOLICITUDES!$1:$1,0)-2,FALSE)</f>
        <v>41 - Sevilla</v>
      </c>
      <c r="Q19" s="101" t="str">
        <f>VLOOKUP($D19,SOLICITUDES!$C:$V,MATCH(Q$1,SOLICITUDES!$1:$1,0)-2,FALSE)</f>
        <v>Club Deportivo Pickleball Sevilla</v>
      </c>
      <c r="R19" s="101">
        <f t="shared" si="3"/>
        <v>1</v>
      </c>
      <c r="S19" s="83"/>
      <c r="T19" s="83" t="s">
        <v>21</v>
      </c>
      <c r="U19" s="83"/>
    </row>
    <row r="20" spans="1:21" ht="15.75" customHeight="1">
      <c r="A20" s="99" t="str">
        <f t="shared" si="0"/>
        <v>Domini Elias Pereira De Mattos</v>
      </c>
      <c r="B20" s="83">
        <v>19</v>
      </c>
      <c r="C20" s="104">
        <v>45340</v>
      </c>
      <c r="D20" s="83" t="s">
        <v>628</v>
      </c>
      <c r="E20" s="101">
        <f t="shared" si="1"/>
        <v>1</v>
      </c>
      <c r="F20" s="102" t="str">
        <f>VLOOKUP($D20,SOLICITUDES!$C:$V,MATCH(F$1,SOLICITUDES!$1:$1,0)-2,FALSE)</f>
        <v>54783916D</v>
      </c>
      <c r="G20" s="99" t="str">
        <f>VLOOKUP($D20,SOLICITUDES!$C:$V,MATCH(G$1,SOLICITUDES!$1:$1,0)-2,FALSE)</f>
        <v>Domini Elias</v>
      </c>
      <c r="H20" s="99" t="str">
        <f>VLOOKUP($D20,SOLICITUDES!$C:$V,MATCH(H$1,SOLICITUDES!$1:$1,0)-2,FALSE)</f>
        <v>Pereira</v>
      </c>
      <c r="I20" s="99" t="str">
        <f>VLOOKUP($D20,SOLICITUDES!$C:$V,MATCH(I$1,SOLICITUDES!$1:$1,0)-2,FALSE)</f>
        <v>De Mattos</v>
      </c>
      <c r="J20" s="99">
        <f>VLOOKUP($D20,SOLICITUDES!$C:$V,MATCH(J$1,SOLICITUDES!$1:$1,0)-2,FALSE)</f>
        <v>33455</v>
      </c>
      <c r="K20" s="101">
        <f t="shared" ca="1" si="2"/>
        <v>33</v>
      </c>
      <c r="L20" s="101" t="str">
        <f>VLOOKUP($D20,SOLICITUDES!$C:$V,MATCH(L$1,SOLICITUDES!$1:$1,0)-2,FALSE)</f>
        <v>dominielias@gmail.com</v>
      </c>
      <c r="M20" s="101" t="str">
        <f>VLOOKUP($D20,SOLICITUDES!$C:$V,MATCH(M$1,SOLICITUDES!$1:$1,0)-2,FALSE)</f>
        <v>+34649668492</v>
      </c>
      <c r="N20" s="101" t="str">
        <f>VLOOKUP($D20,SOLICITUDES!$C:$V,MATCH(N$1,SOLICITUDES!$1:$1,0)-2,FALSE)</f>
        <v>Asociación de Andalucía</v>
      </c>
      <c r="O20" s="101" t="str">
        <f>VLOOKUP($D20,SOLICITUDES!$C:$V,MATCH(O$1,SOLICITUDES!$1:$1,0)-2,FALSE)</f>
        <v>Avenida Adolfo Suarez 8 1A - 41704 - Dos Hermanas</v>
      </c>
      <c r="P20" s="101" t="str">
        <f>VLOOKUP($D20,SOLICITUDES!$C:$V,MATCH(P$1,SOLICITUDES!$1:$1,0)-2,FALSE)</f>
        <v>41 - Sevilla</v>
      </c>
      <c r="Q20" s="101" t="str">
        <f>VLOOKUP($D20,SOLICITUDES!$C:$V,MATCH(Q$1,SOLICITUDES!$1:$1,0)-2,FALSE)</f>
        <v>Underground Pickleball Sevilla</v>
      </c>
      <c r="R20" s="101">
        <f t="shared" si="3"/>
        <v>1</v>
      </c>
      <c r="S20" s="83"/>
      <c r="T20" s="83" t="s">
        <v>21</v>
      </c>
      <c r="U20" s="83"/>
    </row>
    <row r="21" spans="1:21" ht="15.75" customHeight="1">
      <c r="A21" s="99" t="str">
        <f t="shared" si="0"/>
        <v>Alicia  Yanes Cabrera</v>
      </c>
      <c r="B21" s="83">
        <v>20</v>
      </c>
      <c r="C21" s="104">
        <v>45341</v>
      </c>
      <c r="D21" s="83" t="s">
        <v>630</v>
      </c>
      <c r="E21" s="101">
        <f t="shared" si="1"/>
        <v>1</v>
      </c>
      <c r="F21" s="102" t="str">
        <f>VLOOKUP($D21,SOLICITUDES!$C:$V,MATCH(F$1,SOLICITUDES!$1:$1,0)-2,FALSE)</f>
        <v>31852176M</v>
      </c>
      <c r="G21" s="99" t="str">
        <f>VLOOKUP($D21,SOLICITUDES!$C:$V,MATCH(G$1,SOLICITUDES!$1:$1,0)-2,FALSE)</f>
        <v xml:space="preserve">Alicia </v>
      </c>
      <c r="H21" s="99" t="str">
        <f>VLOOKUP($D21,SOLICITUDES!$C:$V,MATCH(H$1,SOLICITUDES!$1:$1,0)-2,FALSE)</f>
        <v>Yanes</v>
      </c>
      <c r="I21" s="99" t="str">
        <f>VLOOKUP($D21,SOLICITUDES!$C:$V,MATCH(I$1,SOLICITUDES!$1:$1,0)-2,FALSE)</f>
        <v>Cabrera</v>
      </c>
      <c r="J21" s="99">
        <f>VLOOKUP($D21,SOLICITUDES!$C:$V,MATCH(J$1,SOLICITUDES!$1:$1,0)-2,FALSE)</f>
        <v>25737</v>
      </c>
      <c r="K21" s="101">
        <f t="shared" ca="1" si="2"/>
        <v>54</v>
      </c>
      <c r="L21" s="101" t="str">
        <f>VLOOKUP($D21,SOLICITUDES!$C:$V,MATCH(L$1,SOLICITUDES!$1:$1,0)-2,FALSE)</f>
        <v>ayanesc@gmail.com</v>
      </c>
      <c r="M21" s="101" t="str">
        <f>VLOOKUP($D21,SOLICITUDES!$C:$V,MATCH(M$1,SOLICITUDES!$1:$1,0)-2,FALSE)</f>
        <v>+34656895471</v>
      </c>
      <c r="N21" s="101" t="str">
        <f>VLOOKUP($D21,SOLICITUDES!$C:$V,MATCH(N$1,SOLICITUDES!$1:$1,0)-2,FALSE)</f>
        <v>Asociación de Andalucía</v>
      </c>
      <c r="O21" s="101" t="str">
        <f>VLOOKUP($D21,SOLICITUDES!$C:$V,MATCH(O$1,SOLICITUDES!$1:$1,0)-2,FALSE)</f>
        <v>Glorieta de Letonia 1 Bloque A 9ºC</v>
      </c>
      <c r="P21" s="101" t="str">
        <f>VLOOKUP($D21,SOLICITUDES!$C:$V,MATCH(P$1,SOLICITUDES!$1:$1,0)-2,FALSE)</f>
        <v>41 - Sevilla</v>
      </c>
      <c r="Q21" s="101" t="str">
        <f>VLOOKUP($D21,SOLICITUDES!$C:$V,MATCH(Q$1,SOLICITUDES!$1:$1,0)-2,FALSE)</f>
        <v>Club Deportivo Pickleball Sevilla</v>
      </c>
      <c r="R21" s="101">
        <f t="shared" si="3"/>
        <v>1</v>
      </c>
      <c r="S21" s="83"/>
      <c r="T21" s="83" t="s">
        <v>21</v>
      </c>
      <c r="U21" s="83"/>
    </row>
    <row r="22" spans="1:21" ht="15.75" customHeight="1">
      <c r="A22" s="99" t="str">
        <f t="shared" si="0"/>
        <v>Ronnie McKee .</v>
      </c>
      <c r="B22" s="83">
        <v>21</v>
      </c>
      <c r="C22" s="105">
        <v>45341</v>
      </c>
      <c r="D22" s="83" t="s">
        <v>633</v>
      </c>
      <c r="E22" s="101">
        <f t="shared" si="1"/>
        <v>1</v>
      </c>
      <c r="F22" s="102" t="str">
        <f>VLOOKUP($D22,SOLICITUDES!$C:$V,MATCH(F$1,SOLICITUDES!$1:$1,0)-2,FALSE)</f>
        <v xml:space="preserve">X6611144R </v>
      </c>
      <c r="G22" s="99" t="str">
        <f>VLOOKUP($D22,SOLICITUDES!$C:$V,MATCH(G$1,SOLICITUDES!$1:$1,0)-2,FALSE)</f>
        <v>Ronnie</v>
      </c>
      <c r="H22" s="99" t="str">
        <f>VLOOKUP($D22,SOLICITUDES!$C:$V,MATCH(H$1,SOLICITUDES!$1:$1,0)-2,FALSE)</f>
        <v>McKee</v>
      </c>
      <c r="I22" s="99" t="s">
        <v>634</v>
      </c>
      <c r="J22" s="99">
        <f>VLOOKUP($D22,SOLICITUDES!$C:$V,MATCH(J$1,SOLICITUDES!$1:$1,0)-2,FALSE)</f>
        <v>18642</v>
      </c>
      <c r="K22" s="101">
        <f t="shared" ca="1" si="2"/>
        <v>73</v>
      </c>
      <c r="L22" s="101" t="str">
        <f>VLOOKUP($D22,SOLICITUDES!$C:$V,MATCH(L$1,SOLICITUDES!$1:$1,0)-2,FALSE)</f>
        <v>ronnieruth@gmail.com</v>
      </c>
      <c r="M22" s="101" t="str">
        <f>VLOOKUP($D22,SOLICITUDES!$C:$V,MATCH(M$1,SOLICITUDES!$1:$1,0)-2,FALSE)</f>
        <v>+34669323339</v>
      </c>
      <c r="N22" s="101" t="str">
        <f>VLOOKUP($D22,SOLICITUDES!$C:$V,MATCH(N$1,SOLICITUDES!$1:$1,0)-2,FALSE)</f>
        <v>Asociación de Andalucía</v>
      </c>
      <c r="O22" s="101" t="str">
        <f>VLOOKUP($D22,SOLICITUDES!$C:$V,MATCH(O$1,SOLICITUDES!$1:$1,0)-2,FALSE)</f>
        <v>Calle Morenos 3, 11402 Jerez de la Frontera</v>
      </c>
      <c r="P22" s="101" t="str">
        <f>VLOOKUP($D22,SOLICITUDES!$C:$V,MATCH(P$1,SOLICITUDES!$1:$1,0)-2,FALSE)</f>
        <v>11 - Cádiz</v>
      </c>
      <c r="Q22" s="101" t="str">
        <f>VLOOKUP($D22,SOLICITUDES!$C:$V,MATCH(Q$1,SOLICITUDES!$1:$1,0)-2,FALSE)</f>
        <v>Pickleball Rota</v>
      </c>
      <c r="R22" s="101">
        <f t="shared" si="3"/>
        <v>1</v>
      </c>
      <c r="S22" s="83"/>
      <c r="T22" s="83" t="s">
        <v>21</v>
      </c>
      <c r="U22" s="83"/>
    </row>
    <row r="23" spans="1:21" ht="15.75" customHeight="1">
      <c r="A23" s="99" t="str">
        <f t="shared" si="0"/>
        <v>Alberto Hernando López de la Manzanara</v>
      </c>
      <c r="B23" s="83">
        <v>22</v>
      </c>
      <c r="C23" s="104">
        <v>45359</v>
      </c>
      <c r="D23" s="83" t="s">
        <v>635</v>
      </c>
      <c r="E23" s="101">
        <f t="shared" si="1"/>
        <v>1</v>
      </c>
      <c r="F23" s="102" t="str">
        <f>VLOOKUP($D23,SOLICITUDES!$C:$V,MATCH(F$1,SOLICITUDES!$1:$1,0)-2,FALSE)</f>
        <v>53450507W</v>
      </c>
      <c r="G23" s="99" t="str">
        <f>VLOOKUP($D23,SOLICITUDES!$C:$V,MATCH(G$1,SOLICITUDES!$1:$1,0)-2,FALSE)</f>
        <v>Alberto Hernando</v>
      </c>
      <c r="H23" s="99" t="str">
        <f>VLOOKUP($D23,SOLICITUDES!$C:$V,MATCH(H$1,SOLICITUDES!$1:$1,0)-2,FALSE)</f>
        <v>López</v>
      </c>
      <c r="I23" s="99" t="str">
        <f>VLOOKUP($D23,SOLICITUDES!$C:$V,MATCH(I$1,SOLICITUDES!$1:$1,0)-2,FALSE)</f>
        <v>de la Manzanara</v>
      </c>
      <c r="J23" s="99">
        <f>VLOOKUP($D23,SOLICITUDES!$C:$V,MATCH(J$1,SOLICITUDES!$1:$1,0)-2,FALSE)</f>
        <v>31511</v>
      </c>
      <c r="K23" s="101">
        <f t="shared" ca="1" si="2"/>
        <v>38</v>
      </c>
      <c r="L23" s="101" t="str">
        <f>VLOOKUP($D23,SOLICITUDES!$C:$V,MATCH(L$1,SOLICITUDES!$1:$1,0)-2,FALSE)</f>
        <v>delfinocamela@outlook.es</v>
      </c>
      <c r="M23" s="101" t="str">
        <f>VLOOKUP($D23,SOLICITUDES!$C:$V,MATCH(M$1,SOLICITUDES!$1:$1,0)-2,FALSE)</f>
        <v>+34658269870</v>
      </c>
      <c r="N23" s="101" t="str">
        <f>VLOOKUP($D23,SOLICITUDES!$C:$V,MATCH(N$1,SOLICITUDES!$1:$1,0)-2,FALSE)</f>
        <v>Asociación Madrileña</v>
      </c>
      <c r="O23" s="101" t="str">
        <f>VLOOKUP($D23,SOLICITUDES!$C:$V,MATCH(O$1,SOLICITUDES!$1:$1,0)-2,FALSE)</f>
        <v>Calle pedroches 48 4A</v>
      </c>
      <c r="P23" s="101" t="str">
        <f>VLOOKUP($D23,SOLICITUDES!$C:$V,MATCH(P$1,SOLICITUDES!$1:$1,0)-2,FALSE)</f>
        <v>28 - Madrid</v>
      </c>
      <c r="Q23" s="101" t="str">
        <f>VLOOKUP($D23,SOLICITUDES!$C:$V,MATCH(Q$1,SOLICITUDES!$1:$1,0)-2,FALSE)</f>
        <v>Pikleball Elipaipai</v>
      </c>
      <c r="R23" s="101">
        <f t="shared" si="3"/>
        <v>1</v>
      </c>
      <c r="S23" s="83"/>
      <c r="T23" s="83" t="s">
        <v>21</v>
      </c>
      <c r="U23" s="83"/>
    </row>
    <row r="24" spans="1:21" ht="15.75" customHeight="1">
      <c r="A24" s="99" t="str">
        <f t="shared" si="0"/>
        <v>Juan Luis Marinas Ponte</v>
      </c>
      <c r="B24" s="83">
        <v>23</v>
      </c>
      <c r="C24" s="104">
        <v>45359</v>
      </c>
      <c r="D24" s="83" t="s">
        <v>639</v>
      </c>
      <c r="E24" s="101">
        <f t="shared" si="1"/>
        <v>1</v>
      </c>
      <c r="F24" s="102" t="str">
        <f>VLOOKUP($D24,SOLICITUDES!$C:$V,MATCH(F$1,SOLICITUDES!$1:$1,0)-2,FALSE)</f>
        <v>28898525Z</v>
      </c>
      <c r="G24" s="99" t="str">
        <f>VLOOKUP($D24,SOLICITUDES!$C:$V,MATCH(G$1,SOLICITUDES!$1:$1,0)-2,FALSE)</f>
        <v>Juan Luis</v>
      </c>
      <c r="H24" s="99" t="str">
        <f>VLOOKUP($D24,SOLICITUDES!$C:$V,MATCH(H$1,SOLICITUDES!$1:$1,0)-2,FALSE)</f>
        <v>Marinas</v>
      </c>
      <c r="I24" s="99" t="str">
        <f>VLOOKUP($D24,SOLICITUDES!$C:$V,MATCH(I$1,SOLICITUDES!$1:$1,0)-2,FALSE)</f>
        <v>Ponte</v>
      </c>
      <c r="J24" s="99">
        <f>VLOOKUP($D24,SOLICITUDES!$C:$V,MATCH(J$1,SOLICITUDES!$1:$1,0)-2,FALSE)</f>
        <v>25152</v>
      </c>
      <c r="K24" s="101">
        <f t="shared" ca="1" si="2"/>
        <v>56</v>
      </c>
      <c r="L24" s="101" t="str">
        <f>VLOOKUP($D24,SOLICITUDES!$C:$V,MATCH(L$1,SOLICITUDES!$1:$1,0)-2,FALSE)</f>
        <v>jlmponte@hotmail.com</v>
      </c>
      <c r="M24" s="101" t="str">
        <f>VLOOKUP($D24,SOLICITUDES!$C:$V,MATCH(M$1,SOLICITUDES!$1:$1,0)-2,FALSE)</f>
        <v>+34629452405</v>
      </c>
      <c r="N24" s="101" t="str">
        <f>VLOOKUP($D24,SOLICITUDES!$C:$V,MATCH(N$1,SOLICITUDES!$1:$1,0)-2,FALSE)</f>
        <v>Asociación de Andalucía</v>
      </c>
      <c r="O24" s="101" t="str">
        <f>VLOOKUP($D24,SOLICITUDES!$C:$V,MATCH(O$1,SOLICITUDES!$1:$1,0)-2,FALSE)</f>
        <v>Calle Doñana, 7- 41120- (GELVES) SEVILLA</v>
      </c>
      <c r="P24" s="101" t="str">
        <f>VLOOKUP($D24,SOLICITUDES!$C:$V,MATCH(P$1,SOLICITUDES!$1:$1,0)-2,FALSE)</f>
        <v>41 - Sevilla</v>
      </c>
      <c r="Q24" s="101" t="str">
        <f>VLOOKUP($D24,SOLICITUDES!$C:$V,MATCH(Q$1,SOLICITUDES!$1:$1,0)-2,FALSE)</f>
        <v>Club Deportivo Pickleball Sevilla</v>
      </c>
      <c r="R24" s="101">
        <f t="shared" si="3"/>
        <v>1</v>
      </c>
      <c r="S24" s="83"/>
      <c r="T24" s="83" t="s">
        <v>21</v>
      </c>
      <c r="U24" s="83"/>
    </row>
    <row r="25" spans="1:21" ht="15.75" customHeight="1">
      <c r="A25" s="99" t="str">
        <f t="shared" si="0"/>
        <v>Roberto Pérez Gómez</v>
      </c>
      <c r="B25" s="83">
        <v>24</v>
      </c>
      <c r="C25" s="104">
        <v>45363</v>
      </c>
      <c r="D25" s="83" t="s">
        <v>642</v>
      </c>
      <c r="E25" s="101">
        <f t="shared" si="1"/>
        <v>1</v>
      </c>
      <c r="F25" s="102" t="str">
        <f>VLOOKUP($D25,SOLICITUDES!$C:$V,MATCH(F$1,SOLICITUDES!$1:$1,0)-2,FALSE)</f>
        <v>50099004J</v>
      </c>
      <c r="G25" s="99" t="str">
        <f>VLOOKUP($D25,SOLICITUDES!$C:$V,MATCH(G$1,SOLICITUDES!$1:$1,0)-2,FALSE)</f>
        <v>Roberto</v>
      </c>
      <c r="H25" s="99" t="str">
        <f>VLOOKUP($D25,SOLICITUDES!$C:$V,MATCH(H$1,SOLICITUDES!$1:$1,0)-2,FALSE)</f>
        <v>Pérez</v>
      </c>
      <c r="I25" s="99" t="str">
        <f>VLOOKUP($D25,SOLICITUDES!$C:$V,MATCH(I$1,SOLICITUDES!$1:$1,0)-2,FALSE)</f>
        <v>Gómez</v>
      </c>
      <c r="J25" s="99">
        <f>VLOOKUP($D25,SOLICITUDES!$C:$V,MATCH(J$1,SOLICITUDES!$1:$1,0)-2,FALSE)</f>
        <v>27013</v>
      </c>
      <c r="K25" s="101">
        <f t="shared" ca="1" si="2"/>
        <v>51</v>
      </c>
      <c r="L25" s="101" t="str">
        <f>VLOOKUP($D25,SOLICITUDES!$C:$V,MATCH(L$1,SOLICITUDES!$1:$1,0)-2,FALSE)</f>
        <v>robertoperez@pickleball.rfet.es</v>
      </c>
      <c r="M25" s="101" t="str">
        <f>VLOOKUP($D25,SOLICITUDES!$C:$V,MATCH(M$1,SOLICITUDES!$1:$1,0)-2,FALSE)</f>
        <v>+34649619989</v>
      </c>
      <c r="N25" s="101" t="str">
        <f>VLOOKUP($D25,SOLICITUDES!$C:$V,MATCH(N$1,SOLICITUDES!$1:$1,0)-2,FALSE)</f>
        <v>Comité de Pickleball de la RFET</v>
      </c>
      <c r="O25" s="101" t="str">
        <f>VLOOKUP($D25,SOLICITUDES!$C:$V,MATCH(O$1,SOLICITUDES!$1:$1,0)-2,FALSE)</f>
        <v>Calle Juan Sánchez 3D Piso 2ºD</v>
      </c>
      <c r="P25" s="101" t="str">
        <f>VLOOKUP($D25,SOLICITUDES!$C:$V,MATCH(P$1,SOLICITUDES!$1:$1,0)-2,FALSE)</f>
        <v>28 - Madrid</v>
      </c>
      <c r="Q25" s="101">
        <f>VLOOKUP($D25,SOLICITUDES!$C:$V,MATCH(Q$1,SOLICITUDES!$1:$1,0)-2,FALSE)</f>
        <v>0</v>
      </c>
      <c r="R25" s="101">
        <f t="shared" si="3"/>
        <v>1</v>
      </c>
      <c r="S25" s="83"/>
      <c r="T25" s="83" t="s">
        <v>21</v>
      </c>
      <c r="U25" s="83"/>
    </row>
    <row r="26" spans="1:21" ht="15.75" customHeight="1">
      <c r="A26" s="99" t="str">
        <f t="shared" si="0"/>
        <v>Katlin  Savva .</v>
      </c>
      <c r="B26" s="83">
        <v>25</v>
      </c>
      <c r="C26" s="104">
        <v>45364</v>
      </c>
      <c r="D26" s="83" t="s">
        <v>641</v>
      </c>
      <c r="E26" s="101">
        <f t="shared" si="1"/>
        <v>1</v>
      </c>
      <c r="F26" s="102" t="str">
        <f>VLOOKUP($D26,SOLICITUDES!$C:$V,MATCH(F$1,SOLICITUDES!$1:$1,0)-2,FALSE)</f>
        <v>Y0640950T</v>
      </c>
      <c r="G26" s="99" t="str">
        <f>VLOOKUP($D26,SOLICITUDES!$C:$V,MATCH(G$1,SOLICITUDES!$1:$1,0)-2,FALSE)</f>
        <v xml:space="preserve">Katlin </v>
      </c>
      <c r="H26" s="99" t="str">
        <f>VLOOKUP($D26,SOLICITUDES!$C:$V,MATCH(H$1,SOLICITUDES!$1:$1,0)-2,FALSE)</f>
        <v>Savva</v>
      </c>
      <c r="I26" s="99" t="str">
        <f>VLOOKUP($D26,SOLICITUDES!$C:$V,MATCH(I$1,SOLICITUDES!$1:$1,0)-2,FALSE)</f>
        <v>.</v>
      </c>
      <c r="J26" s="99">
        <f>VLOOKUP($D26,SOLICITUDES!$C:$V,MATCH(J$1,SOLICITUDES!$1:$1,0)-2,FALSE)</f>
        <v>32943</v>
      </c>
      <c r="K26" s="101">
        <f t="shared" ca="1" si="2"/>
        <v>34</v>
      </c>
      <c r="L26" s="101" t="str">
        <f>VLOOKUP($D26,SOLICITUDES!$C:$V,MATCH(L$1,SOLICITUDES!$1:$1,0)-2,FALSE)</f>
        <v>katlinsavva@hotmail.com</v>
      </c>
      <c r="M26" s="101" t="str">
        <f>VLOOKUP($D26,SOLICITUDES!$C:$V,MATCH(M$1,SOLICITUDES!$1:$1,0)-2,FALSE)</f>
        <v>+34644375576</v>
      </c>
      <c r="N26" s="101" t="str">
        <f>VLOOKUP($D26,SOLICITUDES!$C:$V,MATCH(N$1,SOLICITUDES!$1:$1,0)-2,FALSE)</f>
        <v>No pertenezco a ninguna ASOCIACIÓN</v>
      </c>
      <c r="O26" s="101" t="str">
        <f>VLOOKUP($D26,SOLICITUDES!$C:$V,MATCH(O$1,SOLICITUDES!$1:$1,0)-2,FALSE)</f>
        <v>Travesía Erilla 8, Valdeavellano</v>
      </c>
      <c r="P26" s="101" t="str">
        <f>VLOOKUP($D26,SOLICITUDES!$C:$V,MATCH(P$1,SOLICITUDES!$1:$1,0)-2,FALSE)</f>
        <v>19 - Guadalajara</v>
      </c>
      <c r="Q26" s="101" t="str">
        <f>VLOOKUP($D26,SOLICITUDES!$C:$V,MATCH(Q$1,SOLICITUDES!$1:$1,0)-2,FALSE)</f>
        <v>Pickleball Growth</v>
      </c>
      <c r="R26" s="101">
        <f t="shared" si="3"/>
        <v>1</v>
      </c>
      <c r="S26" s="83"/>
      <c r="T26" s="83" t="s">
        <v>21</v>
      </c>
      <c r="U26" s="83"/>
    </row>
    <row r="27" spans="1:21" ht="15.75" customHeight="1">
      <c r="A27" s="99" t="str">
        <f t="shared" si="0"/>
        <v>Tomás Santiago Otero</v>
      </c>
      <c r="B27" s="83">
        <v>26</v>
      </c>
      <c r="C27" s="104">
        <v>45382</v>
      </c>
      <c r="D27" s="83" t="s">
        <v>649</v>
      </c>
      <c r="E27" s="101">
        <f t="shared" si="1"/>
        <v>1</v>
      </c>
      <c r="F27" s="102" t="str">
        <f>VLOOKUP($D27,SOLICITUDES!$C:$V,MATCH(F$1,SOLICITUDES!$1:$1,0)-2,FALSE)</f>
        <v>25738957W</v>
      </c>
      <c r="G27" s="99" t="str">
        <f>VLOOKUP($D27,SOLICITUDES!$C:$V,MATCH(G$1,SOLICITUDES!$1:$1,0)-2,FALSE)</f>
        <v>Tomás</v>
      </c>
      <c r="H27" s="99" t="str">
        <f>VLOOKUP($D27,SOLICITUDES!$C:$V,MATCH(H$1,SOLICITUDES!$1:$1,0)-2,FALSE)</f>
        <v>Santiago</v>
      </c>
      <c r="I27" s="99" t="str">
        <f>VLOOKUP($D27,SOLICITUDES!$C:$V,MATCH(I$1,SOLICITUDES!$1:$1,0)-2,FALSE)</f>
        <v>Otero</v>
      </c>
      <c r="J27" s="99">
        <f>VLOOKUP($D27,SOLICITUDES!$C:$V,MATCH(J$1,SOLICITUDES!$1:$1,0)-2,FALSE)</f>
        <v>33812</v>
      </c>
      <c r="K27" s="101">
        <f t="shared" ca="1" si="2"/>
        <v>32</v>
      </c>
      <c r="L27" s="101" t="str">
        <f>VLOOKUP($D27,SOLICITUDES!$C:$V,MATCH(L$1,SOLICITUDES!$1:$1,0)-2,FALSE)</f>
        <v>tomassantiagootero@gmail.com</v>
      </c>
      <c r="M27" s="101" t="str">
        <f>VLOOKUP($D27,SOLICITUDES!$C:$V,MATCH(M$1,SOLICITUDES!$1:$1,0)-2,FALSE)</f>
        <v>+34638415240</v>
      </c>
      <c r="N27" s="101" t="str">
        <f>VLOOKUP($D27,SOLICITUDES!$C:$V,MATCH(N$1,SOLICITUDES!$1:$1,0)-2,FALSE)</f>
        <v>Asociación de Andalucía</v>
      </c>
      <c r="O27" s="101" t="str">
        <f>VLOOKUP($D27,SOLICITUDES!$C:$V,MATCH(O$1,SOLICITUDES!$1:$1,0)-2,FALSE)</f>
        <v>AVENIDA ANDALUCÍA, 27</v>
      </c>
      <c r="P27" s="101" t="str">
        <f>VLOOKUP($D27,SOLICITUDES!$C:$V,MATCH(P$1,SOLICITUDES!$1:$1,0)-2,FALSE)</f>
        <v>29 - Málaga</v>
      </c>
      <c r="Q27" s="101" t="str">
        <f>VLOOKUP($D27,SOLICITUDES!$C:$V,MATCH(Q$1,SOLICITUDES!$1:$1,0)-2,FALSE)</f>
        <v>Club Deportivo Pickleball Europe (Málaga)</v>
      </c>
      <c r="R27" s="101">
        <f t="shared" si="3"/>
        <v>1</v>
      </c>
      <c r="S27" s="83"/>
      <c r="T27" s="83" t="s">
        <v>21</v>
      </c>
      <c r="U27" s="83"/>
    </row>
    <row r="28" spans="1:21" ht="15.75" customHeight="1">
      <c r="A28" s="99" t="e">
        <f t="shared" si="0"/>
        <v>#N/A</v>
      </c>
      <c r="B28" s="83">
        <v>27</v>
      </c>
      <c r="C28" s="83"/>
      <c r="D28" s="83"/>
      <c r="E28" s="101">
        <f t="shared" si="1"/>
        <v>0</v>
      </c>
      <c r="F28" s="102" t="e">
        <f>VLOOKUP($D28,SOLICITUDES!$C:$V,MATCH(F$1,SOLICITUDES!$1:$1,0)-2,FALSE)</f>
        <v>#N/A</v>
      </c>
      <c r="G28" s="99" t="e">
        <f>VLOOKUP($D28,SOLICITUDES!$C:$V,MATCH(G$1,SOLICITUDES!$1:$1,0)-2,FALSE)</f>
        <v>#N/A</v>
      </c>
      <c r="H28" s="99" t="e">
        <f>VLOOKUP($D28,SOLICITUDES!$C:$V,MATCH(H$1,SOLICITUDES!$1:$1,0)-2,FALSE)</f>
        <v>#N/A</v>
      </c>
      <c r="I28" s="99" t="e">
        <f>VLOOKUP($D28,SOLICITUDES!$C:$V,MATCH(I$1,SOLICITUDES!$1:$1,0)-2,FALSE)</f>
        <v>#N/A</v>
      </c>
      <c r="J28" s="99" t="e">
        <f>VLOOKUP($D28,SOLICITUDES!$C:$V,MATCH(J$1,SOLICITUDES!$1:$1,0)-2,FALSE)</f>
        <v>#N/A</v>
      </c>
      <c r="K28" s="101">
        <f t="shared" ca="1" si="2"/>
        <v>0</v>
      </c>
      <c r="L28" s="101" t="e">
        <f>VLOOKUP($D28,SOLICITUDES!$C:$V,MATCH(L$1,SOLICITUDES!$1:$1,0)-2,FALSE)</f>
        <v>#N/A</v>
      </c>
      <c r="M28" s="101" t="e">
        <f>VLOOKUP($D28,SOLICITUDES!$C:$V,MATCH(M$1,SOLICITUDES!$1:$1,0)-2,FALSE)</f>
        <v>#N/A</v>
      </c>
      <c r="N28" s="101" t="e">
        <f>VLOOKUP($D28,SOLICITUDES!$C:$V,MATCH(N$1,SOLICITUDES!$1:$1,0)-2,FALSE)</f>
        <v>#N/A</v>
      </c>
      <c r="O28" s="101" t="e">
        <f>VLOOKUP($D28,SOLICITUDES!$C:$V,MATCH(O$1,SOLICITUDES!$1:$1,0)-2,FALSE)</f>
        <v>#N/A</v>
      </c>
      <c r="P28" s="101" t="e">
        <f>VLOOKUP($D28,SOLICITUDES!$C:$V,MATCH(P$1,SOLICITUDES!$1:$1,0)-2,FALSE)</f>
        <v>#N/A</v>
      </c>
      <c r="Q28" s="101" t="e">
        <f>VLOOKUP($D28,SOLICITUDES!$C:$V,MATCH(Q$1,SOLICITUDES!$1:$1,0)-2,FALSE)</f>
        <v>#N/A</v>
      </c>
      <c r="R28" s="101">
        <f t="shared" si="3"/>
        <v>0</v>
      </c>
      <c r="S28" s="83"/>
      <c r="T28" s="83" t="s">
        <v>21</v>
      </c>
      <c r="U28" s="83"/>
    </row>
    <row r="29" spans="1:21" ht="15.75" customHeight="1">
      <c r="A29" s="99" t="e">
        <f t="shared" si="0"/>
        <v>#N/A</v>
      </c>
      <c r="B29" s="83">
        <v>28</v>
      </c>
      <c r="C29" s="83"/>
      <c r="D29" s="83"/>
      <c r="E29" s="101">
        <f t="shared" si="1"/>
        <v>0</v>
      </c>
      <c r="F29" s="102" t="e">
        <f>VLOOKUP($D29,SOLICITUDES!$C:$V,MATCH(F$1,SOLICITUDES!$1:$1,0)-2,FALSE)</f>
        <v>#N/A</v>
      </c>
      <c r="G29" s="99" t="e">
        <f>VLOOKUP($D29,SOLICITUDES!$C:$V,MATCH(G$1,SOLICITUDES!$1:$1,0)-2,FALSE)</f>
        <v>#N/A</v>
      </c>
      <c r="H29" s="99" t="e">
        <f>VLOOKUP($D29,SOLICITUDES!$C:$V,MATCH(H$1,SOLICITUDES!$1:$1,0)-2,FALSE)</f>
        <v>#N/A</v>
      </c>
      <c r="I29" s="99" t="e">
        <f>VLOOKUP($D29,SOLICITUDES!$C:$V,MATCH(I$1,SOLICITUDES!$1:$1,0)-2,FALSE)</f>
        <v>#N/A</v>
      </c>
      <c r="J29" s="99" t="e">
        <f>VLOOKUP($D29,SOLICITUDES!$C:$V,MATCH(J$1,SOLICITUDES!$1:$1,0)-2,FALSE)</f>
        <v>#N/A</v>
      </c>
      <c r="K29" s="101">
        <f t="shared" ca="1" si="2"/>
        <v>0</v>
      </c>
      <c r="L29" s="101" t="e">
        <f>VLOOKUP($D29,SOLICITUDES!$C:$V,MATCH(L$1,SOLICITUDES!$1:$1,0)-2,FALSE)</f>
        <v>#N/A</v>
      </c>
      <c r="M29" s="101" t="e">
        <f>VLOOKUP($D29,SOLICITUDES!$C:$V,MATCH(M$1,SOLICITUDES!$1:$1,0)-2,FALSE)</f>
        <v>#N/A</v>
      </c>
      <c r="N29" s="101" t="e">
        <f>VLOOKUP($D29,SOLICITUDES!$C:$V,MATCH(N$1,SOLICITUDES!$1:$1,0)-2,FALSE)</f>
        <v>#N/A</v>
      </c>
      <c r="O29" s="101" t="e">
        <f>VLOOKUP($D29,SOLICITUDES!$C:$V,MATCH(O$1,SOLICITUDES!$1:$1,0)-2,FALSE)</f>
        <v>#N/A</v>
      </c>
      <c r="P29" s="101" t="e">
        <f>VLOOKUP($D29,SOLICITUDES!$C:$V,MATCH(P$1,SOLICITUDES!$1:$1,0)-2,FALSE)</f>
        <v>#N/A</v>
      </c>
      <c r="Q29" s="101" t="e">
        <f>VLOOKUP($D29,SOLICITUDES!$C:$V,MATCH(Q$1,SOLICITUDES!$1:$1,0)-2,FALSE)</f>
        <v>#N/A</v>
      </c>
      <c r="R29" s="101">
        <f t="shared" si="3"/>
        <v>0</v>
      </c>
      <c r="S29" s="83"/>
      <c r="T29" s="83" t="s">
        <v>21</v>
      </c>
      <c r="U29" s="83"/>
    </row>
    <row r="30" spans="1:21" ht="15.75" customHeight="1">
      <c r="E30" s="5"/>
      <c r="Q30" s="4"/>
      <c r="T30" s="4"/>
      <c r="U30" s="4"/>
    </row>
    <row r="31" spans="1:21" ht="15.75" customHeight="1">
      <c r="E31" s="5"/>
      <c r="Q31" s="4"/>
      <c r="T31" s="4"/>
      <c r="U31" s="4"/>
    </row>
    <row r="32" spans="1:21" ht="15.75" customHeight="1">
      <c r="E32" s="5"/>
      <c r="Q32" s="4"/>
      <c r="T32" s="4"/>
      <c r="U32" s="4"/>
    </row>
    <row r="33" spans="5:21" ht="15.75" customHeight="1">
      <c r="E33" s="5"/>
      <c r="Q33" s="4"/>
      <c r="T33" s="4"/>
      <c r="U33" s="4"/>
    </row>
    <row r="34" spans="5:21" ht="15.75" customHeight="1">
      <c r="E34" s="5"/>
      <c r="Q34" s="4"/>
      <c r="T34" s="4"/>
      <c r="U34" s="4"/>
    </row>
    <row r="35" spans="5:21" ht="15.75" customHeight="1">
      <c r="E35" s="5"/>
      <c r="Q35" s="4"/>
      <c r="T35" s="4"/>
      <c r="U35" s="4"/>
    </row>
    <row r="36" spans="5:21" ht="15.75" customHeight="1">
      <c r="E36" s="5"/>
      <c r="Q36" s="4"/>
      <c r="T36" s="4"/>
      <c r="U36" s="4"/>
    </row>
    <row r="37" spans="5:21" ht="15.75" customHeight="1">
      <c r="E37" s="5"/>
      <c r="Q37" s="4"/>
      <c r="T37" s="4"/>
      <c r="U37" s="4"/>
    </row>
    <row r="38" spans="5:21" ht="15.75" customHeight="1">
      <c r="E38" s="5"/>
      <c r="Q38" s="4"/>
      <c r="T38" s="4"/>
      <c r="U38" s="4"/>
    </row>
    <row r="39" spans="5:21" ht="15.75" customHeight="1">
      <c r="E39" s="5"/>
      <c r="Q39" s="4"/>
      <c r="T39" s="4"/>
      <c r="U39" s="4"/>
    </row>
    <row r="40" spans="5:21" ht="15.75" customHeight="1">
      <c r="E40" s="5"/>
      <c r="Q40" s="4"/>
      <c r="T40" s="4"/>
      <c r="U40" s="4"/>
    </row>
    <row r="41" spans="5:21" ht="15.75" customHeight="1">
      <c r="E41" s="5"/>
      <c r="Q41" s="4"/>
      <c r="T41" s="4"/>
      <c r="U41" s="4"/>
    </row>
    <row r="42" spans="5:21" ht="15.75" customHeight="1">
      <c r="E42" s="5"/>
      <c r="Q42" s="4"/>
      <c r="T42" s="4"/>
      <c r="U42" s="4"/>
    </row>
    <row r="43" spans="5:21" ht="15.75" customHeight="1">
      <c r="E43" s="5"/>
      <c r="Q43" s="4"/>
      <c r="T43" s="4"/>
      <c r="U43" s="4"/>
    </row>
    <row r="44" spans="5:21" ht="15.75" customHeight="1">
      <c r="E44" s="5"/>
      <c r="Q44" s="4"/>
      <c r="T44" s="4"/>
      <c r="U44" s="4"/>
    </row>
    <row r="45" spans="5:21" ht="15.75" customHeight="1">
      <c r="E45" s="5"/>
      <c r="Q45" s="4"/>
      <c r="T45" s="4"/>
      <c r="U45" s="4"/>
    </row>
    <row r="46" spans="5:21" ht="15.75" customHeight="1">
      <c r="E46" s="5"/>
      <c r="Q46" s="4"/>
      <c r="T46" s="4"/>
      <c r="U46" s="4"/>
    </row>
    <row r="47" spans="5:21" ht="15.75" customHeight="1">
      <c r="E47" s="5"/>
      <c r="Q47" s="4"/>
      <c r="T47" s="4"/>
      <c r="U47" s="4"/>
    </row>
    <row r="48" spans="5:21" ht="15.75" customHeight="1">
      <c r="E48" s="5"/>
      <c r="Q48" s="4"/>
      <c r="T48" s="4"/>
      <c r="U48" s="4"/>
    </row>
    <row r="49" spans="5:21" ht="15.75" customHeight="1">
      <c r="E49" s="5"/>
      <c r="Q49" s="4"/>
      <c r="T49" s="4"/>
      <c r="U49" s="4"/>
    </row>
    <row r="50" spans="5:21" ht="15.75" customHeight="1">
      <c r="E50" s="5"/>
      <c r="Q50" s="4"/>
      <c r="T50" s="4"/>
      <c r="U50" s="4"/>
    </row>
    <row r="51" spans="5:21" ht="15.75" customHeight="1">
      <c r="E51" s="5"/>
      <c r="Q51" s="4"/>
      <c r="T51" s="4"/>
      <c r="U51" s="4"/>
    </row>
    <row r="52" spans="5:21" ht="15.75" customHeight="1">
      <c r="E52" s="5"/>
      <c r="Q52" s="4"/>
      <c r="T52" s="4"/>
      <c r="U52" s="4"/>
    </row>
    <row r="53" spans="5:21" ht="15.75" customHeight="1">
      <c r="E53" s="5"/>
      <c r="Q53" s="4"/>
      <c r="T53" s="4"/>
      <c r="U53" s="4"/>
    </row>
    <row r="54" spans="5:21" ht="15.75" customHeight="1">
      <c r="E54" s="5"/>
      <c r="Q54" s="4"/>
      <c r="T54" s="4"/>
      <c r="U54" s="4"/>
    </row>
    <row r="55" spans="5:21" ht="15.75" customHeight="1">
      <c r="E55" s="5"/>
      <c r="Q55" s="4"/>
      <c r="T55" s="4"/>
      <c r="U55" s="4"/>
    </row>
    <row r="56" spans="5:21" ht="15.75" customHeight="1">
      <c r="E56" s="5"/>
      <c r="Q56" s="4"/>
      <c r="T56" s="4"/>
      <c r="U56" s="4"/>
    </row>
    <row r="57" spans="5:21" ht="15.75" customHeight="1">
      <c r="E57" s="5"/>
      <c r="Q57" s="4"/>
      <c r="T57" s="4"/>
      <c r="U57" s="4"/>
    </row>
    <row r="58" spans="5:21" ht="15.75" customHeight="1">
      <c r="E58" s="5"/>
      <c r="Q58" s="4"/>
      <c r="T58" s="4"/>
      <c r="U58" s="4"/>
    </row>
    <row r="59" spans="5:21" ht="15.75" customHeight="1">
      <c r="E59" s="5"/>
      <c r="Q59" s="4"/>
      <c r="T59" s="4"/>
      <c r="U59" s="4"/>
    </row>
    <row r="60" spans="5:21" ht="15.75" customHeight="1">
      <c r="E60" s="5"/>
      <c r="Q60" s="4"/>
      <c r="T60" s="4"/>
      <c r="U60" s="4"/>
    </row>
    <row r="61" spans="5:21" ht="15.75" customHeight="1">
      <c r="E61" s="5"/>
      <c r="Q61" s="4"/>
      <c r="T61" s="4"/>
      <c r="U61" s="4"/>
    </row>
    <row r="62" spans="5:21" ht="15.75" customHeight="1">
      <c r="E62" s="5"/>
      <c r="Q62" s="4"/>
      <c r="T62" s="4"/>
      <c r="U62" s="4"/>
    </row>
    <row r="63" spans="5:21" ht="15.75" customHeight="1">
      <c r="E63" s="5"/>
      <c r="Q63" s="4"/>
      <c r="T63" s="4"/>
      <c r="U63" s="4"/>
    </row>
    <row r="64" spans="5:21" ht="15.75" customHeight="1">
      <c r="E64" s="5"/>
      <c r="Q64" s="4"/>
      <c r="T64" s="4"/>
      <c r="U64" s="4"/>
    </row>
    <row r="65" spans="5:21" ht="15.75" customHeight="1">
      <c r="E65" s="5"/>
      <c r="Q65" s="4"/>
      <c r="T65" s="4"/>
      <c r="U65" s="4"/>
    </row>
    <row r="66" spans="5:21" ht="15.75" customHeight="1">
      <c r="E66" s="5"/>
      <c r="Q66" s="4"/>
      <c r="T66" s="4"/>
      <c r="U66" s="4"/>
    </row>
    <row r="67" spans="5:21" ht="15.75" customHeight="1">
      <c r="E67" s="5"/>
      <c r="Q67" s="4"/>
      <c r="T67" s="4"/>
      <c r="U67" s="4"/>
    </row>
    <row r="68" spans="5:21" ht="15.75" customHeight="1">
      <c r="E68" s="5"/>
      <c r="Q68" s="4"/>
      <c r="T68" s="4"/>
      <c r="U68" s="4"/>
    </row>
    <row r="69" spans="5:21" ht="15.75" customHeight="1">
      <c r="E69" s="5"/>
      <c r="Q69" s="4"/>
      <c r="T69" s="4"/>
      <c r="U69" s="4"/>
    </row>
    <row r="70" spans="5:21" ht="15.75" customHeight="1">
      <c r="E70" s="5"/>
      <c r="Q70" s="4"/>
      <c r="T70" s="4"/>
      <c r="U70" s="4"/>
    </row>
    <row r="71" spans="5:21" ht="15.75" customHeight="1">
      <c r="E71" s="5"/>
      <c r="Q71" s="4"/>
      <c r="T71" s="4"/>
      <c r="U71" s="4"/>
    </row>
    <row r="72" spans="5:21" ht="15.75" customHeight="1">
      <c r="E72" s="5"/>
      <c r="Q72" s="4"/>
      <c r="T72" s="4"/>
      <c r="U72" s="4"/>
    </row>
    <row r="73" spans="5:21" ht="15.75" customHeight="1">
      <c r="E73" s="5"/>
      <c r="Q73" s="4"/>
      <c r="T73" s="4"/>
      <c r="U73" s="4"/>
    </row>
    <row r="74" spans="5:21" ht="15.75" customHeight="1">
      <c r="E74" s="5"/>
      <c r="Q74" s="4"/>
      <c r="T74" s="4"/>
      <c r="U74" s="4"/>
    </row>
    <row r="75" spans="5:21" ht="15.75" customHeight="1">
      <c r="E75" s="5"/>
      <c r="Q75" s="4"/>
      <c r="T75" s="4"/>
      <c r="U75" s="4"/>
    </row>
    <row r="76" spans="5:21" ht="15.75" customHeight="1">
      <c r="E76" s="5"/>
      <c r="Q76" s="4"/>
      <c r="T76" s="4"/>
      <c r="U76" s="4"/>
    </row>
    <row r="77" spans="5:21" ht="15.75" customHeight="1">
      <c r="E77" s="5"/>
      <c r="Q77" s="4"/>
      <c r="T77" s="4"/>
      <c r="U77" s="4"/>
    </row>
    <row r="78" spans="5:21" ht="15.75" customHeight="1">
      <c r="E78" s="5"/>
      <c r="Q78" s="4"/>
      <c r="T78" s="4"/>
      <c r="U78" s="4"/>
    </row>
    <row r="79" spans="5:21" ht="15.75" customHeight="1">
      <c r="E79" s="5"/>
      <c r="Q79" s="4"/>
      <c r="T79" s="4"/>
      <c r="U79" s="4"/>
    </row>
    <row r="80" spans="5:21" ht="15.75" customHeight="1">
      <c r="E80" s="5"/>
      <c r="Q80" s="4"/>
      <c r="T80" s="4"/>
      <c r="U80" s="4"/>
    </row>
    <row r="81" spans="5:21" ht="15.75" customHeight="1">
      <c r="E81" s="5"/>
      <c r="Q81" s="4"/>
      <c r="T81" s="4"/>
      <c r="U81" s="4"/>
    </row>
    <row r="82" spans="5:21" ht="15.75" customHeight="1">
      <c r="E82" s="5"/>
      <c r="Q82" s="4"/>
      <c r="T82" s="4"/>
      <c r="U82" s="4"/>
    </row>
    <row r="83" spans="5:21" ht="15.75" customHeight="1">
      <c r="E83" s="5"/>
      <c r="Q83" s="4"/>
      <c r="T83" s="4"/>
      <c r="U83" s="4"/>
    </row>
    <row r="84" spans="5:21" ht="15.75" customHeight="1">
      <c r="E84" s="5"/>
      <c r="Q84" s="4"/>
      <c r="T84" s="4"/>
      <c r="U84" s="4"/>
    </row>
    <row r="85" spans="5:21" ht="15.75" customHeight="1">
      <c r="E85" s="5"/>
      <c r="Q85" s="4"/>
      <c r="T85" s="4"/>
      <c r="U85" s="4"/>
    </row>
    <row r="86" spans="5:21" ht="15.75" customHeight="1">
      <c r="E86" s="5"/>
      <c r="Q86" s="4"/>
      <c r="T86" s="4"/>
      <c r="U86" s="4"/>
    </row>
    <row r="87" spans="5:21" ht="15.75" customHeight="1">
      <c r="E87" s="5"/>
      <c r="Q87" s="4"/>
      <c r="T87" s="4"/>
      <c r="U87" s="4"/>
    </row>
    <row r="88" spans="5:21" ht="15.75" customHeight="1">
      <c r="E88" s="5"/>
      <c r="Q88" s="4"/>
      <c r="T88" s="4"/>
      <c r="U88" s="4"/>
    </row>
    <row r="89" spans="5:21" ht="15.75" customHeight="1">
      <c r="E89" s="5"/>
      <c r="Q89" s="4"/>
      <c r="T89" s="4"/>
      <c r="U89" s="4"/>
    </row>
    <row r="90" spans="5:21" ht="15.75" customHeight="1">
      <c r="E90" s="5"/>
      <c r="Q90" s="4"/>
      <c r="T90" s="4"/>
      <c r="U90" s="4"/>
    </row>
    <row r="91" spans="5:21" ht="15.75" customHeight="1">
      <c r="E91" s="5"/>
      <c r="Q91" s="4"/>
      <c r="T91" s="4"/>
      <c r="U91" s="4"/>
    </row>
    <row r="92" spans="5:21" ht="15.75" customHeight="1">
      <c r="E92" s="5"/>
      <c r="Q92" s="4"/>
      <c r="T92" s="4"/>
      <c r="U92" s="4"/>
    </row>
    <row r="93" spans="5:21" ht="15.75" customHeight="1">
      <c r="E93" s="5"/>
      <c r="Q93" s="4"/>
      <c r="T93" s="4"/>
      <c r="U93" s="4"/>
    </row>
    <row r="94" spans="5:21" ht="15.75" customHeight="1">
      <c r="E94" s="5"/>
      <c r="Q94" s="4"/>
      <c r="T94" s="4"/>
      <c r="U94" s="4"/>
    </row>
    <row r="95" spans="5:21" ht="15.75" customHeight="1">
      <c r="E95" s="5"/>
      <c r="Q95" s="4"/>
      <c r="T95" s="4"/>
      <c r="U95" s="4"/>
    </row>
    <row r="96" spans="5:21" ht="15.75" customHeight="1">
      <c r="E96" s="5"/>
      <c r="Q96" s="4"/>
      <c r="T96" s="4"/>
      <c r="U96" s="4"/>
    </row>
    <row r="97" spans="5:21" ht="15.75" customHeight="1">
      <c r="E97" s="5"/>
      <c r="Q97" s="4"/>
      <c r="T97" s="4"/>
      <c r="U97" s="4"/>
    </row>
    <row r="98" spans="5:21" ht="15.75" customHeight="1">
      <c r="E98" s="5"/>
      <c r="Q98" s="4"/>
      <c r="T98" s="4"/>
      <c r="U98" s="4"/>
    </row>
    <row r="99" spans="5:21" ht="15.75" customHeight="1">
      <c r="E99" s="5"/>
      <c r="Q99" s="4"/>
      <c r="T99" s="4"/>
      <c r="U99" s="4"/>
    </row>
    <row r="100" spans="5:21" ht="15.75" customHeight="1">
      <c r="E100" s="5"/>
      <c r="Q100" s="4"/>
      <c r="T100" s="4"/>
      <c r="U100" s="4"/>
    </row>
    <row r="101" spans="5:21" ht="15.75" customHeight="1">
      <c r="E101" s="5"/>
      <c r="Q101" s="4"/>
      <c r="T101" s="4"/>
      <c r="U101" s="4"/>
    </row>
    <row r="102" spans="5:21" ht="15.75" customHeight="1">
      <c r="E102" s="5"/>
      <c r="Q102" s="4"/>
      <c r="T102" s="4"/>
      <c r="U102" s="4"/>
    </row>
    <row r="103" spans="5:21" ht="15.75" customHeight="1">
      <c r="E103" s="5"/>
      <c r="Q103" s="4"/>
      <c r="T103" s="4"/>
      <c r="U103" s="4"/>
    </row>
    <row r="104" spans="5:21" ht="15.75" customHeight="1">
      <c r="E104" s="5"/>
      <c r="Q104" s="4"/>
      <c r="T104" s="4"/>
      <c r="U104" s="4"/>
    </row>
    <row r="105" spans="5:21" ht="15.75" customHeight="1">
      <c r="E105" s="5"/>
      <c r="Q105" s="4"/>
      <c r="T105" s="4"/>
      <c r="U105" s="4"/>
    </row>
    <row r="106" spans="5:21" ht="15.75" customHeight="1">
      <c r="E106" s="5"/>
      <c r="Q106" s="4"/>
      <c r="T106" s="4"/>
      <c r="U106" s="4"/>
    </row>
    <row r="107" spans="5:21" ht="15.75" customHeight="1">
      <c r="E107" s="5"/>
      <c r="Q107" s="4"/>
      <c r="T107" s="4"/>
      <c r="U107" s="4"/>
    </row>
    <row r="108" spans="5:21" ht="15.75" customHeight="1">
      <c r="E108" s="5"/>
      <c r="Q108" s="4"/>
      <c r="T108" s="4"/>
      <c r="U108" s="4"/>
    </row>
    <row r="109" spans="5:21" ht="15.75" customHeight="1">
      <c r="E109" s="5"/>
      <c r="Q109" s="4"/>
      <c r="T109" s="4"/>
      <c r="U109" s="4"/>
    </row>
    <row r="110" spans="5:21" ht="15.75" customHeight="1">
      <c r="E110" s="5"/>
      <c r="Q110" s="4"/>
      <c r="T110" s="4"/>
      <c r="U110" s="4"/>
    </row>
    <row r="111" spans="5:21" ht="15.75" customHeight="1">
      <c r="E111" s="5"/>
      <c r="Q111" s="4"/>
      <c r="T111" s="4"/>
      <c r="U111" s="4"/>
    </row>
    <row r="112" spans="5:21" ht="15.75" customHeight="1">
      <c r="E112" s="5"/>
      <c r="Q112" s="4"/>
      <c r="T112" s="4"/>
      <c r="U112" s="4"/>
    </row>
    <row r="113" spans="5:21" ht="15.75" customHeight="1">
      <c r="E113" s="5"/>
      <c r="Q113" s="4"/>
      <c r="T113" s="4"/>
      <c r="U113" s="4"/>
    </row>
    <row r="114" spans="5:21" ht="15.75" customHeight="1">
      <c r="E114" s="5"/>
      <c r="Q114" s="4"/>
      <c r="T114" s="4"/>
      <c r="U114" s="4"/>
    </row>
    <row r="115" spans="5:21" ht="15.75" customHeight="1">
      <c r="E115" s="5"/>
      <c r="Q115" s="4"/>
      <c r="T115" s="4"/>
      <c r="U115" s="4"/>
    </row>
    <row r="116" spans="5:21" ht="15.75" customHeight="1">
      <c r="E116" s="5"/>
      <c r="Q116" s="4"/>
      <c r="T116" s="4"/>
      <c r="U116" s="4"/>
    </row>
    <row r="117" spans="5:21" ht="15.75" customHeight="1">
      <c r="E117" s="5"/>
      <c r="Q117" s="4"/>
      <c r="T117" s="4"/>
      <c r="U117" s="4"/>
    </row>
    <row r="118" spans="5:21" ht="15.75" customHeight="1">
      <c r="E118" s="5"/>
      <c r="Q118" s="4"/>
      <c r="T118" s="4"/>
      <c r="U118" s="4"/>
    </row>
    <row r="119" spans="5:21" ht="15.75" customHeight="1">
      <c r="E119" s="5"/>
      <c r="Q119" s="4"/>
      <c r="T119" s="4"/>
      <c r="U119" s="4"/>
    </row>
    <row r="120" spans="5:21" ht="15.75" customHeight="1">
      <c r="E120" s="5"/>
      <c r="Q120" s="4"/>
      <c r="T120" s="4"/>
      <c r="U120" s="4"/>
    </row>
    <row r="121" spans="5:21" ht="15.75" customHeight="1">
      <c r="E121" s="5"/>
      <c r="Q121" s="4"/>
      <c r="T121" s="4"/>
      <c r="U121" s="4"/>
    </row>
    <row r="122" spans="5:21" ht="15.75" customHeight="1">
      <c r="E122" s="5"/>
      <c r="Q122" s="4"/>
      <c r="T122" s="4"/>
      <c r="U122" s="4"/>
    </row>
    <row r="123" spans="5:21" ht="15.75" customHeight="1">
      <c r="E123" s="5"/>
      <c r="Q123" s="4"/>
      <c r="T123" s="4"/>
      <c r="U123" s="4"/>
    </row>
    <row r="124" spans="5:21" ht="15.75" customHeight="1">
      <c r="E124" s="5"/>
      <c r="Q124" s="4"/>
      <c r="T124" s="4"/>
      <c r="U124" s="4"/>
    </row>
    <row r="125" spans="5:21" ht="15.75" customHeight="1">
      <c r="E125" s="5"/>
      <c r="Q125" s="4"/>
      <c r="T125" s="4"/>
      <c r="U125" s="4"/>
    </row>
    <row r="126" spans="5:21" ht="15.75" customHeight="1">
      <c r="E126" s="5"/>
      <c r="Q126" s="4"/>
      <c r="T126" s="4"/>
      <c r="U126" s="4"/>
    </row>
    <row r="127" spans="5:21" ht="15.75" customHeight="1">
      <c r="E127" s="5"/>
      <c r="Q127" s="4"/>
      <c r="T127" s="4"/>
      <c r="U127" s="4"/>
    </row>
    <row r="128" spans="5:21" ht="15.75" customHeight="1">
      <c r="E128" s="5"/>
      <c r="Q128" s="4"/>
      <c r="T128" s="4"/>
      <c r="U128" s="4"/>
    </row>
    <row r="129" spans="5:21" ht="15.75" customHeight="1">
      <c r="E129" s="5"/>
      <c r="Q129" s="4"/>
      <c r="T129" s="4"/>
      <c r="U129" s="4"/>
    </row>
    <row r="130" spans="5:21" ht="15.75" customHeight="1">
      <c r="E130" s="5"/>
      <c r="Q130" s="4"/>
      <c r="T130" s="4"/>
      <c r="U130" s="4"/>
    </row>
    <row r="131" spans="5:21" ht="15.75" customHeight="1">
      <c r="E131" s="5"/>
      <c r="Q131" s="4"/>
      <c r="T131" s="4"/>
      <c r="U131" s="4"/>
    </row>
    <row r="132" spans="5:21" ht="15.75" customHeight="1">
      <c r="E132" s="5"/>
      <c r="Q132" s="4"/>
      <c r="T132" s="4"/>
      <c r="U132" s="4"/>
    </row>
    <row r="133" spans="5:21" ht="15.75" customHeight="1">
      <c r="E133" s="5"/>
      <c r="Q133" s="4"/>
      <c r="T133" s="4"/>
      <c r="U133" s="4"/>
    </row>
    <row r="134" spans="5:21" ht="15.75" customHeight="1">
      <c r="E134" s="5"/>
      <c r="Q134" s="4"/>
      <c r="T134" s="4"/>
      <c r="U134" s="4"/>
    </row>
    <row r="135" spans="5:21" ht="15.75" customHeight="1">
      <c r="E135" s="5"/>
      <c r="Q135" s="4"/>
      <c r="T135" s="4"/>
      <c r="U135" s="4"/>
    </row>
    <row r="136" spans="5:21" ht="15.75" customHeight="1">
      <c r="E136" s="5"/>
      <c r="Q136" s="4"/>
      <c r="T136" s="4"/>
      <c r="U136" s="4"/>
    </row>
    <row r="137" spans="5:21" ht="15.75" customHeight="1">
      <c r="E137" s="5"/>
      <c r="Q137" s="4"/>
      <c r="T137" s="4"/>
      <c r="U137" s="4"/>
    </row>
    <row r="138" spans="5:21" ht="15.75" customHeight="1">
      <c r="E138" s="5"/>
      <c r="Q138" s="4"/>
      <c r="T138" s="4"/>
      <c r="U138" s="4"/>
    </row>
    <row r="139" spans="5:21" ht="15.75" customHeight="1">
      <c r="E139" s="5"/>
      <c r="Q139" s="4"/>
      <c r="T139" s="4"/>
      <c r="U139" s="4"/>
    </row>
    <row r="140" spans="5:21" ht="15.75" customHeight="1">
      <c r="E140" s="5"/>
      <c r="Q140" s="4"/>
      <c r="T140" s="4"/>
      <c r="U140" s="4"/>
    </row>
    <row r="141" spans="5:21" ht="15.75" customHeight="1">
      <c r="E141" s="5"/>
      <c r="Q141" s="4"/>
      <c r="T141" s="4"/>
      <c r="U141" s="4"/>
    </row>
    <row r="142" spans="5:21" ht="15.75" customHeight="1">
      <c r="E142" s="5"/>
      <c r="Q142" s="4"/>
      <c r="T142" s="4"/>
      <c r="U142" s="4"/>
    </row>
    <row r="143" spans="5:21" ht="15.75" customHeight="1">
      <c r="E143" s="5"/>
      <c r="Q143" s="4"/>
      <c r="T143" s="4"/>
      <c r="U143" s="4"/>
    </row>
    <row r="144" spans="5:21" ht="15.75" customHeight="1">
      <c r="E144" s="5"/>
      <c r="Q144" s="4"/>
      <c r="T144" s="4"/>
      <c r="U144" s="4"/>
    </row>
    <row r="145" spans="5:21" ht="15.75" customHeight="1">
      <c r="E145" s="5"/>
      <c r="Q145" s="4"/>
      <c r="T145" s="4"/>
      <c r="U145" s="4"/>
    </row>
    <row r="146" spans="5:21" ht="15.75" customHeight="1">
      <c r="E146" s="5"/>
      <c r="Q146" s="4"/>
      <c r="T146" s="4"/>
      <c r="U146" s="4"/>
    </row>
    <row r="147" spans="5:21" ht="15.75" customHeight="1">
      <c r="E147" s="5"/>
      <c r="Q147" s="4"/>
      <c r="T147" s="4"/>
      <c r="U147" s="4"/>
    </row>
    <row r="148" spans="5:21" ht="15.75" customHeight="1">
      <c r="E148" s="5"/>
      <c r="Q148" s="4"/>
      <c r="T148" s="4"/>
      <c r="U148" s="4"/>
    </row>
    <row r="149" spans="5:21" ht="15.75" customHeight="1">
      <c r="E149" s="5"/>
      <c r="Q149" s="4"/>
      <c r="T149" s="4"/>
      <c r="U149" s="4"/>
    </row>
    <row r="150" spans="5:21" ht="15.75" customHeight="1">
      <c r="E150" s="5"/>
      <c r="Q150" s="4"/>
      <c r="T150" s="4"/>
      <c r="U150" s="4"/>
    </row>
    <row r="151" spans="5:21" ht="15.75" customHeight="1">
      <c r="E151" s="5"/>
      <c r="Q151" s="4"/>
      <c r="T151" s="4"/>
      <c r="U151" s="4"/>
    </row>
    <row r="152" spans="5:21" ht="15.75" customHeight="1">
      <c r="E152" s="5"/>
      <c r="Q152" s="4"/>
      <c r="T152" s="4"/>
      <c r="U152" s="4"/>
    </row>
    <row r="153" spans="5:21" ht="15.75" customHeight="1">
      <c r="E153" s="5"/>
      <c r="Q153" s="4"/>
      <c r="T153" s="4"/>
      <c r="U153" s="4"/>
    </row>
    <row r="154" spans="5:21" ht="15.75" customHeight="1">
      <c r="E154" s="5"/>
      <c r="Q154" s="4"/>
      <c r="T154" s="4"/>
      <c r="U154" s="4"/>
    </row>
    <row r="155" spans="5:21" ht="15.75" customHeight="1">
      <c r="E155" s="5"/>
      <c r="Q155" s="4"/>
      <c r="T155" s="4"/>
      <c r="U155" s="4"/>
    </row>
    <row r="156" spans="5:21" ht="15.75" customHeight="1">
      <c r="E156" s="5"/>
      <c r="Q156" s="4"/>
      <c r="T156" s="4"/>
      <c r="U156" s="4"/>
    </row>
    <row r="157" spans="5:21" ht="15.75" customHeight="1">
      <c r="E157" s="5"/>
      <c r="Q157" s="4"/>
      <c r="T157" s="4"/>
      <c r="U157" s="4"/>
    </row>
    <row r="158" spans="5:21" ht="15.75" customHeight="1">
      <c r="E158" s="5"/>
      <c r="Q158" s="4"/>
      <c r="T158" s="4"/>
      <c r="U158" s="4"/>
    </row>
    <row r="159" spans="5:21" ht="15.75" customHeight="1">
      <c r="E159" s="5"/>
      <c r="Q159" s="4"/>
      <c r="T159" s="4"/>
      <c r="U159" s="4"/>
    </row>
    <row r="160" spans="5:21" ht="15.75" customHeight="1">
      <c r="E160" s="5"/>
      <c r="Q160" s="4"/>
      <c r="T160" s="4"/>
      <c r="U160" s="4"/>
    </row>
    <row r="161" spans="5:21" ht="15.75" customHeight="1">
      <c r="E161" s="5"/>
      <c r="Q161" s="4"/>
      <c r="T161" s="4"/>
      <c r="U161" s="4"/>
    </row>
    <row r="162" spans="5:21" ht="15.75" customHeight="1">
      <c r="E162" s="5"/>
      <c r="Q162" s="4"/>
      <c r="T162" s="4"/>
      <c r="U162" s="4"/>
    </row>
    <row r="163" spans="5:21" ht="15.75" customHeight="1">
      <c r="E163" s="5"/>
      <c r="Q163" s="4"/>
      <c r="T163" s="4"/>
      <c r="U163" s="4"/>
    </row>
    <row r="164" spans="5:21" ht="15.75" customHeight="1">
      <c r="E164" s="5"/>
      <c r="Q164" s="4"/>
      <c r="T164" s="4"/>
      <c r="U164" s="4"/>
    </row>
    <row r="165" spans="5:21" ht="15.75" customHeight="1">
      <c r="E165" s="5"/>
      <c r="Q165" s="4"/>
      <c r="T165" s="4"/>
      <c r="U165" s="4"/>
    </row>
    <row r="166" spans="5:21" ht="15.75" customHeight="1">
      <c r="E166" s="5"/>
      <c r="Q166" s="4"/>
      <c r="T166" s="4"/>
      <c r="U166" s="4"/>
    </row>
    <row r="167" spans="5:21" ht="15.75" customHeight="1">
      <c r="E167" s="5"/>
      <c r="Q167" s="4"/>
      <c r="T167" s="4"/>
      <c r="U167" s="4"/>
    </row>
    <row r="168" spans="5:21" ht="15.75" customHeight="1">
      <c r="E168" s="5"/>
      <c r="Q168" s="4"/>
      <c r="T168" s="4"/>
      <c r="U168" s="4"/>
    </row>
    <row r="169" spans="5:21" ht="15.75" customHeight="1">
      <c r="E169" s="5"/>
      <c r="Q169" s="4"/>
      <c r="T169" s="4"/>
      <c r="U169" s="4"/>
    </row>
    <row r="170" spans="5:21" ht="15.75" customHeight="1">
      <c r="E170" s="5"/>
      <c r="Q170" s="4"/>
      <c r="T170" s="4"/>
      <c r="U170" s="4"/>
    </row>
    <row r="171" spans="5:21" ht="15.75" customHeight="1">
      <c r="E171" s="5"/>
      <c r="Q171" s="4"/>
      <c r="T171" s="4"/>
      <c r="U171" s="4"/>
    </row>
    <row r="172" spans="5:21" ht="15.75" customHeight="1">
      <c r="E172" s="5"/>
      <c r="Q172" s="4"/>
      <c r="T172" s="4"/>
      <c r="U172" s="4"/>
    </row>
    <row r="173" spans="5:21" ht="15.75" customHeight="1">
      <c r="E173" s="5"/>
      <c r="Q173" s="4"/>
      <c r="T173" s="4"/>
      <c r="U173" s="4"/>
    </row>
    <row r="174" spans="5:21" ht="15.75" customHeight="1">
      <c r="E174" s="5"/>
      <c r="Q174" s="4"/>
      <c r="T174" s="4"/>
      <c r="U174" s="4"/>
    </row>
    <row r="175" spans="5:21" ht="15.75" customHeight="1">
      <c r="E175" s="5"/>
      <c r="Q175" s="4"/>
      <c r="T175" s="4"/>
      <c r="U175" s="4"/>
    </row>
    <row r="176" spans="5:21" ht="15.75" customHeight="1">
      <c r="E176" s="5"/>
      <c r="Q176" s="4"/>
      <c r="T176" s="4"/>
      <c r="U176" s="4"/>
    </row>
    <row r="177" spans="5:21" ht="15.75" customHeight="1">
      <c r="E177" s="5"/>
      <c r="Q177" s="4"/>
      <c r="T177" s="4"/>
      <c r="U177" s="4"/>
    </row>
    <row r="178" spans="5:21" ht="15.75" customHeight="1">
      <c r="E178" s="5"/>
      <c r="Q178" s="4"/>
      <c r="T178" s="4"/>
      <c r="U178" s="4"/>
    </row>
    <row r="179" spans="5:21" ht="15.75" customHeight="1">
      <c r="E179" s="5"/>
      <c r="Q179" s="4"/>
      <c r="T179" s="4"/>
      <c r="U179" s="4"/>
    </row>
    <row r="180" spans="5:21" ht="15.75" customHeight="1">
      <c r="E180" s="5"/>
      <c r="Q180" s="4"/>
      <c r="T180" s="4"/>
      <c r="U180" s="4"/>
    </row>
    <row r="181" spans="5:21" ht="15.75" customHeight="1">
      <c r="E181" s="5"/>
      <c r="Q181" s="4"/>
      <c r="T181" s="4"/>
      <c r="U181" s="4"/>
    </row>
    <row r="182" spans="5:21" ht="15.75" customHeight="1">
      <c r="E182" s="5"/>
      <c r="Q182" s="4"/>
      <c r="T182" s="4"/>
      <c r="U182" s="4"/>
    </row>
    <row r="183" spans="5:21" ht="15.75" customHeight="1">
      <c r="E183" s="5"/>
      <c r="Q183" s="4"/>
      <c r="T183" s="4"/>
      <c r="U183" s="4"/>
    </row>
    <row r="184" spans="5:21" ht="15.75" customHeight="1">
      <c r="E184" s="5"/>
      <c r="Q184" s="4"/>
      <c r="T184" s="4"/>
      <c r="U184" s="4"/>
    </row>
    <row r="185" spans="5:21" ht="15.75" customHeight="1">
      <c r="E185" s="5"/>
      <c r="Q185" s="4"/>
      <c r="T185" s="4"/>
      <c r="U185" s="4"/>
    </row>
    <row r="186" spans="5:21" ht="15.75" customHeight="1">
      <c r="E186" s="5"/>
      <c r="Q186" s="4"/>
      <c r="T186" s="4"/>
      <c r="U186" s="4"/>
    </row>
    <row r="187" spans="5:21" ht="15.75" customHeight="1">
      <c r="E187" s="5"/>
      <c r="Q187" s="4"/>
      <c r="T187" s="4"/>
      <c r="U187" s="4"/>
    </row>
    <row r="188" spans="5:21" ht="15.75" customHeight="1">
      <c r="E188" s="5"/>
      <c r="Q188" s="4"/>
      <c r="T188" s="4"/>
      <c r="U188" s="4"/>
    </row>
    <row r="189" spans="5:21" ht="15.75" customHeight="1">
      <c r="E189" s="5"/>
      <c r="Q189" s="4"/>
      <c r="T189" s="4"/>
      <c r="U189" s="4"/>
    </row>
    <row r="190" spans="5:21" ht="15.75" customHeight="1">
      <c r="E190" s="5"/>
      <c r="Q190" s="4"/>
      <c r="T190" s="4"/>
      <c r="U190" s="4"/>
    </row>
    <row r="191" spans="5:21" ht="15.75" customHeight="1">
      <c r="E191" s="5"/>
      <c r="Q191" s="4"/>
      <c r="T191" s="4"/>
      <c r="U191" s="4"/>
    </row>
    <row r="192" spans="5:21" ht="15.75" customHeight="1">
      <c r="E192" s="5"/>
      <c r="Q192" s="4"/>
      <c r="T192" s="4"/>
      <c r="U192" s="4"/>
    </row>
    <row r="193" spans="5:21" ht="15.75" customHeight="1">
      <c r="E193" s="5"/>
      <c r="Q193" s="4"/>
      <c r="T193" s="4"/>
      <c r="U193" s="4"/>
    </row>
    <row r="194" spans="5:21" ht="15.75" customHeight="1">
      <c r="E194" s="5"/>
      <c r="Q194" s="4"/>
      <c r="T194" s="4"/>
      <c r="U194" s="4"/>
    </row>
    <row r="195" spans="5:21" ht="15.75" customHeight="1">
      <c r="E195" s="5"/>
      <c r="Q195" s="4"/>
      <c r="T195" s="4"/>
      <c r="U195" s="4"/>
    </row>
    <row r="196" spans="5:21" ht="15.75" customHeight="1">
      <c r="E196" s="5"/>
      <c r="Q196" s="4"/>
      <c r="T196" s="4"/>
      <c r="U196" s="4"/>
    </row>
    <row r="197" spans="5:21" ht="15.75" customHeight="1">
      <c r="E197" s="5"/>
      <c r="Q197" s="4"/>
      <c r="T197" s="4"/>
      <c r="U197" s="4"/>
    </row>
    <row r="198" spans="5:21" ht="15.75" customHeight="1">
      <c r="E198" s="5"/>
      <c r="Q198" s="4"/>
      <c r="T198" s="4"/>
      <c r="U198" s="4"/>
    </row>
    <row r="199" spans="5:21" ht="15.75" customHeight="1">
      <c r="E199" s="5"/>
      <c r="Q199" s="4"/>
      <c r="T199" s="4"/>
      <c r="U199" s="4"/>
    </row>
    <row r="200" spans="5:21" ht="15.75" customHeight="1">
      <c r="E200" s="5"/>
      <c r="Q200" s="4"/>
      <c r="T200" s="4"/>
      <c r="U200" s="4"/>
    </row>
    <row r="201" spans="5:21" ht="15.75" customHeight="1">
      <c r="E201" s="5"/>
      <c r="Q201" s="4"/>
      <c r="T201" s="4"/>
      <c r="U201" s="4"/>
    </row>
    <row r="202" spans="5:21" ht="15.75" customHeight="1">
      <c r="E202" s="5"/>
      <c r="Q202" s="4"/>
      <c r="T202" s="4"/>
      <c r="U202" s="4"/>
    </row>
    <row r="203" spans="5:21" ht="15.75" customHeight="1">
      <c r="E203" s="5"/>
      <c r="Q203" s="4"/>
      <c r="T203" s="4"/>
      <c r="U203" s="4"/>
    </row>
    <row r="204" spans="5:21" ht="15.75" customHeight="1">
      <c r="E204" s="5"/>
      <c r="Q204" s="4"/>
      <c r="T204" s="4"/>
      <c r="U204" s="4"/>
    </row>
    <row r="205" spans="5:21" ht="15.75" customHeight="1">
      <c r="E205" s="5"/>
      <c r="Q205" s="4"/>
      <c r="T205" s="4"/>
      <c r="U205" s="4"/>
    </row>
    <row r="206" spans="5:21" ht="15.75" customHeight="1">
      <c r="E206" s="5"/>
      <c r="Q206" s="4"/>
      <c r="T206" s="4"/>
      <c r="U206" s="4"/>
    </row>
    <row r="207" spans="5:21" ht="15.75" customHeight="1">
      <c r="E207" s="5"/>
      <c r="Q207" s="4"/>
      <c r="T207" s="4"/>
      <c r="U207" s="4"/>
    </row>
    <row r="208" spans="5:21" ht="15.75" customHeight="1">
      <c r="E208" s="5"/>
      <c r="Q208" s="4"/>
      <c r="T208" s="4"/>
      <c r="U208" s="4"/>
    </row>
    <row r="209" spans="5:21" ht="15.75" customHeight="1">
      <c r="E209" s="5"/>
      <c r="Q209" s="4"/>
      <c r="T209" s="4"/>
      <c r="U209" s="4"/>
    </row>
    <row r="210" spans="5:21" ht="15.75" customHeight="1">
      <c r="E210" s="5"/>
      <c r="Q210" s="4"/>
      <c r="T210" s="4"/>
      <c r="U210" s="4"/>
    </row>
    <row r="211" spans="5:21" ht="15.75" customHeight="1">
      <c r="E211" s="5"/>
      <c r="Q211" s="4"/>
      <c r="T211" s="4"/>
      <c r="U211" s="4"/>
    </row>
    <row r="212" spans="5:21" ht="15.75" customHeight="1">
      <c r="E212" s="5"/>
      <c r="Q212" s="4"/>
      <c r="T212" s="4"/>
      <c r="U212" s="4"/>
    </row>
    <row r="213" spans="5:21" ht="15.75" customHeight="1">
      <c r="E213" s="5"/>
      <c r="Q213" s="4"/>
      <c r="T213" s="4"/>
      <c r="U213" s="4"/>
    </row>
    <row r="214" spans="5:21" ht="15.75" customHeight="1">
      <c r="E214" s="5"/>
      <c r="Q214" s="4"/>
      <c r="T214" s="4"/>
      <c r="U214" s="4"/>
    </row>
    <row r="215" spans="5:21" ht="15.75" customHeight="1">
      <c r="E215" s="5"/>
      <c r="Q215" s="4"/>
      <c r="T215" s="4"/>
      <c r="U215" s="4"/>
    </row>
    <row r="216" spans="5:21" ht="15.75" customHeight="1">
      <c r="E216" s="5"/>
      <c r="Q216" s="4"/>
      <c r="T216" s="4"/>
      <c r="U216" s="4"/>
    </row>
    <row r="217" spans="5:21" ht="15.75" customHeight="1">
      <c r="E217" s="5"/>
      <c r="Q217" s="4"/>
      <c r="T217" s="4"/>
      <c r="U217" s="4"/>
    </row>
    <row r="218" spans="5:21" ht="15.75" customHeight="1">
      <c r="E218" s="5"/>
      <c r="Q218" s="4"/>
      <c r="T218" s="4"/>
      <c r="U218" s="4"/>
    </row>
    <row r="219" spans="5:21" ht="15.75" customHeight="1">
      <c r="E219" s="5"/>
      <c r="Q219" s="4"/>
      <c r="T219" s="4"/>
      <c r="U219" s="4"/>
    </row>
    <row r="220" spans="5:21" ht="15.75" customHeight="1">
      <c r="E220" s="5"/>
      <c r="Q220" s="4"/>
      <c r="T220" s="4"/>
      <c r="U220" s="4"/>
    </row>
    <row r="221" spans="5:21" ht="15.75" customHeight="1">
      <c r="E221" s="5"/>
      <c r="Q221" s="4"/>
      <c r="T221" s="4"/>
      <c r="U221" s="4"/>
    </row>
    <row r="222" spans="5:21" ht="15.75" customHeight="1">
      <c r="E222" s="5"/>
      <c r="Q222" s="4"/>
      <c r="T222" s="4"/>
      <c r="U222" s="4"/>
    </row>
    <row r="223" spans="5:21" ht="15.75" customHeight="1">
      <c r="E223" s="5"/>
      <c r="Q223" s="4"/>
      <c r="T223" s="4"/>
      <c r="U223" s="4"/>
    </row>
    <row r="224" spans="5:21" ht="15.75" customHeight="1">
      <c r="E224" s="5"/>
      <c r="Q224" s="4"/>
      <c r="T224" s="4"/>
      <c r="U224" s="4"/>
    </row>
    <row r="225" spans="5:21" ht="15.75" customHeight="1">
      <c r="E225" s="5"/>
      <c r="Q225" s="4"/>
      <c r="T225" s="4"/>
      <c r="U225" s="4"/>
    </row>
    <row r="226" spans="5:21" ht="15.75" customHeight="1">
      <c r="E226" s="5"/>
      <c r="Q226" s="4"/>
      <c r="T226" s="4"/>
      <c r="U226" s="4"/>
    </row>
    <row r="227" spans="5:21" ht="15.75" customHeight="1">
      <c r="E227" s="5"/>
      <c r="Q227" s="4"/>
      <c r="T227" s="4"/>
      <c r="U227" s="4"/>
    </row>
    <row r="228" spans="5:21" ht="15.75" customHeight="1">
      <c r="E228" s="5"/>
      <c r="Q228" s="4"/>
      <c r="T228" s="4"/>
      <c r="U228" s="4"/>
    </row>
    <row r="229" spans="5:21" ht="15.75" customHeight="1">
      <c r="E229" s="5"/>
      <c r="Q229" s="4"/>
      <c r="T229" s="4"/>
      <c r="U229" s="4"/>
    </row>
    <row r="230" spans="5:21" ht="15.75" customHeight="1">
      <c r="Q230" s="4"/>
      <c r="T230" s="4"/>
      <c r="U230" s="4"/>
    </row>
    <row r="231" spans="5:21" ht="15.75" customHeight="1">
      <c r="Q231" s="4"/>
      <c r="T231" s="4"/>
      <c r="U231" s="4"/>
    </row>
    <row r="232" spans="5:21" ht="15.75" customHeight="1">
      <c r="Q232" s="4"/>
      <c r="T232" s="4"/>
      <c r="U232" s="4"/>
    </row>
    <row r="233" spans="5:21" ht="15.75" customHeight="1">
      <c r="Q233" s="4"/>
      <c r="T233" s="4"/>
      <c r="U233" s="4"/>
    </row>
    <row r="234" spans="5:21" ht="15.75" customHeight="1">
      <c r="Q234" s="4"/>
      <c r="T234" s="4"/>
      <c r="U234" s="4"/>
    </row>
    <row r="235" spans="5:21" ht="15.75" customHeight="1">
      <c r="Q235" s="4"/>
      <c r="T235" s="4"/>
      <c r="U235" s="4"/>
    </row>
    <row r="236" spans="5:21" ht="15.75" customHeight="1">
      <c r="Q236" s="4"/>
      <c r="T236" s="4"/>
      <c r="U236" s="4"/>
    </row>
    <row r="237" spans="5:21" ht="15.75" customHeight="1">
      <c r="Q237" s="4"/>
      <c r="T237" s="4"/>
      <c r="U237" s="4"/>
    </row>
    <row r="238" spans="5:21" ht="15.75" customHeight="1">
      <c r="Q238" s="4"/>
      <c r="T238" s="4"/>
      <c r="U238" s="4"/>
    </row>
    <row r="239" spans="5:21" ht="15.75" customHeight="1">
      <c r="Q239" s="4"/>
      <c r="T239" s="4"/>
      <c r="U239" s="4"/>
    </row>
    <row r="240" spans="5:21" ht="15.75" customHeight="1">
      <c r="Q240" s="4"/>
      <c r="T240" s="4"/>
      <c r="U240" s="4"/>
    </row>
    <row r="241" spans="17:21" ht="15.75" customHeight="1">
      <c r="Q241" s="4"/>
      <c r="T241" s="4"/>
      <c r="U241" s="4"/>
    </row>
    <row r="242" spans="17:21" ht="15.75" customHeight="1">
      <c r="Q242" s="4"/>
      <c r="T242" s="4"/>
      <c r="U242" s="4"/>
    </row>
    <row r="243" spans="17:21" ht="15.75" customHeight="1">
      <c r="Q243" s="4"/>
      <c r="T243" s="4"/>
      <c r="U243" s="4"/>
    </row>
    <row r="244" spans="17:21" ht="15.75" customHeight="1">
      <c r="Q244" s="4"/>
      <c r="T244" s="4"/>
      <c r="U244" s="4"/>
    </row>
    <row r="245" spans="17:21" ht="15.75" customHeight="1">
      <c r="Q245" s="4"/>
      <c r="T245" s="4"/>
      <c r="U245" s="4"/>
    </row>
    <row r="246" spans="17:21" ht="15.75" customHeight="1">
      <c r="Q246" s="4"/>
      <c r="T246" s="4"/>
      <c r="U246" s="4"/>
    </row>
    <row r="247" spans="17:21" ht="15.75" customHeight="1">
      <c r="Q247" s="4"/>
      <c r="T247" s="4"/>
      <c r="U247" s="4"/>
    </row>
    <row r="248" spans="17:21" ht="15.75" customHeight="1">
      <c r="Q248" s="4"/>
      <c r="T248" s="4"/>
      <c r="U248" s="4"/>
    </row>
    <row r="249" spans="17:21" ht="15.75" customHeight="1">
      <c r="Q249" s="4"/>
      <c r="T249" s="4"/>
      <c r="U249" s="4"/>
    </row>
    <row r="250" spans="17:21" ht="15.75" customHeight="1">
      <c r="Q250" s="4"/>
      <c r="T250" s="4"/>
      <c r="U250" s="4"/>
    </row>
    <row r="251" spans="17:21" ht="15.75" customHeight="1">
      <c r="Q251" s="4"/>
      <c r="T251" s="4"/>
      <c r="U251" s="4"/>
    </row>
    <row r="252" spans="17:21" ht="15.75" customHeight="1">
      <c r="Q252" s="4"/>
      <c r="T252" s="4"/>
      <c r="U252" s="4"/>
    </row>
    <row r="253" spans="17:21" ht="15.75" customHeight="1">
      <c r="Q253" s="4"/>
      <c r="T253" s="4"/>
      <c r="U253" s="4"/>
    </row>
    <row r="254" spans="17:21" ht="15.75" customHeight="1">
      <c r="Q254" s="4"/>
      <c r="T254" s="4"/>
      <c r="U254" s="4"/>
    </row>
    <row r="255" spans="17:21" ht="15.75" customHeight="1">
      <c r="Q255" s="4"/>
      <c r="T255" s="4"/>
      <c r="U255" s="4"/>
    </row>
    <row r="256" spans="17:21" ht="15.75" customHeight="1">
      <c r="Q256" s="4"/>
      <c r="T256" s="4"/>
      <c r="U256" s="4"/>
    </row>
    <row r="257" spans="17:21" ht="15.75" customHeight="1">
      <c r="Q257" s="4"/>
      <c r="T257" s="4"/>
      <c r="U257" s="4"/>
    </row>
    <row r="258" spans="17:21" ht="15.75" customHeight="1">
      <c r="Q258" s="4"/>
      <c r="T258" s="4"/>
      <c r="U258" s="4"/>
    </row>
    <row r="259" spans="17:21" ht="15.75" customHeight="1">
      <c r="Q259" s="4"/>
      <c r="T259" s="4"/>
      <c r="U259" s="4"/>
    </row>
    <row r="260" spans="17:21" ht="15.75" customHeight="1">
      <c r="Q260" s="4"/>
      <c r="T260" s="4"/>
      <c r="U260" s="4"/>
    </row>
    <row r="261" spans="17:21" ht="15.75" customHeight="1">
      <c r="Q261" s="4"/>
      <c r="T261" s="4"/>
      <c r="U261" s="4"/>
    </row>
    <row r="262" spans="17:21" ht="15.75" customHeight="1">
      <c r="Q262" s="4"/>
      <c r="T262" s="4"/>
      <c r="U262" s="4"/>
    </row>
    <row r="263" spans="17:21" ht="15.75" customHeight="1">
      <c r="Q263" s="4"/>
      <c r="T263" s="4"/>
      <c r="U263" s="4"/>
    </row>
    <row r="264" spans="17:21" ht="15.75" customHeight="1">
      <c r="Q264" s="4"/>
      <c r="T264" s="4"/>
      <c r="U264" s="4"/>
    </row>
    <row r="265" spans="17:21" ht="15.75" customHeight="1">
      <c r="Q265" s="4"/>
      <c r="T265" s="4"/>
      <c r="U265" s="4"/>
    </row>
    <row r="266" spans="17:21" ht="15.75" customHeight="1">
      <c r="Q266" s="4"/>
      <c r="T266" s="4"/>
      <c r="U266" s="4"/>
    </row>
    <row r="267" spans="17:21" ht="15.75" customHeight="1">
      <c r="Q267" s="4"/>
      <c r="T267" s="4"/>
      <c r="U267" s="4"/>
    </row>
    <row r="268" spans="17:21" ht="15.75" customHeight="1">
      <c r="Q268" s="4"/>
      <c r="T268" s="4"/>
      <c r="U268" s="4"/>
    </row>
    <row r="269" spans="17:21" ht="15.75" customHeight="1">
      <c r="Q269" s="4"/>
      <c r="T269" s="4"/>
      <c r="U269" s="4"/>
    </row>
    <row r="270" spans="17:21" ht="15.75" customHeight="1">
      <c r="Q270" s="4"/>
      <c r="T270" s="4"/>
      <c r="U270" s="4"/>
    </row>
    <row r="271" spans="17:21" ht="15.75" customHeight="1">
      <c r="Q271" s="4"/>
      <c r="T271" s="4"/>
      <c r="U271" s="4"/>
    </row>
    <row r="272" spans="17:21" ht="15.75" customHeight="1">
      <c r="Q272" s="4"/>
      <c r="T272" s="4"/>
      <c r="U272" s="4"/>
    </row>
    <row r="273" spans="17:21" ht="15.75" customHeight="1">
      <c r="Q273" s="4"/>
      <c r="T273" s="4"/>
      <c r="U273" s="4"/>
    </row>
    <row r="274" spans="17:21" ht="15.75" customHeight="1">
      <c r="Q274" s="4"/>
      <c r="T274" s="4"/>
      <c r="U274" s="4"/>
    </row>
    <row r="275" spans="17:21" ht="15.75" customHeight="1">
      <c r="Q275" s="4"/>
      <c r="T275" s="4"/>
      <c r="U275" s="4"/>
    </row>
    <row r="276" spans="17:21" ht="15.75" customHeight="1">
      <c r="Q276" s="4"/>
      <c r="T276" s="4"/>
      <c r="U276" s="4"/>
    </row>
    <row r="277" spans="17:21" ht="15.75" customHeight="1">
      <c r="Q277" s="4"/>
      <c r="T277" s="4"/>
      <c r="U277" s="4"/>
    </row>
    <row r="278" spans="17:21" ht="15.75" customHeight="1">
      <c r="Q278" s="4"/>
      <c r="T278" s="4"/>
      <c r="U278" s="4"/>
    </row>
    <row r="279" spans="17:21" ht="15.75" customHeight="1">
      <c r="Q279" s="4"/>
      <c r="T279" s="4"/>
      <c r="U279" s="4"/>
    </row>
    <row r="280" spans="17:21" ht="15.75" customHeight="1">
      <c r="Q280" s="4"/>
      <c r="T280" s="4"/>
      <c r="U280" s="4"/>
    </row>
    <row r="281" spans="17:21" ht="15.75" customHeight="1">
      <c r="Q281" s="4"/>
      <c r="T281" s="4"/>
      <c r="U281" s="4"/>
    </row>
    <row r="282" spans="17:21" ht="15.75" customHeight="1">
      <c r="Q282" s="4"/>
      <c r="T282" s="4"/>
      <c r="U282" s="4"/>
    </row>
    <row r="283" spans="17:21" ht="15.75" customHeight="1">
      <c r="Q283" s="4"/>
      <c r="T283" s="4"/>
      <c r="U283" s="4"/>
    </row>
    <row r="284" spans="17:21" ht="15.75" customHeight="1">
      <c r="Q284" s="4"/>
      <c r="T284" s="4"/>
      <c r="U284" s="4"/>
    </row>
    <row r="285" spans="17:21" ht="15.75" customHeight="1">
      <c r="Q285" s="4"/>
      <c r="T285" s="4"/>
      <c r="U285" s="4"/>
    </row>
    <row r="286" spans="17:21" ht="15.75" customHeight="1">
      <c r="Q286" s="4"/>
      <c r="T286" s="4"/>
      <c r="U286" s="4"/>
    </row>
    <row r="287" spans="17:21" ht="15.75" customHeight="1">
      <c r="Q287" s="4"/>
      <c r="T287" s="4"/>
      <c r="U287" s="4"/>
    </row>
    <row r="288" spans="17:21" ht="15.75" customHeight="1">
      <c r="Q288" s="4"/>
      <c r="T288" s="4"/>
      <c r="U288" s="4"/>
    </row>
    <row r="289" spans="17:21" ht="15.75" customHeight="1">
      <c r="Q289" s="4"/>
      <c r="T289" s="4"/>
      <c r="U289" s="4"/>
    </row>
    <row r="290" spans="17:21" ht="15.75" customHeight="1">
      <c r="Q290" s="4"/>
      <c r="T290" s="4"/>
      <c r="U290" s="4"/>
    </row>
    <row r="291" spans="17:21" ht="15.75" customHeight="1">
      <c r="Q291" s="4"/>
      <c r="T291" s="4"/>
      <c r="U291" s="4"/>
    </row>
    <row r="292" spans="17:21" ht="15.75" customHeight="1">
      <c r="Q292" s="4"/>
      <c r="T292" s="4"/>
      <c r="U292" s="4"/>
    </row>
    <row r="293" spans="17:21" ht="15.75" customHeight="1">
      <c r="Q293" s="4"/>
      <c r="T293" s="4"/>
      <c r="U293" s="4"/>
    </row>
    <row r="294" spans="17:21" ht="15.75" customHeight="1">
      <c r="Q294" s="4"/>
      <c r="T294" s="4"/>
      <c r="U294" s="4"/>
    </row>
    <row r="295" spans="17:21" ht="15.75" customHeight="1">
      <c r="Q295" s="4"/>
      <c r="T295" s="4"/>
      <c r="U295" s="4"/>
    </row>
    <row r="296" spans="17:21" ht="15.75" customHeight="1">
      <c r="Q296" s="4"/>
      <c r="T296" s="4"/>
      <c r="U296" s="4"/>
    </row>
    <row r="297" spans="17:21" ht="15.75" customHeight="1">
      <c r="Q297" s="4"/>
      <c r="T297" s="4"/>
      <c r="U297" s="4"/>
    </row>
    <row r="298" spans="17:21" ht="15.75" customHeight="1">
      <c r="Q298" s="4"/>
      <c r="T298" s="4"/>
      <c r="U298" s="4"/>
    </row>
    <row r="299" spans="17:21" ht="15.75" customHeight="1">
      <c r="Q299" s="4"/>
      <c r="T299" s="4"/>
      <c r="U299" s="4"/>
    </row>
    <row r="300" spans="17:21" ht="15.75" customHeight="1">
      <c r="Q300" s="4"/>
      <c r="T300" s="4"/>
      <c r="U300" s="4"/>
    </row>
    <row r="301" spans="17:21" ht="15.75" customHeight="1">
      <c r="Q301" s="4"/>
      <c r="T301" s="4"/>
      <c r="U301" s="4"/>
    </row>
    <row r="302" spans="17:21" ht="15.75" customHeight="1">
      <c r="Q302" s="4"/>
      <c r="T302" s="4"/>
      <c r="U302" s="4"/>
    </row>
    <row r="303" spans="17:21" ht="15.75" customHeight="1">
      <c r="Q303" s="4"/>
      <c r="T303" s="4"/>
      <c r="U303" s="4"/>
    </row>
    <row r="304" spans="17:21" ht="15.75" customHeight="1">
      <c r="Q304" s="4"/>
      <c r="T304" s="4"/>
      <c r="U304" s="4"/>
    </row>
    <row r="305" spans="17:21" ht="15.75" customHeight="1">
      <c r="Q305" s="4"/>
      <c r="T305" s="4"/>
      <c r="U305" s="4"/>
    </row>
    <row r="306" spans="17:21" ht="15.75" customHeight="1">
      <c r="Q306" s="4"/>
      <c r="T306" s="4"/>
      <c r="U306" s="4"/>
    </row>
    <row r="307" spans="17:21" ht="15.75" customHeight="1">
      <c r="Q307" s="4"/>
      <c r="T307" s="4"/>
      <c r="U307" s="4"/>
    </row>
    <row r="308" spans="17:21" ht="15.75" customHeight="1">
      <c r="Q308" s="4"/>
      <c r="T308" s="4"/>
      <c r="U308" s="4"/>
    </row>
    <row r="309" spans="17:21" ht="15.75" customHeight="1">
      <c r="Q309" s="4"/>
      <c r="T309" s="4"/>
      <c r="U309" s="4"/>
    </row>
    <row r="310" spans="17:21" ht="15.75" customHeight="1">
      <c r="Q310" s="4"/>
      <c r="T310" s="4"/>
      <c r="U310" s="4"/>
    </row>
    <row r="311" spans="17:21" ht="15.75" customHeight="1">
      <c r="Q311" s="4"/>
      <c r="T311" s="4"/>
      <c r="U311" s="4"/>
    </row>
    <row r="312" spans="17:21" ht="15.75" customHeight="1">
      <c r="Q312" s="4"/>
      <c r="T312" s="4"/>
      <c r="U312" s="4"/>
    </row>
    <row r="313" spans="17:21" ht="15.75" customHeight="1">
      <c r="Q313" s="4"/>
      <c r="T313" s="4"/>
      <c r="U313" s="4"/>
    </row>
    <row r="314" spans="17:21" ht="15.75" customHeight="1">
      <c r="Q314" s="4"/>
      <c r="T314" s="4"/>
      <c r="U314" s="4"/>
    </row>
    <row r="315" spans="17:21" ht="15.75" customHeight="1">
      <c r="Q315" s="4"/>
      <c r="T315" s="4"/>
      <c r="U315" s="4"/>
    </row>
    <row r="316" spans="17:21" ht="15.75" customHeight="1">
      <c r="Q316" s="4"/>
      <c r="T316" s="4"/>
      <c r="U316" s="4"/>
    </row>
    <row r="317" spans="17:21" ht="15.75" customHeight="1">
      <c r="Q317" s="4"/>
      <c r="T317" s="4"/>
      <c r="U317" s="4"/>
    </row>
    <row r="318" spans="17:21" ht="15.75" customHeight="1">
      <c r="Q318" s="4"/>
      <c r="T318" s="4"/>
      <c r="U318" s="4"/>
    </row>
    <row r="319" spans="17:21" ht="15.75" customHeight="1">
      <c r="Q319" s="4"/>
      <c r="T319" s="4"/>
      <c r="U319" s="4"/>
    </row>
    <row r="320" spans="17:21" ht="15.75" customHeight="1">
      <c r="Q320" s="4"/>
      <c r="T320" s="4"/>
      <c r="U320" s="4"/>
    </row>
    <row r="321" spans="17:21" ht="15.75" customHeight="1">
      <c r="Q321" s="4"/>
      <c r="T321" s="4"/>
      <c r="U321" s="4"/>
    </row>
    <row r="322" spans="17:21" ht="15.75" customHeight="1">
      <c r="Q322" s="4"/>
      <c r="T322" s="4"/>
      <c r="U322" s="4"/>
    </row>
    <row r="323" spans="17:21" ht="15.75" customHeight="1">
      <c r="Q323" s="4"/>
      <c r="T323" s="4"/>
      <c r="U323" s="4"/>
    </row>
    <row r="324" spans="17:21" ht="15.75" customHeight="1">
      <c r="Q324" s="4"/>
      <c r="T324" s="4"/>
      <c r="U324" s="4"/>
    </row>
    <row r="325" spans="17:21" ht="15.75" customHeight="1">
      <c r="Q325" s="4"/>
      <c r="T325" s="4"/>
      <c r="U325" s="4"/>
    </row>
    <row r="326" spans="17:21" ht="15.75" customHeight="1">
      <c r="Q326" s="4"/>
      <c r="T326" s="4"/>
      <c r="U326" s="4"/>
    </row>
    <row r="327" spans="17:21" ht="15.75" customHeight="1">
      <c r="Q327" s="4"/>
      <c r="T327" s="4"/>
      <c r="U327" s="4"/>
    </row>
    <row r="328" spans="17:21" ht="15.75" customHeight="1">
      <c r="Q328" s="4"/>
      <c r="T328" s="4"/>
      <c r="U328" s="4"/>
    </row>
    <row r="329" spans="17:21" ht="15.75" customHeight="1">
      <c r="Q329" s="4"/>
      <c r="T329" s="4"/>
      <c r="U329" s="4"/>
    </row>
    <row r="330" spans="17:21" ht="15.75" customHeight="1">
      <c r="Q330" s="4"/>
      <c r="T330" s="4"/>
      <c r="U330" s="4"/>
    </row>
    <row r="331" spans="17:21" ht="15.75" customHeight="1">
      <c r="Q331" s="4"/>
      <c r="T331" s="4"/>
      <c r="U331" s="4"/>
    </row>
    <row r="332" spans="17:21" ht="15.75" customHeight="1">
      <c r="Q332" s="4"/>
      <c r="T332" s="4"/>
      <c r="U332" s="4"/>
    </row>
    <row r="333" spans="17:21" ht="15.75" customHeight="1">
      <c r="Q333" s="4"/>
      <c r="T333" s="4"/>
      <c r="U333" s="4"/>
    </row>
    <row r="334" spans="17:21" ht="15.75" customHeight="1">
      <c r="Q334" s="4"/>
      <c r="T334" s="4"/>
      <c r="U334" s="4"/>
    </row>
    <row r="335" spans="17:21" ht="15.75" customHeight="1">
      <c r="Q335" s="4"/>
      <c r="T335" s="4"/>
      <c r="U335" s="4"/>
    </row>
    <row r="336" spans="17:21" ht="15.75" customHeight="1">
      <c r="Q336" s="4"/>
      <c r="T336" s="4"/>
      <c r="U336" s="4"/>
    </row>
    <row r="337" spans="17:21" ht="15.75" customHeight="1">
      <c r="Q337" s="4"/>
      <c r="T337" s="4"/>
      <c r="U337" s="4"/>
    </row>
    <row r="338" spans="17:21" ht="15.75" customHeight="1">
      <c r="Q338" s="4"/>
      <c r="T338" s="4"/>
      <c r="U338" s="4"/>
    </row>
    <row r="339" spans="17:21" ht="15.75" customHeight="1">
      <c r="Q339" s="4"/>
      <c r="T339" s="4"/>
      <c r="U339" s="4"/>
    </row>
    <row r="340" spans="17:21" ht="15.75" customHeight="1">
      <c r="Q340" s="4"/>
      <c r="T340" s="4"/>
      <c r="U340" s="4"/>
    </row>
    <row r="341" spans="17:21" ht="15.75" customHeight="1">
      <c r="Q341" s="4"/>
      <c r="T341" s="4"/>
      <c r="U341" s="4"/>
    </row>
    <row r="342" spans="17:21" ht="15.75" customHeight="1">
      <c r="Q342" s="4"/>
      <c r="T342" s="4"/>
      <c r="U342" s="4"/>
    </row>
    <row r="343" spans="17:21" ht="15.75" customHeight="1">
      <c r="Q343" s="4"/>
      <c r="T343" s="4"/>
      <c r="U343" s="4"/>
    </row>
    <row r="344" spans="17:21" ht="15.75" customHeight="1">
      <c r="Q344" s="4"/>
      <c r="T344" s="4"/>
      <c r="U344" s="4"/>
    </row>
    <row r="345" spans="17:21" ht="15.75" customHeight="1">
      <c r="Q345" s="4"/>
      <c r="T345" s="4"/>
      <c r="U345" s="4"/>
    </row>
    <row r="346" spans="17:21" ht="15.75" customHeight="1">
      <c r="Q346" s="4"/>
      <c r="T346" s="4"/>
      <c r="U346" s="4"/>
    </row>
    <row r="347" spans="17:21" ht="15.75" customHeight="1">
      <c r="Q347" s="4"/>
      <c r="T347" s="4"/>
      <c r="U347" s="4"/>
    </row>
    <row r="348" spans="17:21" ht="15.75" customHeight="1">
      <c r="Q348" s="4"/>
      <c r="T348" s="4"/>
      <c r="U348" s="4"/>
    </row>
    <row r="349" spans="17:21" ht="15.75" customHeight="1">
      <c r="Q349" s="4"/>
      <c r="T349" s="4"/>
      <c r="U349" s="4"/>
    </row>
    <row r="350" spans="17:21" ht="15.75" customHeight="1">
      <c r="Q350" s="4"/>
      <c r="T350" s="4"/>
      <c r="U350" s="4"/>
    </row>
    <row r="351" spans="17:21" ht="15.75" customHeight="1">
      <c r="Q351" s="4"/>
      <c r="T351" s="4"/>
      <c r="U351" s="4"/>
    </row>
    <row r="352" spans="17:21" ht="15.75" customHeight="1">
      <c r="Q352" s="4"/>
      <c r="T352" s="4"/>
      <c r="U352" s="4"/>
    </row>
    <row r="353" spans="17:21" ht="15.75" customHeight="1">
      <c r="Q353" s="4"/>
      <c r="T353" s="4"/>
      <c r="U353" s="4"/>
    </row>
    <row r="354" spans="17:21" ht="15.75" customHeight="1">
      <c r="Q354" s="4"/>
      <c r="T354" s="4"/>
      <c r="U354" s="4"/>
    </row>
    <row r="355" spans="17:21" ht="15.75" customHeight="1">
      <c r="Q355" s="4"/>
      <c r="T355" s="4"/>
      <c r="U355" s="4"/>
    </row>
    <row r="356" spans="17:21" ht="15.75" customHeight="1">
      <c r="Q356" s="4"/>
      <c r="T356" s="4"/>
      <c r="U356" s="4"/>
    </row>
    <row r="357" spans="17:21" ht="15.75" customHeight="1">
      <c r="Q357" s="4"/>
      <c r="T357" s="4"/>
      <c r="U357" s="4"/>
    </row>
    <row r="358" spans="17:21" ht="15.75" customHeight="1">
      <c r="Q358" s="4"/>
      <c r="T358" s="4"/>
      <c r="U358" s="4"/>
    </row>
    <row r="359" spans="17:21" ht="15.75" customHeight="1">
      <c r="Q359" s="4"/>
      <c r="T359" s="4"/>
      <c r="U359" s="4"/>
    </row>
    <row r="360" spans="17:21" ht="15.75" customHeight="1">
      <c r="Q360" s="4"/>
      <c r="T360" s="4"/>
      <c r="U360" s="4"/>
    </row>
    <row r="361" spans="17:21" ht="15.75" customHeight="1">
      <c r="Q361" s="4"/>
      <c r="T361" s="4"/>
      <c r="U361" s="4"/>
    </row>
    <row r="362" spans="17:21" ht="15.75" customHeight="1">
      <c r="Q362" s="4"/>
      <c r="T362" s="4"/>
      <c r="U362" s="4"/>
    </row>
    <row r="363" spans="17:21" ht="15.75" customHeight="1">
      <c r="Q363" s="4"/>
      <c r="T363" s="4"/>
      <c r="U363" s="4"/>
    </row>
    <row r="364" spans="17:21" ht="15.75" customHeight="1">
      <c r="Q364" s="4"/>
      <c r="T364" s="4"/>
      <c r="U364" s="4"/>
    </row>
    <row r="365" spans="17:21" ht="15.75" customHeight="1">
      <c r="Q365" s="4"/>
      <c r="T365" s="4"/>
      <c r="U365" s="4"/>
    </row>
    <row r="366" spans="17:21" ht="15.75" customHeight="1">
      <c r="Q366" s="4"/>
      <c r="T366" s="4"/>
      <c r="U366" s="4"/>
    </row>
    <row r="367" spans="17:21" ht="15.75" customHeight="1">
      <c r="Q367" s="4"/>
      <c r="T367" s="4"/>
      <c r="U367" s="4"/>
    </row>
    <row r="368" spans="17:21" ht="15.75" customHeight="1">
      <c r="Q368" s="4"/>
      <c r="T368" s="4"/>
      <c r="U368" s="4"/>
    </row>
    <row r="369" spans="17:21" ht="15.75" customHeight="1">
      <c r="Q369" s="4"/>
      <c r="T369" s="4"/>
      <c r="U369" s="4"/>
    </row>
    <row r="370" spans="17:21" ht="15.75" customHeight="1">
      <c r="Q370" s="4"/>
      <c r="T370" s="4"/>
      <c r="U370" s="4"/>
    </row>
    <row r="371" spans="17:21" ht="15.75" customHeight="1">
      <c r="Q371" s="4"/>
      <c r="T371" s="4"/>
      <c r="U371" s="4"/>
    </row>
    <row r="372" spans="17:21" ht="15.75" customHeight="1">
      <c r="Q372" s="4"/>
      <c r="T372" s="4"/>
      <c r="U372" s="4"/>
    </row>
    <row r="373" spans="17:21" ht="15.75" customHeight="1">
      <c r="Q373" s="4"/>
      <c r="T373" s="4"/>
      <c r="U373" s="4"/>
    </row>
    <row r="374" spans="17:21" ht="15.75" customHeight="1">
      <c r="Q374" s="4"/>
      <c r="T374" s="4"/>
      <c r="U374" s="4"/>
    </row>
    <row r="375" spans="17:21" ht="15.75" customHeight="1">
      <c r="Q375" s="4"/>
      <c r="T375" s="4"/>
      <c r="U375" s="4"/>
    </row>
    <row r="376" spans="17:21" ht="15.75" customHeight="1">
      <c r="Q376" s="4"/>
      <c r="T376" s="4"/>
      <c r="U376" s="4"/>
    </row>
    <row r="377" spans="17:21" ht="15.75" customHeight="1">
      <c r="Q377" s="4"/>
      <c r="T377" s="4"/>
      <c r="U377" s="4"/>
    </row>
    <row r="378" spans="17:21" ht="15.75" customHeight="1">
      <c r="Q378" s="4"/>
      <c r="T378" s="4"/>
      <c r="U378" s="4"/>
    </row>
    <row r="379" spans="17:21" ht="15.75" customHeight="1">
      <c r="Q379" s="4"/>
      <c r="T379" s="4"/>
      <c r="U379" s="4"/>
    </row>
    <row r="380" spans="17:21" ht="15.75" customHeight="1">
      <c r="Q380" s="4"/>
      <c r="T380" s="4"/>
      <c r="U380" s="4"/>
    </row>
    <row r="381" spans="17:21" ht="15.75" customHeight="1">
      <c r="Q381" s="4"/>
      <c r="T381" s="4"/>
      <c r="U381" s="4"/>
    </row>
    <row r="382" spans="17:21" ht="15.75" customHeight="1">
      <c r="Q382" s="4"/>
      <c r="T382" s="4"/>
      <c r="U382" s="4"/>
    </row>
    <row r="383" spans="17:21" ht="15.75" customHeight="1">
      <c r="Q383" s="4"/>
      <c r="T383" s="4"/>
      <c r="U383" s="4"/>
    </row>
    <row r="384" spans="17:21" ht="15.75" customHeight="1">
      <c r="Q384" s="4"/>
      <c r="T384" s="4"/>
      <c r="U384" s="4"/>
    </row>
    <row r="385" spans="17:21" ht="15.75" customHeight="1">
      <c r="Q385" s="4"/>
      <c r="T385" s="4"/>
      <c r="U385" s="4"/>
    </row>
    <row r="386" spans="17:21" ht="15.75" customHeight="1">
      <c r="Q386" s="4"/>
      <c r="T386" s="4"/>
      <c r="U386" s="4"/>
    </row>
    <row r="387" spans="17:21" ht="15.75" customHeight="1">
      <c r="Q387" s="4"/>
      <c r="T387" s="4"/>
      <c r="U387" s="4"/>
    </row>
    <row r="388" spans="17:21" ht="15.75" customHeight="1">
      <c r="Q388" s="4"/>
      <c r="T388" s="4"/>
      <c r="U388" s="4"/>
    </row>
    <row r="389" spans="17:21" ht="15.75" customHeight="1">
      <c r="Q389" s="4"/>
      <c r="T389" s="4"/>
      <c r="U389" s="4"/>
    </row>
    <row r="390" spans="17:21" ht="15.75" customHeight="1">
      <c r="Q390" s="4"/>
      <c r="T390" s="4"/>
      <c r="U390" s="4"/>
    </row>
    <row r="391" spans="17:21" ht="15.75" customHeight="1">
      <c r="Q391" s="4"/>
      <c r="T391" s="4"/>
      <c r="U391" s="4"/>
    </row>
    <row r="392" spans="17:21" ht="15.75" customHeight="1">
      <c r="Q392" s="4"/>
      <c r="T392" s="4"/>
      <c r="U392" s="4"/>
    </row>
    <row r="393" spans="17:21" ht="15.75" customHeight="1">
      <c r="Q393" s="4"/>
      <c r="T393" s="4"/>
      <c r="U393" s="4"/>
    </row>
    <row r="394" spans="17:21" ht="15.75" customHeight="1">
      <c r="Q394" s="4"/>
      <c r="T394" s="4"/>
      <c r="U394" s="4"/>
    </row>
    <row r="395" spans="17:21" ht="15.75" customHeight="1">
      <c r="Q395" s="4"/>
      <c r="T395" s="4"/>
      <c r="U395" s="4"/>
    </row>
    <row r="396" spans="17:21" ht="15.75" customHeight="1">
      <c r="Q396" s="4"/>
      <c r="T396" s="4"/>
      <c r="U396" s="4"/>
    </row>
    <row r="397" spans="17:21" ht="15.75" customHeight="1">
      <c r="Q397" s="4"/>
      <c r="T397" s="4"/>
      <c r="U397" s="4"/>
    </row>
    <row r="398" spans="17:21" ht="15.75" customHeight="1">
      <c r="Q398" s="4"/>
      <c r="T398" s="4"/>
      <c r="U398" s="4"/>
    </row>
    <row r="399" spans="17:21" ht="15.75" customHeight="1">
      <c r="Q399" s="4"/>
      <c r="T399" s="4"/>
      <c r="U399" s="4"/>
    </row>
    <row r="400" spans="17:21" ht="15.75" customHeight="1">
      <c r="Q400" s="4"/>
      <c r="T400" s="4"/>
      <c r="U400" s="4"/>
    </row>
    <row r="401" spans="17:21" ht="15.75" customHeight="1">
      <c r="Q401" s="4"/>
      <c r="T401" s="4"/>
      <c r="U401" s="4"/>
    </row>
    <row r="402" spans="17:21" ht="15.75" customHeight="1">
      <c r="Q402" s="4"/>
      <c r="T402" s="4"/>
      <c r="U402" s="4"/>
    </row>
    <row r="403" spans="17:21" ht="15.75" customHeight="1">
      <c r="Q403" s="4"/>
      <c r="T403" s="4"/>
      <c r="U403" s="4"/>
    </row>
    <row r="404" spans="17:21" ht="15.75" customHeight="1">
      <c r="Q404" s="4"/>
      <c r="T404" s="4"/>
      <c r="U404" s="4"/>
    </row>
    <row r="405" spans="17:21" ht="15.75" customHeight="1">
      <c r="Q405" s="4"/>
      <c r="T405" s="4"/>
      <c r="U405" s="4"/>
    </row>
    <row r="406" spans="17:21" ht="15.75" customHeight="1">
      <c r="Q406" s="4"/>
      <c r="T406" s="4"/>
      <c r="U406" s="4"/>
    </row>
    <row r="407" spans="17:21" ht="15.75" customHeight="1">
      <c r="Q407" s="4"/>
      <c r="T407" s="4"/>
      <c r="U407" s="4"/>
    </row>
    <row r="408" spans="17:21" ht="15.75" customHeight="1">
      <c r="Q408" s="4"/>
      <c r="T408" s="4"/>
      <c r="U408" s="4"/>
    </row>
    <row r="409" spans="17:21" ht="15.75" customHeight="1">
      <c r="Q409" s="4"/>
      <c r="T409" s="4"/>
      <c r="U409" s="4"/>
    </row>
    <row r="410" spans="17:21" ht="15.75" customHeight="1">
      <c r="Q410" s="4"/>
      <c r="T410" s="4"/>
      <c r="U410" s="4"/>
    </row>
    <row r="411" spans="17:21" ht="15.75" customHeight="1">
      <c r="Q411" s="4"/>
      <c r="T411" s="4"/>
      <c r="U411" s="4"/>
    </row>
    <row r="412" spans="17:21" ht="15.75" customHeight="1">
      <c r="Q412" s="4"/>
      <c r="T412" s="4"/>
      <c r="U412" s="4"/>
    </row>
    <row r="413" spans="17:21" ht="15.75" customHeight="1">
      <c r="Q413" s="4"/>
      <c r="T413" s="4"/>
      <c r="U413" s="4"/>
    </row>
    <row r="414" spans="17:21" ht="15.75" customHeight="1">
      <c r="Q414" s="4"/>
      <c r="T414" s="4"/>
      <c r="U414" s="4"/>
    </row>
    <row r="415" spans="17:21" ht="15.75" customHeight="1">
      <c r="Q415" s="4"/>
      <c r="T415" s="4"/>
      <c r="U415" s="4"/>
    </row>
    <row r="416" spans="17:21" ht="15.75" customHeight="1">
      <c r="Q416" s="4"/>
      <c r="T416" s="4"/>
      <c r="U416" s="4"/>
    </row>
    <row r="417" spans="17:21" ht="15.75" customHeight="1">
      <c r="Q417" s="4"/>
      <c r="T417" s="4"/>
      <c r="U417" s="4"/>
    </row>
    <row r="418" spans="17:21" ht="15.75" customHeight="1">
      <c r="Q418" s="4"/>
      <c r="T418" s="4"/>
      <c r="U418" s="4"/>
    </row>
    <row r="419" spans="17:21" ht="15.75" customHeight="1">
      <c r="Q419" s="4"/>
      <c r="T419" s="4"/>
      <c r="U419" s="4"/>
    </row>
    <row r="420" spans="17:21" ht="15.75" customHeight="1">
      <c r="Q420" s="4"/>
      <c r="T420" s="4"/>
      <c r="U420" s="4"/>
    </row>
    <row r="421" spans="17:21" ht="15.75" customHeight="1">
      <c r="Q421" s="4"/>
      <c r="T421" s="4"/>
      <c r="U421" s="4"/>
    </row>
    <row r="422" spans="17:21" ht="15.75" customHeight="1">
      <c r="Q422" s="4"/>
      <c r="T422" s="4"/>
      <c r="U422" s="4"/>
    </row>
    <row r="423" spans="17:21" ht="15.75" customHeight="1">
      <c r="Q423" s="4"/>
      <c r="T423" s="4"/>
      <c r="U423" s="4"/>
    </row>
    <row r="424" spans="17:21" ht="15.75" customHeight="1">
      <c r="Q424" s="4"/>
      <c r="T424" s="4"/>
      <c r="U424" s="4"/>
    </row>
    <row r="425" spans="17:21" ht="15.75" customHeight="1">
      <c r="Q425" s="4"/>
      <c r="T425" s="4"/>
      <c r="U425" s="4"/>
    </row>
    <row r="426" spans="17:21" ht="15.75" customHeight="1">
      <c r="Q426" s="4"/>
      <c r="T426" s="4"/>
      <c r="U426" s="4"/>
    </row>
    <row r="427" spans="17:21" ht="15.75" customHeight="1">
      <c r="Q427" s="4"/>
      <c r="T427" s="4"/>
      <c r="U427" s="4"/>
    </row>
    <row r="428" spans="17:21" ht="15.75" customHeight="1">
      <c r="Q428" s="4"/>
      <c r="T428" s="4"/>
      <c r="U428" s="4"/>
    </row>
    <row r="429" spans="17:21" ht="15.75" customHeight="1">
      <c r="Q429" s="4"/>
      <c r="T429" s="4"/>
      <c r="U429" s="4"/>
    </row>
    <row r="430" spans="17:21" ht="15.75" customHeight="1">
      <c r="Q430" s="4"/>
      <c r="T430" s="4"/>
      <c r="U430" s="4"/>
    </row>
    <row r="431" spans="17:21" ht="15.75" customHeight="1">
      <c r="Q431" s="4"/>
      <c r="T431" s="4"/>
      <c r="U431" s="4"/>
    </row>
    <row r="432" spans="17:21" ht="15.75" customHeight="1">
      <c r="Q432" s="4"/>
      <c r="T432" s="4"/>
      <c r="U432" s="4"/>
    </row>
    <row r="433" spans="17:21" ht="15.75" customHeight="1">
      <c r="Q433" s="4"/>
      <c r="T433" s="4"/>
      <c r="U433" s="4"/>
    </row>
    <row r="434" spans="17:21" ht="15.75" customHeight="1">
      <c r="Q434" s="4"/>
      <c r="T434" s="4"/>
      <c r="U434" s="4"/>
    </row>
    <row r="435" spans="17:21" ht="15.75" customHeight="1">
      <c r="Q435" s="4"/>
      <c r="T435" s="4"/>
      <c r="U435" s="4"/>
    </row>
    <row r="436" spans="17:21" ht="15.75" customHeight="1">
      <c r="Q436" s="4"/>
      <c r="T436" s="4"/>
      <c r="U436" s="4"/>
    </row>
    <row r="437" spans="17:21" ht="15.75" customHeight="1">
      <c r="Q437" s="4"/>
      <c r="T437" s="4"/>
      <c r="U437" s="4"/>
    </row>
    <row r="438" spans="17:21" ht="15.75" customHeight="1">
      <c r="Q438" s="4"/>
      <c r="T438" s="4"/>
      <c r="U438" s="4"/>
    </row>
    <row r="439" spans="17:21" ht="15.75" customHeight="1">
      <c r="Q439" s="4"/>
      <c r="T439" s="4"/>
      <c r="U439" s="4"/>
    </row>
    <row r="440" spans="17:21" ht="15.75" customHeight="1">
      <c r="Q440" s="4"/>
      <c r="T440" s="4"/>
      <c r="U440" s="4"/>
    </row>
    <row r="441" spans="17:21" ht="15.75" customHeight="1">
      <c r="Q441" s="4"/>
      <c r="T441" s="4"/>
      <c r="U441" s="4"/>
    </row>
    <row r="442" spans="17:21" ht="15.75" customHeight="1">
      <c r="Q442" s="4"/>
      <c r="T442" s="4"/>
      <c r="U442" s="4"/>
    </row>
    <row r="443" spans="17:21" ht="15.75" customHeight="1">
      <c r="Q443" s="4"/>
      <c r="T443" s="4"/>
      <c r="U443" s="4"/>
    </row>
    <row r="444" spans="17:21" ht="15.75" customHeight="1">
      <c r="Q444" s="4"/>
      <c r="T444" s="4"/>
      <c r="U444" s="4"/>
    </row>
    <row r="445" spans="17:21" ht="15.75" customHeight="1">
      <c r="Q445" s="4"/>
      <c r="T445" s="4"/>
      <c r="U445" s="4"/>
    </row>
    <row r="446" spans="17:21" ht="15.75" customHeight="1">
      <c r="Q446" s="4"/>
      <c r="T446" s="4"/>
      <c r="U446" s="4"/>
    </row>
    <row r="447" spans="17:21" ht="15.75" customHeight="1">
      <c r="Q447" s="4"/>
      <c r="T447" s="4"/>
      <c r="U447" s="4"/>
    </row>
    <row r="448" spans="17:21" ht="15.75" customHeight="1">
      <c r="Q448" s="4"/>
      <c r="T448" s="4"/>
      <c r="U448" s="4"/>
    </row>
    <row r="449" spans="17:21" ht="15.75" customHeight="1">
      <c r="Q449" s="4"/>
      <c r="T449" s="4"/>
      <c r="U449" s="4"/>
    </row>
    <row r="450" spans="17:21" ht="15.75" customHeight="1">
      <c r="Q450" s="4"/>
      <c r="T450" s="4"/>
      <c r="U450" s="4"/>
    </row>
    <row r="451" spans="17:21" ht="15.75" customHeight="1">
      <c r="Q451" s="4"/>
      <c r="T451" s="4"/>
      <c r="U451" s="4"/>
    </row>
    <row r="452" spans="17:21" ht="15.75" customHeight="1">
      <c r="Q452" s="4"/>
      <c r="T452" s="4"/>
      <c r="U452" s="4"/>
    </row>
    <row r="453" spans="17:21" ht="15.75" customHeight="1">
      <c r="Q453" s="4"/>
      <c r="T453" s="4"/>
      <c r="U453" s="4"/>
    </row>
    <row r="454" spans="17:21" ht="15.75" customHeight="1">
      <c r="Q454" s="4"/>
      <c r="T454" s="4"/>
      <c r="U454" s="4"/>
    </row>
    <row r="455" spans="17:21" ht="15.75" customHeight="1">
      <c r="Q455" s="4"/>
      <c r="T455" s="4"/>
      <c r="U455" s="4"/>
    </row>
    <row r="456" spans="17:21" ht="15.75" customHeight="1">
      <c r="Q456" s="4"/>
      <c r="T456" s="4"/>
      <c r="U456" s="4"/>
    </row>
    <row r="457" spans="17:21" ht="15.75" customHeight="1">
      <c r="Q457" s="4"/>
      <c r="T457" s="4"/>
      <c r="U457" s="4"/>
    </row>
    <row r="458" spans="17:21" ht="15.75" customHeight="1">
      <c r="Q458" s="4"/>
      <c r="T458" s="4"/>
      <c r="U458" s="4"/>
    </row>
    <row r="459" spans="17:21" ht="15.75" customHeight="1">
      <c r="Q459" s="4"/>
      <c r="T459" s="4"/>
      <c r="U459" s="4"/>
    </row>
    <row r="460" spans="17:21" ht="15.75" customHeight="1">
      <c r="Q460" s="4"/>
      <c r="T460" s="4"/>
      <c r="U460" s="4"/>
    </row>
    <row r="461" spans="17:21" ht="15.75" customHeight="1">
      <c r="Q461" s="4"/>
      <c r="T461" s="4"/>
      <c r="U461" s="4"/>
    </row>
    <row r="462" spans="17:21" ht="15.75" customHeight="1">
      <c r="Q462" s="4"/>
      <c r="T462" s="4"/>
      <c r="U462" s="4"/>
    </row>
    <row r="463" spans="17:21" ht="15.75" customHeight="1">
      <c r="Q463" s="4"/>
      <c r="T463" s="4"/>
      <c r="U463" s="4"/>
    </row>
    <row r="464" spans="17:21" ht="15.75" customHeight="1">
      <c r="Q464" s="4"/>
      <c r="T464" s="4"/>
      <c r="U464" s="4"/>
    </row>
    <row r="465" spans="17:21" ht="15.75" customHeight="1">
      <c r="Q465" s="4"/>
      <c r="T465" s="4"/>
      <c r="U465" s="4"/>
    </row>
    <row r="466" spans="17:21" ht="15.75" customHeight="1">
      <c r="Q466" s="4"/>
      <c r="T466" s="4"/>
      <c r="U466" s="4"/>
    </row>
    <row r="467" spans="17:21" ht="15.75" customHeight="1">
      <c r="Q467" s="4"/>
      <c r="T467" s="4"/>
      <c r="U467" s="4"/>
    </row>
    <row r="468" spans="17:21" ht="15.75" customHeight="1">
      <c r="Q468" s="4"/>
      <c r="T468" s="4"/>
      <c r="U468" s="4"/>
    </row>
    <row r="469" spans="17:21" ht="15.75" customHeight="1">
      <c r="Q469" s="4"/>
      <c r="T469" s="4"/>
      <c r="U469" s="4"/>
    </row>
    <row r="470" spans="17:21" ht="15.75" customHeight="1">
      <c r="Q470" s="4"/>
      <c r="T470" s="4"/>
      <c r="U470" s="4"/>
    </row>
    <row r="471" spans="17:21" ht="15.75" customHeight="1">
      <c r="Q471" s="4"/>
      <c r="T471" s="4"/>
      <c r="U471" s="4"/>
    </row>
    <row r="472" spans="17:21" ht="15.75" customHeight="1">
      <c r="Q472" s="4"/>
      <c r="T472" s="4"/>
      <c r="U472" s="4"/>
    </row>
    <row r="473" spans="17:21" ht="15.75" customHeight="1">
      <c r="Q473" s="4"/>
      <c r="T473" s="4"/>
      <c r="U473" s="4"/>
    </row>
    <row r="474" spans="17:21" ht="15.75" customHeight="1">
      <c r="Q474" s="4"/>
      <c r="T474" s="4"/>
      <c r="U474" s="4"/>
    </row>
    <row r="475" spans="17:21" ht="15.75" customHeight="1">
      <c r="Q475" s="4"/>
      <c r="T475" s="4"/>
      <c r="U475" s="4"/>
    </row>
    <row r="476" spans="17:21" ht="15.75" customHeight="1">
      <c r="Q476" s="4"/>
      <c r="T476" s="4"/>
      <c r="U476" s="4"/>
    </row>
    <row r="477" spans="17:21" ht="15.75" customHeight="1">
      <c r="Q477" s="4"/>
      <c r="T477" s="4"/>
      <c r="U477" s="4"/>
    </row>
    <row r="478" spans="17:21" ht="15.75" customHeight="1">
      <c r="Q478" s="4"/>
      <c r="T478" s="4"/>
      <c r="U478" s="4"/>
    </row>
    <row r="479" spans="17:21" ht="15.75" customHeight="1">
      <c r="Q479" s="4"/>
      <c r="T479" s="4"/>
      <c r="U479" s="4"/>
    </row>
    <row r="480" spans="17:21" ht="15.75" customHeight="1">
      <c r="Q480" s="4"/>
      <c r="T480" s="4"/>
      <c r="U480" s="4"/>
    </row>
    <row r="481" spans="17:21" ht="15.75" customHeight="1">
      <c r="Q481" s="4"/>
      <c r="T481" s="4"/>
      <c r="U481" s="4"/>
    </row>
    <row r="482" spans="17:21" ht="15.75" customHeight="1">
      <c r="Q482" s="4"/>
      <c r="T482" s="4"/>
      <c r="U482" s="4"/>
    </row>
    <row r="483" spans="17:21" ht="15.75" customHeight="1">
      <c r="Q483" s="4"/>
      <c r="T483" s="4"/>
      <c r="U483" s="4"/>
    </row>
    <row r="484" spans="17:21" ht="15.75" customHeight="1">
      <c r="Q484" s="4"/>
      <c r="T484" s="4"/>
      <c r="U484" s="4"/>
    </row>
    <row r="485" spans="17:21" ht="15.75" customHeight="1">
      <c r="Q485" s="4"/>
      <c r="T485" s="4"/>
      <c r="U485" s="4"/>
    </row>
    <row r="486" spans="17:21" ht="15.75" customHeight="1">
      <c r="Q486" s="4"/>
      <c r="T486" s="4"/>
      <c r="U486" s="4"/>
    </row>
    <row r="487" spans="17:21" ht="15.75" customHeight="1">
      <c r="Q487" s="4"/>
      <c r="T487" s="4"/>
      <c r="U487" s="4"/>
    </row>
    <row r="488" spans="17:21" ht="15.75" customHeight="1">
      <c r="Q488" s="4"/>
      <c r="T488" s="4"/>
      <c r="U488" s="4"/>
    </row>
    <row r="489" spans="17:21" ht="15.75" customHeight="1">
      <c r="Q489" s="4"/>
      <c r="T489" s="4"/>
      <c r="U489" s="4"/>
    </row>
    <row r="490" spans="17:21" ht="15.75" customHeight="1">
      <c r="Q490" s="4"/>
      <c r="T490" s="4"/>
      <c r="U490" s="4"/>
    </row>
    <row r="491" spans="17:21" ht="15.75" customHeight="1">
      <c r="Q491" s="4"/>
      <c r="T491" s="4"/>
      <c r="U491" s="4"/>
    </row>
    <row r="492" spans="17:21" ht="15.75" customHeight="1">
      <c r="Q492" s="4"/>
      <c r="T492" s="4"/>
      <c r="U492" s="4"/>
    </row>
    <row r="493" spans="17:21" ht="15.75" customHeight="1">
      <c r="Q493" s="4"/>
      <c r="T493" s="4"/>
      <c r="U493" s="4"/>
    </row>
    <row r="494" spans="17:21" ht="15.75" customHeight="1">
      <c r="Q494" s="4"/>
      <c r="T494" s="4"/>
      <c r="U494" s="4"/>
    </row>
    <row r="495" spans="17:21" ht="15.75" customHeight="1">
      <c r="Q495" s="4"/>
      <c r="T495" s="4"/>
      <c r="U495" s="4"/>
    </row>
    <row r="496" spans="17:21" ht="15.75" customHeight="1">
      <c r="Q496" s="4"/>
      <c r="T496" s="4"/>
      <c r="U496" s="4"/>
    </row>
    <row r="497" spans="17:21" ht="15.75" customHeight="1">
      <c r="Q497" s="4"/>
      <c r="T497" s="4"/>
      <c r="U497" s="4"/>
    </row>
    <row r="498" spans="17:21" ht="15.75" customHeight="1">
      <c r="Q498" s="4"/>
      <c r="T498" s="4"/>
      <c r="U498" s="4"/>
    </row>
    <row r="499" spans="17:21" ht="15.75" customHeight="1">
      <c r="Q499" s="4"/>
      <c r="T499" s="4"/>
      <c r="U499" s="4"/>
    </row>
    <row r="500" spans="17:21" ht="15.75" customHeight="1">
      <c r="Q500" s="4"/>
      <c r="T500" s="4"/>
      <c r="U500" s="4"/>
    </row>
    <row r="501" spans="17:21" ht="15.75" customHeight="1">
      <c r="Q501" s="4"/>
      <c r="T501" s="4"/>
      <c r="U501" s="4"/>
    </row>
    <row r="502" spans="17:21" ht="15.75" customHeight="1">
      <c r="Q502" s="4"/>
      <c r="T502" s="4"/>
      <c r="U502" s="4"/>
    </row>
    <row r="503" spans="17:21" ht="15.75" customHeight="1">
      <c r="Q503" s="4"/>
      <c r="T503" s="4"/>
      <c r="U503" s="4"/>
    </row>
    <row r="504" spans="17:21" ht="15.75" customHeight="1">
      <c r="Q504" s="4"/>
      <c r="T504" s="4"/>
      <c r="U504" s="4"/>
    </row>
    <row r="505" spans="17:21" ht="15.75" customHeight="1">
      <c r="Q505" s="4"/>
      <c r="T505" s="4"/>
      <c r="U505" s="4"/>
    </row>
    <row r="506" spans="17:21" ht="15.75" customHeight="1">
      <c r="Q506" s="4"/>
      <c r="T506" s="4"/>
      <c r="U506" s="4"/>
    </row>
    <row r="507" spans="17:21" ht="15.75" customHeight="1">
      <c r="Q507" s="4"/>
      <c r="T507" s="4"/>
      <c r="U507" s="4"/>
    </row>
    <row r="508" spans="17:21" ht="15.75" customHeight="1">
      <c r="Q508" s="4"/>
      <c r="T508" s="4"/>
      <c r="U508" s="4"/>
    </row>
    <row r="509" spans="17:21" ht="15.75" customHeight="1">
      <c r="Q509" s="4"/>
      <c r="T509" s="4"/>
      <c r="U509" s="4"/>
    </row>
    <row r="510" spans="17:21" ht="15.75" customHeight="1">
      <c r="Q510" s="4"/>
      <c r="T510" s="4"/>
      <c r="U510" s="4"/>
    </row>
    <row r="511" spans="17:21" ht="15.75" customHeight="1">
      <c r="Q511" s="4"/>
      <c r="T511" s="4"/>
      <c r="U511" s="4"/>
    </row>
    <row r="512" spans="17:21" ht="15.75" customHeight="1">
      <c r="Q512" s="4"/>
      <c r="T512" s="4"/>
      <c r="U512" s="4"/>
    </row>
    <row r="513" spans="17:21" ht="15.75" customHeight="1">
      <c r="Q513" s="4"/>
      <c r="T513" s="4"/>
      <c r="U513" s="4"/>
    </row>
    <row r="514" spans="17:21" ht="15.75" customHeight="1">
      <c r="Q514" s="4"/>
      <c r="T514" s="4"/>
      <c r="U514" s="4"/>
    </row>
    <row r="515" spans="17:21" ht="15.75" customHeight="1">
      <c r="Q515" s="4"/>
      <c r="T515" s="4"/>
      <c r="U515" s="4"/>
    </row>
    <row r="516" spans="17:21" ht="15.75" customHeight="1">
      <c r="Q516" s="4"/>
      <c r="T516" s="4"/>
      <c r="U516" s="4"/>
    </row>
    <row r="517" spans="17:21" ht="15.75" customHeight="1">
      <c r="Q517" s="4"/>
      <c r="T517" s="4"/>
      <c r="U517" s="4"/>
    </row>
    <row r="518" spans="17:21" ht="15.75" customHeight="1">
      <c r="Q518" s="4"/>
      <c r="T518" s="4"/>
      <c r="U518" s="4"/>
    </row>
    <row r="519" spans="17:21" ht="15.75" customHeight="1">
      <c r="Q519" s="4"/>
      <c r="T519" s="4"/>
      <c r="U519" s="4"/>
    </row>
    <row r="520" spans="17:21" ht="15.75" customHeight="1">
      <c r="Q520" s="4"/>
      <c r="T520" s="4"/>
      <c r="U520" s="4"/>
    </row>
    <row r="521" spans="17:21" ht="15.75" customHeight="1">
      <c r="Q521" s="4"/>
      <c r="T521" s="4"/>
      <c r="U521" s="4"/>
    </row>
    <row r="522" spans="17:21" ht="15.75" customHeight="1">
      <c r="Q522" s="4"/>
      <c r="T522" s="4"/>
      <c r="U522" s="4"/>
    </row>
    <row r="523" spans="17:21" ht="15.75" customHeight="1">
      <c r="Q523" s="4"/>
      <c r="T523" s="4"/>
      <c r="U523" s="4"/>
    </row>
    <row r="524" spans="17:21" ht="15.75" customHeight="1">
      <c r="Q524" s="4"/>
      <c r="T524" s="4"/>
      <c r="U524" s="4"/>
    </row>
    <row r="525" spans="17:21" ht="15.75" customHeight="1">
      <c r="Q525" s="4"/>
      <c r="T525" s="4"/>
      <c r="U525" s="4"/>
    </row>
    <row r="526" spans="17:21" ht="15.75" customHeight="1">
      <c r="Q526" s="4"/>
      <c r="T526" s="4"/>
      <c r="U526" s="4"/>
    </row>
    <row r="527" spans="17:21" ht="15.75" customHeight="1">
      <c r="Q527" s="4"/>
      <c r="T527" s="4"/>
      <c r="U527" s="4"/>
    </row>
    <row r="528" spans="17:21" ht="15.75" customHeight="1">
      <c r="Q528" s="4"/>
      <c r="T528" s="4"/>
      <c r="U528" s="4"/>
    </row>
    <row r="529" spans="17:21" ht="15.75" customHeight="1">
      <c r="Q529" s="4"/>
      <c r="T529" s="4"/>
      <c r="U529" s="4"/>
    </row>
    <row r="530" spans="17:21" ht="15.75" customHeight="1">
      <c r="Q530" s="4"/>
      <c r="T530" s="4"/>
      <c r="U530" s="4"/>
    </row>
    <row r="531" spans="17:21" ht="15.75" customHeight="1">
      <c r="Q531" s="4"/>
      <c r="T531" s="4"/>
      <c r="U531" s="4"/>
    </row>
    <row r="532" spans="17:21" ht="15.75" customHeight="1">
      <c r="Q532" s="4"/>
      <c r="T532" s="4"/>
      <c r="U532" s="4"/>
    </row>
    <row r="533" spans="17:21" ht="15.75" customHeight="1">
      <c r="Q533" s="4"/>
      <c r="T533" s="4"/>
      <c r="U533" s="4"/>
    </row>
    <row r="534" spans="17:21" ht="15.75" customHeight="1">
      <c r="Q534" s="4"/>
      <c r="T534" s="4"/>
      <c r="U534" s="4"/>
    </row>
    <row r="535" spans="17:21" ht="15.75" customHeight="1">
      <c r="Q535" s="4"/>
      <c r="T535" s="4"/>
      <c r="U535" s="4"/>
    </row>
    <row r="536" spans="17:21" ht="15.75" customHeight="1">
      <c r="Q536" s="4"/>
      <c r="T536" s="4"/>
      <c r="U536" s="4"/>
    </row>
    <row r="537" spans="17:21" ht="15.75" customHeight="1">
      <c r="Q537" s="4"/>
      <c r="T537" s="4"/>
      <c r="U537" s="4"/>
    </row>
    <row r="538" spans="17:21" ht="15.75" customHeight="1">
      <c r="Q538" s="4"/>
      <c r="T538" s="4"/>
      <c r="U538" s="4"/>
    </row>
    <row r="539" spans="17:21" ht="15.75" customHeight="1">
      <c r="Q539" s="4"/>
      <c r="T539" s="4"/>
      <c r="U539" s="4"/>
    </row>
    <row r="540" spans="17:21" ht="15.75" customHeight="1">
      <c r="Q540" s="4"/>
      <c r="T540" s="4"/>
      <c r="U540" s="4"/>
    </row>
    <row r="541" spans="17:21" ht="15.75" customHeight="1">
      <c r="Q541" s="4"/>
      <c r="T541" s="4"/>
      <c r="U541" s="4"/>
    </row>
    <row r="542" spans="17:21" ht="15.75" customHeight="1">
      <c r="Q542" s="4"/>
      <c r="T542" s="4"/>
      <c r="U542" s="4"/>
    </row>
    <row r="543" spans="17:21" ht="15.75" customHeight="1">
      <c r="Q543" s="4"/>
      <c r="T543" s="4"/>
      <c r="U543" s="4"/>
    </row>
    <row r="544" spans="17:21" ht="15.75" customHeight="1">
      <c r="Q544" s="4"/>
      <c r="T544" s="4"/>
      <c r="U544" s="4"/>
    </row>
    <row r="545" spans="17:21" ht="15.75" customHeight="1">
      <c r="Q545" s="4"/>
      <c r="T545" s="4"/>
      <c r="U545" s="4"/>
    </row>
    <row r="546" spans="17:21" ht="15.75" customHeight="1">
      <c r="Q546" s="4"/>
      <c r="T546" s="4"/>
      <c r="U546" s="4"/>
    </row>
    <row r="547" spans="17:21" ht="15.75" customHeight="1">
      <c r="Q547" s="4"/>
      <c r="T547" s="4"/>
      <c r="U547" s="4"/>
    </row>
    <row r="548" spans="17:21" ht="15.75" customHeight="1">
      <c r="Q548" s="4"/>
      <c r="T548" s="4"/>
      <c r="U548" s="4"/>
    </row>
    <row r="549" spans="17:21" ht="15.75" customHeight="1">
      <c r="Q549" s="4"/>
      <c r="T549" s="4"/>
      <c r="U549" s="4"/>
    </row>
    <row r="550" spans="17:21" ht="15.75" customHeight="1">
      <c r="Q550" s="4"/>
      <c r="T550" s="4"/>
      <c r="U550" s="4"/>
    </row>
    <row r="551" spans="17:21" ht="15.75" customHeight="1">
      <c r="Q551" s="4"/>
      <c r="T551" s="4"/>
      <c r="U551" s="4"/>
    </row>
    <row r="552" spans="17:21" ht="15.75" customHeight="1">
      <c r="Q552" s="4"/>
      <c r="T552" s="4"/>
      <c r="U552" s="4"/>
    </row>
    <row r="553" spans="17:21" ht="15.75" customHeight="1">
      <c r="Q553" s="4"/>
      <c r="T553" s="4"/>
      <c r="U553" s="4"/>
    </row>
    <row r="554" spans="17:21" ht="15.75" customHeight="1">
      <c r="Q554" s="4"/>
      <c r="T554" s="4"/>
      <c r="U554" s="4"/>
    </row>
    <row r="555" spans="17:21" ht="15.75" customHeight="1">
      <c r="Q555" s="4"/>
      <c r="T555" s="4"/>
      <c r="U555" s="4"/>
    </row>
    <row r="556" spans="17:21" ht="15.75" customHeight="1">
      <c r="Q556" s="4"/>
      <c r="T556" s="4"/>
      <c r="U556" s="4"/>
    </row>
    <row r="557" spans="17:21" ht="15.75" customHeight="1">
      <c r="Q557" s="4"/>
      <c r="T557" s="4"/>
      <c r="U557" s="4"/>
    </row>
    <row r="558" spans="17:21" ht="15.75" customHeight="1">
      <c r="Q558" s="4"/>
      <c r="T558" s="4"/>
      <c r="U558" s="4"/>
    </row>
    <row r="559" spans="17:21" ht="15.75" customHeight="1">
      <c r="Q559" s="4"/>
      <c r="T559" s="4"/>
      <c r="U559" s="4"/>
    </row>
    <row r="560" spans="17:21" ht="15.75" customHeight="1">
      <c r="Q560" s="4"/>
      <c r="T560" s="4"/>
      <c r="U560" s="4"/>
    </row>
    <row r="561" spans="17:21" ht="15.75" customHeight="1">
      <c r="Q561" s="4"/>
      <c r="T561" s="4"/>
      <c r="U561" s="4"/>
    </row>
    <row r="562" spans="17:21" ht="15.75" customHeight="1">
      <c r="Q562" s="4"/>
      <c r="T562" s="4"/>
      <c r="U562" s="4"/>
    </row>
    <row r="563" spans="17:21" ht="15.75" customHeight="1">
      <c r="Q563" s="4"/>
      <c r="T563" s="4"/>
      <c r="U563" s="4"/>
    </row>
    <row r="564" spans="17:21" ht="15.75" customHeight="1">
      <c r="Q564" s="4"/>
      <c r="T564" s="4"/>
      <c r="U564" s="4"/>
    </row>
    <row r="565" spans="17:21" ht="15.75" customHeight="1">
      <c r="Q565" s="4"/>
      <c r="T565" s="4"/>
      <c r="U565" s="4"/>
    </row>
    <row r="566" spans="17:21" ht="15.75" customHeight="1">
      <c r="Q566" s="4"/>
      <c r="T566" s="4"/>
      <c r="U566" s="4"/>
    </row>
    <row r="567" spans="17:21" ht="15.75" customHeight="1">
      <c r="Q567" s="4"/>
      <c r="T567" s="4"/>
      <c r="U567" s="4"/>
    </row>
    <row r="568" spans="17:21" ht="15.75" customHeight="1">
      <c r="Q568" s="4"/>
      <c r="T568" s="4"/>
      <c r="U568" s="4"/>
    </row>
    <row r="569" spans="17:21" ht="15.75" customHeight="1">
      <c r="Q569" s="4"/>
      <c r="T569" s="4"/>
      <c r="U569" s="4"/>
    </row>
    <row r="570" spans="17:21" ht="15.75" customHeight="1">
      <c r="Q570" s="4"/>
      <c r="T570" s="4"/>
      <c r="U570" s="4"/>
    </row>
    <row r="571" spans="17:21" ht="15.75" customHeight="1">
      <c r="Q571" s="4"/>
      <c r="T571" s="4"/>
      <c r="U571" s="4"/>
    </row>
    <row r="572" spans="17:21" ht="15.75" customHeight="1">
      <c r="Q572" s="4"/>
      <c r="T572" s="4"/>
      <c r="U572" s="4"/>
    </row>
    <row r="573" spans="17:21" ht="15.75" customHeight="1">
      <c r="Q573" s="4"/>
      <c r="T573" s="4"/>
      <c r="U573" s="4"/>
    </row>
    <row r="574" spans="17:21" ht="15.75" customHeight="1">
      <c r="Q574" s="4"/>
      <c r="T574" s="4"/>
      <c r="U574" s="4"/>
    </row>
    <row r="575" spans="17:21" ht="15.75" customHeight="1">
      <c r="Q575" s="4"/>
      <c r="T575" s="4"/>
      <c r="U575" s="4"/>
    </row>
    <row r="576" spans="17:21" ht="15.75" customHeight="1">
      <c r="Q576" s="4"/>
      <c r="T576" s="4"/>
      <c r="U576" s="4"/>
    </row>
    <row r="577" spans="17:21" ht="15.75" customHeight="1">
      <c r="Q577" s="4"/>
      <c r="T577" s="4"/>
      <c r="U577" s="4"/>
    </row>
    <row r="578" spans="17:21" ht="15.75" customHeight="1">
      <c r="Q578" s="4"/>
      <c r="T578" s="4"/>
      <c r="U578" s="4"/>
    </row>
    <row r="579" spans="17:21" ht="15.75" customHeight="1">
      <c r="Q579" s="4"/>
      <c r="T579" s="4"/>
      <c r="U579" s="4"/>
    </row>
    <row r="580" spans="17:21" ht="15.75" customHeight="1">
      <c r="Q580" s="4"/>
      <c r="T580" s="4"/>
      <c r="U580" s="4"/>
    </row>
    <row r="581" spans="17:21" ht="15.75" customHeight="1">
      <c r="Q581" s="4"/>
      <c r="T581" s="4"/>
      <c r="U581" s="4"/>
    </row>
    <row r="582" spans="17:21" ht="15.75" customHeight="1">
      <c r="Q582" s="4"/>
      <c r="T582" s="4"/>
      <c r="U582" s="4"/>
    </row>
    <row r="583" spans="17:21" ht="15.75" customHeight="1">
      <c r="Q583" s="4"/>
      <c r="T583" s="4"/>
      <c r="U583" s="4"/>
    </row>
    <row r="584" spans="17:21" ht="15.75" customHeight="1">
      <c r="Q584" s="4"/>
      <c r="T584" s="4"/>
      <c r="U584" s="4"/>
    </row>
    <row r="585" spans="17:21" ht="15.75" customHeight="1">
      <c r="Q585" s="4"/>
      <c r="T585" s="4"/>
      <c r="U585" s="4"/>
    </row>
    <row r="586" spans="17:21" ht="15.75" customHeight="1">
      <c r="Q586" s="4"/>
      <c r="T586" s="4"/>
      <c r="U586" s="4"/>
    </row>
    <row r="587" spans="17:21" ht="15.75" customHeight="1">
      <c r="Q587" s="4"/>
      <c r="T587" s="4"/>
      <c r="U587" s="4"/>
    </row>
    <row r="588" spans="17:21" ht="15.75" customHeight="1">
      <c r="Q588" s="4"/>
      <c r="T588" s="4"/>
      <c r="U588" s="4"/>
    </row>
    <row r="589" spans="17:21" ht="15.75" customHeight="1">
      <c r="Q589" s="4"/>
      <c r="T589" s="4"/>
      <c r="U589" s="4"/>
    </row>
    <row r="590" spans="17:21" ht="15.75" customHeight="1">
      <c r="Q590" s="4"/>
      <c r="T590" s="4"/>
      <c r="U590" s="4"/>
    </row>
    <row r="591" spans="17:21" ht="15.75" customHeight="1">
      <c r="Q591" s="4"/>
      <c r="T591" s="4"/>
      <c r="U591" s="4"/>
    </row>
    <row r="592" spans="17:21" ht="15.75" customHeight="1">
      <c r="Q592" s="4"/>
      <c r="T592" s="4"/>
      <c r="U592" s="4"/>
    </row>
    <row r="593" spans="17:21" ht="15.75" customHeight="1">
      <c r="Q593" s="4"/>
      <c r="T593" s="4"/>
      <c r="U593" s="4"/>
    </row>
    <row r="594" spans="17:21" ht="15.75" customHeight="1">
      <c r="Q594" s="4"/>
      <c r="T594" s="4"/>
      <c r="U594" s="4"/>
    </row>
    <row r="595" spans="17:21" ht="15.75" customHeight="1">
      <c r="Q595" s="4"/>
      <c r="T595" s="4"/>
      <c r="U595" s="4"/>
    </row>
    <row r="596" spans="17:21" ht="15.75" customHeight="1">
      <c r="Q596" s="4"/>
      <c r="T596" s="4"/>
      <c r="U596" s="4"/>
    </row>
    <row r="597" spans="17:21" ht="15.75" customHeight="1">
      <c r="Q597" s="4"/>
      <c r="T597" s="4"/>
      <c r="U597" s="4"/>
    </row>
    <row r="598" spans="17:21" ht="15.75" customHeight="1">
      <c r="Q598" s="4"/>
      <c r="T598" s="4"/>
      <c r="U598" s="4"/>
    </row>
    <row r="599" spans="17:21" ht="15.75" customHeight="1">
      <c r="Q599" s="4"/>
      <c r="T599" s="4"/>
      <c r="U599" s="4"/>
    </row>
    <row r="600" spans="17:21" ht="15.75" customHeight="1">
      <c r="Q600" s="4"/>
      <c r="T600" s="4"/>
      <c r="U600" s="4"/>
    </row>
    <row r="601" spans="17:21" ht="15.75" customHeight="1">
      <c r="Q601" s="4"/>
      <c r="T601" s="4"/>
      <c r="U601" s="4"/>
    </row>
    <row r="602" spans="17:21" ht="15.75" customHeight="1">
      <c r="Q602" s="4"/>
      <c r="T602" s="4"/>
      <c r="U602" s="4"/>
    </row>
    <row r="603" spans="17:21" ht="15.75" customHeight="1">
      <c r="Q603" s="4"/>
      <c r="T603" s="4"/>
      <c r="U603" s="4"/>
    </row>
    <row r="604" spans="17:21" ht="15.75" customHeight="1">
      <c r="Q604" s="4"/>
      <c r="T604" s="4"/>
      <c r="U604" s="4"/>
    </row>
    <row r="605" spans="17:21" ht="15.75" customHeight="1">
      <c r="Q605" s="4"/>
      <c r="T605" s="4"/>
      <c r="U605" s="4"/>
    </row>
    <row r="606" spans="17:21" ht="15.75" customHeight="1">
      <c r="Q606" s="4"/>
      <c r="T606" s="4"/>
      <c r="U606" s="4"/>
    </row>
    <row r="607" spans="17:21" ht="15.75" customHeight="1">
      <c r="Q607" s="4"/>
      <c r="T607" s="4"/>
      <c r="U607" s="4"/>
    </row>
    <row r="608" spans="17:21" ht="15.75" customHeight="1">
      <c r="Q608" s="4"/>
      <c r="T608" s="4"/>
      <c r="U608" s="4"/>
    </row>
    <row r="609" spans="17:21" ht="15.75" customHeight="1">
      <c r="Q609" s="4"/>
      <c r="T609" s="4"/>
      <c r="U609" s="4"/>
    </row>
    <row r="610" spans="17:21" ht="15.75" customHeight="1">
      <c r="Q610" s="4"/>
      <c r="T610" s="4"/>
      <c r="U610" s="4"/>
    </row>
    <row r="611" spans="17:21" ht="15.75" customHeight="1">
      <c r="Q611" s="4"/>
      <c r="T611" s="4"/>
      <c r="U611" s="4"/>
    </row>
    <row r="612" spans="17:21" ht="15.75" customHeight="1">
      <c r="Q612" s="4"/>
      <c r="T612" s="4"/>
      <c r="U612" s="4"/>
    </row>
    <row r="613" spans="17:21" ht="15.75" customHeight="1">
      <c r="Q613" s="4"/>
      <c r="T613" s="4"/>
      <c r="U613" s="4"/>
    </row>
    <row r="614" spans="17:21" ht="15.75" customHeight="1">
      <c r="Q614" s="4"/>
      <c r="T614" s="4"/>
      <c r="U614" s="4"/>
    </row>
    <row r="615" spans="17:21" ht="15.75" customHeight="1">
      <c r="Q615" s="4"/>
      <c r="T615" s="4"/>
      <c r="U615" s="4"/>
    </row>
    <row r="616" spans="17:21" ht="15.75" customHeight="1">
      <c r="Q616" s="4"/>
      <c r="T616" s="4"/>
      <c r="U616" s="4"/>
    </row>
    <row r="617" spans="17:21" ht="15.75" customHeight="1">
      <c r="Q617" s="4"/>
      <c r="T617" s="4"/>
      <c r="U617" s="4"/>
    </row>
    <row r="618" spans="17:21" ht="15.75" customHeight="1">
      <c r="Q618" s="4"/>
      <c r="T618" s="4"/>
      <c r="U618" s="4"/>
    </row>
    <row r="619" spans="17:21" ht="15.75" customHeight="1">
      <c r="Q619" s="4"/>
      <c r="T619" s="4"/>
      <c r="U619" s="4"/>
    </row>
    <row r="620" spans="17:21" ht="15.75" customHeight="1">
      <c r="Q620" s="4"/>
      <c r="T620" s="4"/>
      <c r="U620" s="4"/>
    </row>
    <row r="621" spans="17:21" ht="15.75" customHeight="1">
      <c r="Q621" s="4"/>
      <c r="T621" s="4"/>
      <c r="U621" s="4"/>
    </row>
    <row r="622" spans="17:21" ht="15.75" customHeight="1">
      <c r="Q622" s="4"/>
      <c r="T622" s="4"/>
      <c r="U622" s="4"/>
    </row>
    <row r="623" spans="17:21" ht="15.75" customHeight="1">
      <c r="Q623" s="4"/>
      <c r="T623" s="4"/>
      <c r="U623" s="4"/>
    </row>
    <row r="624" spans="17:21" ht="15.75" customHeight="1">
      <c r="Q624" s="4"/>
      <c r="T624" s="4"/>
      <c r="U624" s="4"/>
    </row>
    <row r="625" spans="17:21" ht="15.75" customHeight="1">
      <c r="Q625" s="4"/>
      <c r="T625" s="4"/>
      <c r="U625" s="4"/>
    </row>
    <row r="626" spans="17:21" ht="15.75" customHeight="1">
      <c r="Q626" s="4"/>
      <c r="T626" s="4"/>
      <c r="U626" s="4"/>
    </row>
    <row r="627" spans="17:21" ht="15.75" customHeight="1">
      <c r="Q627" s="4"/>
      <c r="T627" s="4"/>
      <c r="U627" s="4"/>
    </row>
    <row r="628" spans="17:21" ht="15.75" customHeight="1">
      <c r="Q628" s="4"/>
      <c r="T628" s="4"/>
      <c r="U628" s="4"/>
    </row>
    <row r="629" spans="17:21" ht="15.75" customHeight="1">
      <c r="Q629" s="4"/>
      <c r="T629" s="4"/>
      <c r="U629" s="4"/>
    </row>
    <row r="630" spans="17:21" ht="15.75" customHeight="1">
      <c r="Q630" s="4"/>
      <c r="T630" s="4"/>
      <c r="U630" s="4"/>
    </row>
    <row r="631" spans="17:21" ht="15.75" customHeight="1">
      <c r="Q631" s="4"/>
      <c r="T631" s="4"/>
      <c r="U631" s="4"/>
    </row>
    <row r="632" spans="17:21" ht="15.75" customHeight="1">
      <c r="Q632" s="4"/>
      <c r="T632" s="4"/>
      <c r="U632" s="4"/>
    </row>
    <row r="633" spans="17:21" ht="15.75" customHeight="1">
      <c r="Q633" s="4"/>
      <c r="T633" s="4"/>
      <c r="U633" s="4"/>
    </row>
    <row r="634" spans="17:21" ht="15.75" customHeight="1">
      <c r="Q634" s="4"/>
      <c r="T634" s="4"/>
      <c r="U634" s="4"/>
    </row>
    <row r="635" spans="17:21" ht="15.75" customHeight="1">
      <c r="Q635" s="4"/>
      <c r="T635" s="4"/>
      <c r="U635" s="4"/>
    </row>
    <row r="636" spans="17:21" ht="15.75" customHeight="1">
      <c r="Q636" s="4"/>
      <c r="T636" s="4"/>
      <c r="U636" s="4"/>
    </row>
    <row r="637" spans="17:21" ht="15.75" customHeight="1">
      <c r="Q637" s="4"/>
      <c r="T637" s="4"/>
      <c r="U637" s="4"/>
    </row>
    <row r="638" spans="17:21" ht="15.75" customHeight="1">
      <c r="Q638" s="4"/>
      <c r="T638" s="4"/>
      <c r="U638" s="4"/>
    </row>
    <row r="639" spans="17:21" ht="15.75" customHeight="1">
      <c r="Q639" s="4"/>
      <c r="T639" s="4"/>
      <c r="U639" s="4"/>
    </row>
    <row r="640" spans="17:21" ht="15.75" customHeight="1">
      <c r="Q640" s="4"/>
      <c r="T640" s="4"/>
      <c r="U640" s="4"/>
    </row>
    <row r="641" spans="17:21" ht="15.75" customHeight="1">
      <c r="Q641" s="4"/>
      <c r="T641" s="4"/>
      <c r="U641" s="4"/>
    </row>
    <row r="642" spans="17:21" ht="15.75" customHeight="1">
      <c r="Q642" s="4"/>
      <c r="T642" s="4"/>
      <c r="U642" s="4"/>
    </row>
    <row r="643" spans="17:21" ht="15.75" customHeight="1">
      <c r="Q643" s="4"/>
      <c r="T643" s="4"/>
      <c r="U643" s="4"/>
    </row>
    <row r="644" spans="17:21" ht="15.75" customHeight="1">
      <c r="Q644" s="4"/>
      <c r="T644" s="4"/>
      <c r="U644" s="4"/>
    </row>
    <row r="645" spans="17:21" ht="15.75" customHeight="1">
      <c r="Q645" s="4"/>
      <c r="T645" s="4"/>
      <c r="U645" s="4"/>
    </row>
    <row r="646" spans="17:21" ht="15.75" customHeight="1">
      <c r="Q646" s="4"/>
      <c r="T646" s="4"/>
      <c r="U646" s="4"/>
    </row>
    <row r="647" spans="17:21" ht="15.75" customHeight="1">
      <c r="Q647" s="4"/>
      <c r="T647" s="4"/>
      <c r="U647" s="4"/>
    </row>
    <row r="648" spans="17:21" ht="15.75" customHeight="1">
      <c r="Q648" s="4"/>
      <c r="T648" s="4"/>
      <c r="U648" s="4"/>
    </row>
    <row r="649" spans="17:21" ht="15.75" customHeight="1">
      <c r="Q649" s="4"/>
      <c r="T649" s="4"/>
      <c r="U649" s="4"/>
    </row>
    <row r="650" spans="17:21" ht="15.75" customHeight="1">
      <c r="Q650" s="4"/>
      <c r="T650" s="4"/>
      <c r="U650" s="4"/>
    </row>
    <row r="651" spans="17:21" ht="15.75" customHeight="1">
      <c r="Q651" s="4"/>
      <c r="T651" s="4"/>
      <c r="U651" s="4"/>
    </row>
    <row r="652" spans="17:21" ht="15.75" customHeight="1">
      <c r="Q652" s="4"/>
      <c r="T652" s="4"/>
      <c r="U652" s="4"/>
    </row>
    <row r="653" spans="17:21" ht="15.75" customHeight="1">
      <c r="Q653" s="4"/>
      <c r="T653" s="4"/>
      <c r="U653" s="4"/>
    </row>
    <row r="654" spans="17:21" ht="15.75" customHeight="1">
      <c r="Q654" s="4"/>
      <c r="T654" s="4"/>
      <c r="U654" s="4"/>
    </row>
    <row r="655" spans="17:21" ht="15.75" customHeight="1">
      <c r="Q655" s="4"/>
      <c r="T655" s="4"/>
      <c r="U655" s="4"/>
    </row>
    <row r="656" spans="17:21" ht="15.75" customHeight="1">
      <c r="Q656" s="4"/>
      <c r="T656" s="4"/>
      <c r="U656" s="4"/>
    </row>
    <row r="657" spans="17:21" ht="15.75" customHeight="1">
      <c r="Q657" s="4"/>
      <c r="T657" s="4"/>
      <c r="U657" s="4"/>
    </row>
    <row r="658" spans="17:21" ht="15.75" customHeight="1">
      <c r="Q658" s="4"/>
      <c r="T658" s="4"/>
      <c r="U658" s="4"/>
    </row>
    <row r="659" spans="17:21" ht="15.75" customHeight="1">
      <c r="Q659" s="4"/>
      <c r="T659" s="4"/>
      <c r="U659" s="4"/>
    </row>
    <row r="660" spans="17:21" ht="15.75" customHeight="1">
      <c r="Q660" s="4"/>
      <c r="T660" s="4"/>
      <c r="U660" s="4"/>
    </row>
    <row r="661" spans="17:21" ht="15.75" customHeight="1">
      <c r="Q661" s="4"/>
      <c r="T661" s="4"/>
      <c r="U661" s="4"/>
    </row>
    <row r="662" spans="17:21" ht="15.75" customHeight="1">
      <c r="Q662" s="4"/>
      <c r="T662" s="4"/>
      <c r="U662" s="4"/>
    </row>
    <row r="663" spans="17:21" ht="15.75" customHeight="1">
      <c r="Q663" s="4"/>
      <c r="T663" s="4"/>
      <c r="U663" s="4"/>
    </row>
    <row r="664" spans="17:21" ht="15.75" customHeight="1">
      <c r="Q664" s="4"/>
      <c r="T664" s="4"/>
      <c r="U664" s="4"/>
    </row>
    <row r="665" spans="17:21" ht="15.75" customHeight="1">
      <c r="Q665" s="4"/>
      <c r="T665" s="4"/>
      <c r="U665" s="4"/>
    </row>
    <row r="666" spans="17:21" ht="15.75" customHeight="1">
      <c r="Q666" s="4"/>
      <c r="T666" s="4"/>
      <c r="U666" s="4"/>
    </row>
    <row r="667" spans="17:21" ht="15.75" customHeight="1">
      <c r="Q667" s="4"/>
      <c r="T667" s="4"/>
      <c r="U667" s="4"/>
    </row>
    <row r="668" spans="17:21" ht="15.75" customHeight="1">
      <c r="Q668" s="4"/>
      <c r="T668" s="4"/>
      <c r="U668" s="4"/>
    </row>
    <row r="669" spans="17:21" ht="15.75" customHeight="1">
      <c r="Q669" s="4"/>
      <c r="T669" s="4"/>
      <c r="U669" s="4"/>
    </row>
    <row r="670" spans="17:21" ht="15.75" customHeight="1">
      <c r="Q670" s="4"/>
      <c r="T670" s="4"/>
      <c r="U670" s="4"/>
    </row>
    <row r="671" spans="17:21" ht="15.75" customHeight="1">
      <c r="Q671" s="4"/>
      <c r="T671" s="4"/>
      <c r="U671" s="4"/>
    </row>
    <row r="672" spans="17:21" ht="15.75" customHeight="1">
      <c r="Q672" s="4"/>
      <c r="T672" s="4"/>
      <c r="U672" s="4"/>
    </row>
    <row r="673" spans="17:21" ht="15.75" customHeight="1">
      <c r="Q673" s="4"/>
      <c r="T673" s="4"/>
      <c r="U673" s="4"/>
    </row>
    <row r="674" spans="17:21" ht="15.75" customHeight="1">
      <c r="Q674" s="4"/>
      <c r="T674" s="4"/>
      <c r="U674" s="4"/>
    </row>
    <row r="675" spans="17:21" ht="15.75" customHeight="1">
      <c r="Q675" s="4"/>
      <c r="T675" s="4"/>
      <c r="U675" s="4"/>
    </row>
    <row r="676" spans="17:21" ht="15.75" customHeight="1">
      <c r="Q676" s="4"/>
      <c r="T676" s="4"/>
      <c r="U676" s="4"/>
    </row>
    <row r="677" spans="17:21" ht="15.75" customHeight="1">
      <c r="Q677" s="4"/>
      <c r="T677" s="4"/>
      <c r="U677" s="4"/>
    </row>
    <row r="678" spans="17:21" ht="15.75" customHeight="1">
      <c r="Q678" s="4"/>
      <c r="T678" s="4"/>
      <c r="U678" s="4"/>
    </row>
    <row r="679" spans="17:21" ht="15.75" customHeight="1">
      <c r="Q679" s="4"/>
      <c r="T679" s="4"/>
      <c r="U679" s="4"/>
    </row>
    <row r="680" spans="17:21" ht="15.75" customHeight="1">
      <c r="Q680" s="4"/>
      <c r="T680" s="4"/>
      <c r="U680" s="4"/>
    </row>
    <row r="681" spans="17:21" ht="15.75" customHeight="1">
      <c r="Q681" s="4"/>
      <c r="T681" s="4"/>
      <c r="U681" s="4"/>
    </row>
    <row r="682" spans="17:21" ht="15.75" customHeight="1">
      <c r="Q682" s="4"/>
      <c r="T682" s="4"/>
      <c r="U682" s="4"/>
    </row>
    <row r="683" spans="17:21" ht="15.75" customHeight="1">
      <c r="Q683" s="4"/>
      <c r="T683" s="4"/>
      <c r="U683" s="4"/>
    </row>
    <row r="684" spans="17:21" ht="15.75" customHeight="1">
      <c r="Q684" s="4"/>
      <c r="T684" s="4"/>
      <c r="U684" s="4"/>
    </row>
    <row r="685" spans="17:21" ht="15.75" customHeight="1">
      <c r="Q685" s="4"/>
      <c r="T685" s="4"/>
      <c r="U685" s="4"/>
    </row>
    <row r="686" spans="17:21" ht="15.75" customHeight="1">
      <c r="Q686" s="4"/>
      <c r="T686" s="4"/>
      <c r="U686" s="4"/>
    </row>
    <row r="687" spans="17:21" ht="15.75" customHeight="1">
      <c r="Q687" s="4"/>
      <c r="T687" s="4"/>
      <c r="U687" s="4"/>
    </row>
    <row r="688" spans="17:21" ht="15.75" customHeight="1">
      <c r="Q688" s="4"/>
      <c r="T688" s="4"/>
      <c r="U688" s="4"/>
    </row>
    <row r="689" spans="17:21" ht="15.75" customHeight="1">
      <c r="Q689" s="4"/>
      <c r="T689" s="4"/>
      <c r="U689" s="4"/>
    </row>
    <row r="690" spans="17:21" ht="15.75" customHeight="1">
      <c r="Q690" s="4"/>
      <c r="T690" s="4"/>
      <c r="U690" s="4"/>
    </row>
    <row r="691" spans="17:21" ht="15.75" customHeight="1">
      <c r="Q691" s="4"/>
      <c r="T691" s="4"/>
      <c r="U691" s="4"/>
    </row>
    <row r="692" spans="17:21" ht="15.75" customHeight="1">
      <c r="Q692" s="4"/>
      <c r="T692" s="4"/>
      <c r="U692" s="4"/>
    </row>
    <row r="693" spans="17:21" ht="15.75" customHeight="1">
      <c r="Q693" s="4"/>
      <c r="T693" s="4"/>
      <c r="U693" s="4"/>
    </row>
    <row r="694" spans="17:21" ht="15.75" customHeight="1">
      <c r="Q694" s="4"/>
      <c r="T694" s="4"/>
      <c r="U694" s="4"/>
    </row>
    <row r="695" spans="17:21" ht="15.75" customHeight="1">
      <c r="Q695" s="4"/>
      <c r="T695" s="4"/>
      <c r="U695" s="4"/>
    </row>
    <row r="696" spans="17:21" ht="15.75" customHeight="1">
      <c r="Q696" s="4"/>
      <c r="T696" s="4"/>
      <c r="U696" s="4"/>
    </row>
    <row r="697" spans="17:21" ht="15.75" customHeight="1">
      <c r="Q697" s="4"/>
      <c r="T697" s="4"/>
      <c r="U697" s="4"/>
    </row>
    <row r="698" spans="17:21" ht="15.75" customHeight="1">
      <c r="Q698" s="4"/>
      <c r="T698" s="4"/>
      <c r="U698" s="4"/>
    </row>
    <row r="699" spans="17:21" ht="15.75" customHeight="1">
      <c r="Q699" s="4"/>
      <c r="T699" s="4"/>
      <c r="U699" s="4"/>
    </row>
    <row r="700" spans="17:21" ht="15.75" customHeight="1">
      <c r="Q700" s="4"/>
      <c r="T700" s="4"/>
      <c r="U700" s="4"/>
    </row>
    <row r="701" spans="17:21" ht="15.75" customHeight="1">
      <c r="Q701" s="4"/>
      <c r="T701" s="4"/>
      <c r="U701" s="4"/>
    </row>
    <row r="702" spans="17:21" ht="15.75" customHeight="1">
      <c r="Q702" s="4"/>
      <c r="T702" s="4"/>
      <c r="U702" s="4"/>
    </row>
    <row r="703" spans="17:21" ht="15.75" customHeight="1">
      <c r="Q703" s="4"/>
      <c r="T703" s="4"/>
      <c r="U703" s="4"/>
    </row>
    <row r="704" spans="17:21" ht="15.75" customHeight="1">
      <c r="Q704" s="4"/>
      <c r="T704" s="4"/>
      <c r="U704" s="4"/>
    </row>
    <row r="705" spans="17:21" ht="15.75" customHeight="1">
      <c r="Q705" s="4"/>
      <c r="T705" s="4"/>
      <c r="U705" s="4"/>
    </row>
    <row r="706" spans="17:21" ht="15.75" customHeight="1">
      <c r="Q706" s="4"/>
      <c r="T706" s="4"/>
      <c r="U706" s="4"/>
    </row>
    <row r="707" spans="17:21" ht="15.75" customHeight="1">
      <c r="Q707" s="4"/>
      <c r="T707" s="4"/>
      <c r="U707" s="4"/>
    </row>
    <row r="708" spans="17:21" ht="15.75" customHeight="1">
      <c r="Q708" s="4"/>
      <c r="T708" s="4"/>
      <c r="U708" s="4"/>
    </row>
    <row r="709" spans="17:21" ht="15.75" customHeight="1">
      <c r="Q709" s="4"/>
      <c r="T709" s="4"/>
      <c r="U709" s="4"/>
    </row>
    <row r="710" spans="17:21" ht="15.75" customHeight="1">
      <c r="Q710" s="4"/>
      <c r="T710" s="4"/>
      <c r="U710" s="4"/>
    </row>
    <row r="711" spans="17:21" ht="15.75" customHeight="1">
      <c r="Q711" s="4"/>
      <c r="T711" s="4"/>
      <c r="U711" s="4"/>
    </row>
    <row r="712" spans="17:21" ht="15.75" customHeight="1">
      <c r="Q712" s="4"/>
      <c r="T712" s="4"/>
      <c r="U712" s="4"/>
    </row>
    <row r="713" spans="17:21" ht="15.75" customHeight="1">
      <c r="Q713" s="4"/>
      <c r="T713" s="4"/>
      <c r="U713" s="4"/>
    </row>
    <row r="714" spans="17:21" ht="15.75" customHeight="1">
      <c r="Q714" s="4"/>
      <c r="T714" s="4"/>
      <c r="U714" s="4"/>
    </row>
    <row r="715" spans="17:21" ht="15.75" customHeight="1">
      <c r="Q715" s="4"/>
      <c r="T715" s="4"/>
      <c r="U715" s="4"/>
    </row>
    <row r="716" spans="17:21" ht="15.75" customHeight="1">
      <c r="Q716" s="4"/>
      <c r="T716" s="4"/>
      <c r="U716" s="4"/>
    </row>
    <row r="717" spans="17:21" ht="15.75" customHeight="1">
      <c r="Q717" s="4"/>
      <c r="T717" s="4"/>
      <c r="U717" s="4"/>
    </row>
    <row r="718" spans="17:21" ht="15.75" customHeight="1">
      <c r="Q718" s="4"/>
      <c r="T718" s="4"/>
      <c r="U718" s="4"/>
    </row>
    <row r="719" spans="17:21" ht="15.75" customHeight="1">
      <c r="Q719" s="4"/>
      <c r="T719" s="4"/>
      <c r="U719" s="4"/>
    </row>
    <row r="720" spans="17:21" ht="15.75" customHeight="1">
      <c r="Q720" s="4"/>
      <c r="T720" s="4"/>
      <c r="U720" s="4"/>
    </row>
    <row r="721" spans="17:21" ht="15.75" customHeight="1">
      <c r="Q721" s="4"/>
      <c r="T721" s="4"/>
      <c r="U721" s="4"/>
    </row>
    <row r="722" spans="17:21" ht="15.75" customHeight="1">
      <c r="Q722" s="4"/>
      <c r="T722" s="4"/>
      <c r="U722" s="4"/>
    </row>
    <row r="723" spans="17:21" ht="15.75" customHeight="1">
      <c r="Q723" s="4"/>
      <c r="T723" s="4"/>
      <c r="U723" s="4"/>
    </row>
    <row r="724" spans="17:21" ht="15.75" customHeight="1">
      <c r="Q724" s="4"/>
      <c r="T724" s="4"/>
      <c r="U724" s="4"/>
    </row>
    <row r="725" spans="17:21" ht="15.75" customHeight="1">
      <c r="Q725" s="4"/>
      <c r="T725" s="4"/>
      <c r="U725" s="4"/>
    </row>
    <row r="726" spans="17:21" ht="15.75" customHeight="1">
      <c r="Q726" s="4"/>
      <c r="T726" s="4"/>
      <c r="U726" s="4"/>
    </row>
    <row r="727" spans="17:21" ht="15.75" customHeight="1">
      <c r="Q727" s="4"/>
      <c r="T727" s="4"/>
      <c r="U727" s="4"/>
    </row>
    <row r="728" spans="17:21" ht="15.75" customHeight="1">
      <c r="Q728" s="4"/>
      <c r="T728" s="4"/>
      <c r="U728" s="4"/>
    </row>
    <row r="729" spans="17:21" ht="15.75" customHeight="1">
      <c r="Q729" s="4"/>
      <c r="T729" s="4"/>
      <c r="U729" s="4"/>
    </row>
    <row r="730" spans="17:21" ht="15.75" customHeight="1">
      <c r="Q730" s="4"/>
      <c r="T730" s="4"/>
      <c r="U730" s="4"/>
    </row>
    <row r="731" spans="17:21" ht="15.75" customHeight="1">
      <c r="Q731" s="4"/>
      <c r="T731" s="4"/>
      <c r="U731" s="4"/>
    </row>
    <row r="732" spans="17:21" ht="15.75" customHeight="1">
      <c r="Q732" s="4"/>
      <c r="T732" s="4"/>
      <c r="U732" s="4"/>
    </row>
    <row r="733" spans="17:21" ht="15.75" customHeight="1">
      <c r="Q733" s="4"/>
      <c r="T733" s="4"/>
      <c r="U733" s="4"/>
    </row>
    <row r="734" spans="17:21" ht="15.75" customHeight="1">
      <c r="Q734" s="4"/>
      <c r="T734" s="4"/>
      <c r="U734" s="4"/>
    </row>
    <row r="735" spans="17:21" ht="15.75" customHeight="1">
      <c r="Q735" s="4"/>
      <c r="T735" s="4"/>
      <c r="U735" s="4"/>
    </row>
    <row r="736" spans="17:21" ht="15.75" customHeight="1">
      <c r="Q736" s="4"/>
      <c r="T736" s="4"/>
      <c r="U736" s="4"/>
    </row>
    <row r="737" spans="17:21" ht="15.75" customHeight="1">
      <c r="Q737" s="4"/>
      <c r="T737" s="4"/>
      <c r="U737" s="4"/>
    </row>
    <row r="738" spans="17:21" ht="15.75" customHeight="1">
      <c r="Q738" s="4"/>
      <c r="T738" s="4"/>
      <c r="U738" s="4"/>
    </row>
    <row r="739" spans="17:21" ht="15.75" customHeight="1">
      <c r="Q739" s="4"/>
      <c r="T739" s="4"/>
      <c r="U739" s="4"/>
    </row>
    <row r="740" spans="17:21" ht="15.75" customHeight="1">
      <c r="Q740" s="4"/>
      <c r="T740" s="4"/>
      <c r="U740" s="4"/>
    </row>
    <row r="741" spans="17:21" ht="15.75" customHeight="1">
      <c r="Q741" s="4"/>
      <c r="T741" s="4"/>
      <c r="U741" s="4"/>
    </row>
    <row r="742" spans="17:21" ht="15.75" customHeight="1">
      <c r="Q742" s="4"/>
      <c r="T742" s="4"/>
      <c r="U742" s="4"/>
    </row>
    <row r="743" spans="17:21" ht="15.75" customHeight="1">
      <c r="Q743" s="4"/>
      <c r="T743" s="4"/>
      <c r="U743" s="4"/>
    </row>
    <row r="744" spans="17:21" ht="15.75" customHeight="1">
      <c r="Q744" s="4"/>
      <c r="T744" s="4"/>
      <c r="U744" s="4"/>
    </row>
    <row r="745" spans="17:21" ht="15.75" customHeight="1">
      <c r="Q745" s="4"/>
      <c r="T745" s="4"/>
      <c r="U745" s="4"/>
    </row>
    <row r="746" spans="17:21" ht="15.75" customHeight="1">
      <c r="Q746" s="4"/>
      <c r="T746" s="4"/>
      <c r="U746" s="4"/>
    </row>
    <row r="747" spans="17:21" ht="15.75" customHeight="1">
      <c r="Q747" s="4"/>
      <c r="T747" s="4"/>
      <c r="U747" s="4"/>
    </row>
    <row r="748" spans="17:21" ht="15.75" customHeight="1">
      <c r="Q748" s="4"/>
      <c r="T748" s="4"/>
      <c r="U748" s="4"/>
    </row>
    <row r="749" spans="17:21" ht="15.75" customHeight="1">
      <c r="Q749" s="4"/>
      <c r="T749" s="4"/>
      <c r="U749" s="4"/>
    </row>
    <row r="750" spans="17:21" ht="15.75" customHeight="1">
      <c r="Q750" s="4"/>
      <c r="T750" s="4"/>
      <c r="U750" s="4"/>
    </row>
    <row r="751" spans="17:21" ht="15.75" customHeight="1">
      <c r="Q751" s="4"/>
      <c r="T751" s="4"/>
      <c r="U751" s="4"/>
    </row>
    <row r="752" spans="17:21" ht="15.75" customHeight="1">
      <c r="Q752" s="4"/>
      <c r="T752" s="4"/>
      <c r="U752" s="4"/>
    </row>
    <row r="753" spans="17:21" ht="15.75" customHeight="1">
      <c r="Q753" s="4"/>
      <c r="T753" s="4"/>
      <c r="U753" s="4"/>
    </row>
    <row r="754" spans="17:21" ht="15.75" customHeight="1">
      <c r="Q754" s="4"/>
      <c r="T754" s="4"/>
      <c r="U754" s="4"/>
    </row>
    <row r="755" spans="17:21" ht="15.75" customHeight="1">
      <c r="Q755" s="4"/>
      <c r="T755" s="4"/>
      <c r="U755" s="4"/>
    </row>
    <row r="756" spans="17:21" ht="15.75" customHeight="1">
      <c r="Q756" s="4"/>
      <c r="T756" s="4"/>
      <c r="U756" s="4"/>
    </row>
    <row r="757" spans="17:21" ht="15.75" customHeight="1">
      <c r="Q757" s="4"/>
      <c r="T757" s="4"/>
      <c r="U757" s="4"/>
    </row>
    <row r="758" spans="17:21" ht="15.75" customHeight="1">
      <c r="Q758" s="4"/>
      <c r="T758" s="4"/>
      <c r="U758" s="4"/>
    </row>
    <row r="759" spans="17:21" ht="15.75" customHeight="1">
      <c r="Q759" s="4"/>
      <c r="T759" s="4"/>
      <c r="U759" s="4"/>
    </row>
    <row r="760" spans="17:21" ht="15.75" customHeight="1">
      <c r="Q760" s="4"/>
      <c r="T760" s="4"/>
      <c r="U760" s="4"/>
    </row>
    <row r="761" spans="17:21" ht="15.75" customHeight="1">
      <c r="Q761" s="4"/>
      <c r="T761" s="4"/>
      <c r="U761" s="4"/>
    </row>
    <row r="762" spans="17:21" ht="15.75" customHeight="1">
      <c r="Q762" s="4"/>
      <c r="T762" s="4"/>
      <c r="U762" s="4"/>
    </row>
    <row r="763" spans="17:21" ht="15.75" customHeight="1">
      <c r="Q763" s="4"/>
      <c r="T763" s="4"/>
      <c r="U763" s="4"/>
    </row>
    <row r="764" spans="17:21" ht="15.75" customHeight="1">
      <c r="Q764" s="4"/>
      <c r="T764" s="4"/>
      <c r="U764" s="4"/>
    </row>
    <row r="765" spans="17:21" ht="15.75" customHeight="1">
      <c r="Q765" s="4"/>
      <c r="T765" s="4"/>
      <c r="U765" s="4"/>
    </row>
    <row r="766" spans="17:21" ht="15.75" customHeight="1">
      <c r="Q766" s="4"/>
      <c r="T766" s="4"/>
      <c r="U766" s="4"/>
    </row>
    <row r="767" spans="17:21" ht="15.75" customHeight="1">
      <c r="Q767" s="4"/>
      <c r="T767" s="4"/>
      <c r="U767" s="4"/>
    </row>
    <row r="768" spans="17:21" ht="15.75" customHeight="1">
      <c r="Q768" s="4"/>
      <c r="T768" s="4"/>
      <c r="U768" s="4"/>
    </row>
    <row r="769" spans="17:21" ht="15.75" customHeight="1">
      <c r="Q769" s="4"/>
      <c r="T769" s="4"/>
      <c r="U769" s="4"/>
    </row>
    <row r="770" spans="17:21" ht="15.75" customHeight="1">
      <c r="Q770" s="4"/>
      <c r="T770" s="4"/>
      <c r="U770" s="4"/>
    </row>
    <row r="771" spans="17:21" ht="15.75" customHeight="1">
      <c r="Q771" s="4"/>
      <c r="T771" s="4"/>
      <c r="U771" s="4"/>
    </row>
    <row r="772" spans="17:21" ht="15.75" customHeight="1">
      <c r="Q772" s="4"/>
      <c r="T772" s="4"/>
      <c r="U772" s="4"/>
    </row>
    <row r="773" spans="17:21" ht="15.75" customHeight="1">
      <c r="Q773" s="4"/>
      <c r="T773" s="4"/>
      <c r="U773" s="4"/>
    </row>
    <row r="774" spans="17:21" ht="15.75" customHeight="1">
      <c r="Q774" s="4"/>
      <c r="T774" s="4"/>
      <c r="U774" s="4"/>
    </row>
    <row r="775" spans="17:21" ht="15.75" customHeight="1">
      <c r="Q775" s="4"/>
      <c r="T775" s="4"/>
      <c r="U775" s="4"/>
    </row>
    <row r="776" spans="17:21" ht="15.75" customHeight="1">
      <c r="Q776" s="4"/>
      <c r="T776" s="4"/>
      <c r="U776" s="4"/>
    </row>
    <row r="777" spans="17:21" ht="15.75" customHeight="1">
      <c r="Q777" s="4"/>
      <c r="T777" s="4"/>
      <c r="U777" s="4"/>
    </row>
    <row r="778" spans="17:21" ht="15.75" customHeight="1">
      <c r="Q778" s="4"/>
      <c r="T778" s="4"/>
      <c r="U778" s="4"/>
    </row>
    <row r="779" spans="17:21" ht="15.75" customHeight="1">
      <c r="Q779" s="4"/>
      <c r="T779" s="4"/>
      <c r="U779" s="4"/>
    </row>
    <row r="780" spans="17:21" ht="15.75" customHeight="1">
      <c r="Q780" s="4"/>
      <c r="T780" s="4"/>
      <c r="U780" s="4"/>
    </row>
    <row r="781" spans="17:21" ht="15.75" customHeight="1">
      <c r="Q781" s="4"/>
      <c r="T781" s="4"/>
      <c r="U781" s="4"/>
    </row>
    <row r="782" spans="17:21" ht="15.75" customHeight="1">
      <c r="Q782" s="4"/>
      <c r="T782" s="4"/>
      <c r="U782" s="4"/>
    </row>
    <row r="783" spans="17:21" ht="15.75" customHeight="1">
      <c r="Q783" s="4"/>
      <c r="T783" s="4"/>
      <c r="U783" s="4"/>
    </row>
    <row r="784" spans="17:21" ht="15.75" customHeight="1">
      <c r="Q784" s="4"/>
      <c r="T784" s="4"/>
      <c r="U784" s="4"/>
    </row>
    <row r="785" spans="17:21" ht="15.75" customHeight="1">
      <c r="Q785" s="4"/>
      <c r="T785" s="4"/>
      <c r="U785" s="4"/>
    </row>
    <row r="786" spans="17:21" ht="15.75" customHeight="1">
      <c r="Q786" s="4"/>
      <c r="T786" s="4"/>
      <c r="U786" s="4"/>
    </row>
    <row r="787" spans="17:21" ht="15.75" customHeight="1">
      <c r="Q787" s="4"/>
      <c r="T787" s="4"/>
      <c r="U787" s="4"/>
    </row>
    <row r="788" spans="17:21" ht="15.75" customHeight="1">
      <c r="Q788" s="4"/>
      <c r="T788" s="4"/>
      <c r="U788" s="4"/>
    </row>
    <row r="789" spans="17:21" ht="15.75" customHeight="1">
      <c r="Q789" s="4"/>
      <c r="T789" s="4"/>
      <c r="U789" s="4"/>
    </row>
    <row r="790" spans="17:21" ht="15.75" customHeight="1">
      <c r="Q790" s="4"/>
      <c r="T790" s="4"/>
      <c r="U790" s="4"/>
    </row>
    <row r="791" spans="17:21" ht="15.75" customHeight="1">
      <c r="Q791" s="4"/>
      <c r="T791" s="4"/>
      <c r="U791" s="4"/>
    </row>
    <row r="792" spans="17:21" ht="15.75" customHeight="1">
      <c r="Q792" s="4"/>
      <c r="T792" s="4"/>
      <c r="U792" s="4"/>
    </row>
    <row r="793" spans="17:21" ht="15.75" customHeight="1">
      <c r="Q793" s="4"/>
      <c r="T793" s="4"/>
      <c r="U793" s="4"/>
    </row>
    <row r="794" spans="17:21" ht="15.75" customHeight="1">
      <c r="Q794" s="4"/>
      <c r="T794" s="4"/>
      <c r="U794" s="4"/>
    </row>
    <row r="795" spans="17:21" ht="15.75" customHeight="1">
      <c r="Q795" s="4"/>
      <c r="T795" s="4"/>
      <c r="U795" s="4"/>
    </row>
    <row r="796" spans="17:21" ht="15.75" customHeight="1">
      <c r="Q796" s="4"/>
      <c r="T796" s="4"/>
      <c r="U796" s="4"/>
    </row>
    <row r="797" spans="17:21" ht="15.75" customHeight="1">
      <c r="Q797" s="4"/>
      <c r="T797" s="4"/>
      <c r="U797" s="4"/>
    </row>
    <row r="798" spans="17:21" ht="15.75" customHeight="1">
      <c r="Q798" s="4"/>
      <c r="T798" s="4"/>
      <c r="U798" s="4"/>
    </row>
    <row r="799" spans="17:21" ht="15.75" customHeight="1">
      <c r="Q799" s="4"/>
      <c r="T799" s="4"/>
      <c r="U799" s="4"/>
    </row>
    <row r="800" spans="17:21" ht="15.75" customHeight="1">
      <c r="Q800" s="4"/>
      <c r="T800" s="4"/>
      <c r="U800" s="4"/>
    </row>
    <row r="801" spans="17:21" ht="15.75" customHeight="1">
      <c r="Q801" s="4"/>
      <c r="T801" s="4"/>
      <c r="U801" s="4"/>
    </row>
    <row r="802" spans="17:21" ht="15.75" customHeight="1">
      <c r="Q802" s="4"/>
      <c r="T802" s="4"/>
      <c r="U802" s="4"/>
    </row>
    <row r="803" spans="17:21" ht="15.75" customHeight="1">
      <c r="Q803" s="4"/>
      <c r="T803" s="4"/>
      <c r="U803" s="4"/>
    </row>
    <row r="804" spans="17:21" ht="15.75" customHeight="1">
      <c r="Q804" s="4"/>
      <c r="T804" s="4"/>
      <c r="U804" s="4"/>
    </row>
    <row r="805" spans="17:21" ht="15.75" customHeight="1">
      <c r="Q805" s="4"/>
      <c r="T805" s="4"/>
      <c r="U805" s="4"/>
    </row>
    <row r="806" spans="17:21" ht="15.75" customHeight="1">
      <c r="Q806" s="4"/>
      <c r="T806" s="4"/>
      <c r="U806" s="4"/>
    </row>
    <row r="807" spans="17:21" ht="15.75" customHeight="1">
      <c r="Q807" s="4"/>
      <c r="T807" s="4"/>
      <c r="U807" s="4"/>
    </row>
    <row r="808" spans="17:21" ht="15.75" customHeight="1">
      <c r="Q808" s="4"/>
      <c r="T808" s="4"/>
      <c r="U808" s="4"/>
    </row>
    <row r="809" spans="17:21" ht="15.75" customHeight="1">
      <c r="Q809" s="4"/>
      <c r="T809" s="4"/>
      <c r="U809" s="4"/>
    </row>
    <row r="810" spans="17:21" ht="15.75" customHeight="1">
      <c r="Q810" s="4"/>
      <c r="T810" s="4"/>
      <c r="U810" s="4"/>
    </row>
    <row r="811" spans="17:21" ht="15.75" customHeight="1">
      <c r="Q811" s="4"/>
      <c r="T811" s="4"/>
      <c r="U811" s="4"/>
    </row>
    <row r="812" spans="17:21" ht="15.75" customHeight="1">
      <c r="Q812" s="4"/>
      <c r="T812" s="4"/>
      <c r="U812" s="4"/>
    </row>
    <row r="813" spans="17:21" ht="15.75" customHeight="1">
      <c r="Q813" s="4"/>
      <c r="T813" s="4"/>
      <c r="U813" s="4"/>
    </row>
    <row r="814" spans="17:21" ht="15.75" customHeight="1">
      <c r="Q814" s="4"/>
      <c r="T814" s="4"/>
      <c r="U814" s="4"/>
    </row>
    <row r="815" spans="17:21" ht="15.75" customHeight="1">
      <c r="Q815" s="4"/>
      <c r="T815" s="4"/>
      <c r="U815" s="4"/>
    </row>
    <row r="816" spans="17:21" ht="15.75" customHeight="1">
      <c r="Q816" s="4"/>
      <c r="T816" s="4"/>
      <c r="U816" s="4"/>
    </row>
    <row r="817" spans="17:21" ht="15.75" customHeight="1">
      <c r="Q817" s="4"/>
      <c r="T817" s="4"/>
      <c r="U817" s="4"/>
    </row>
    <row r="818" spans="17:21" ht="15.75" customHeight="1">
      <c r="Q818" s="4"/>
      <c r="T818" s="4"/>
      <c r="U818" s="4"/>
    </row>
    <row r="819" spans="17:21" ht="15.75" customHeight="1">
      <c r="Q819" s="4"/>
      <c r="T819" s="4"/>
      <c r="U819" s="4"/>
    </row>
    <row r="820" spans="17:21" ht="15.75" customHeight="1">
      <c r="Q820" s="4"/>
      <c r="T820" s="4"/>
      <c r="U820" s="4"/>
    </row>
    <row r="821" spans="17:21" ht="15.75" customHeight="1">
      <c r="Q821" s="4"/>
      <c r="T821" s="4"/>
      <c r="U821" s="4"/>
    </row>
    <row r="822" spans="17:21" ht="15.75" customHeight="1">
      <c r="Q822" s="4"/>
      <c r="T822" s="4"/>
      <c r="U822" s="4"/>
    </row>
    <row r="823" spans="17:21" ht="15.75" customHeight="1">
      <c r="Q823" s="4"/>
      <c r="T823" s="4"/>
      <c r="U823" s="4"/>
    </row>
    <row r="824" spans="17:21" ht="15.75" customHeight="1">
      <c r="Q824" s="4"/>
      <c r="T824" s="4"/>
      <c r="U824" s="4"/>
    </row>
    <row r="825" spans="17:21" ht="15.75" customHeight="1">
      <c r="Q825" s="4"/>
      <c r="T825" s="4"/>
      <c r="U825" s="4"/>
    </row>
    <row r="826" spans="17:21" ht="15.75" customHeight="1">
      <c r="Q826" s="4"/>
      <c r="T826" s="4"/>
      <c r="U826" s="4"/>
    </row>
    <row r="827" spans="17:21" ht="15.75" customHeight="1">
      <c r="Q827" s="4"/>
      <c r="T827" s="4"/>
      <c r="U827" s="4"/>
    </row>
    <row r="828" spans="17:21" ht="15.75" customHeight="1">
      <c r="Q828" s="4"/>
      <c r="T828" s="4"/>
      <c r="U828" s="4"/>
    </row>
    <row r="829" spans="17:21" ht="15.75" customHeight="1">
      <c r="Q829" s="4"/>
      <c r="T829" s="4"/>
      <c r="U829" s="4"/>
    </row>
    <row r="830" spans="17:21" ht="15.75" customHeight="1">
      <c r="Q830" s="4"/>
      <c r="T830" s="4"/>
      <c r="U830" s="4"/>
    </row>
    <row r="831" spans="17:21" ht="15.75" customHeight="1">
      <c r="Q831" s="4"/>
      <c r="T831" s="4"/>
      <c r="U831" s="4"/>
    </row>
    <row r="832" spans="17:21" ht="15.75" customHeight="1">
      <c r="Q832" s="4"/>
      <c r="T832" s="4"/>
      <c r="U832" s="4"/>
    </row>
    <row r="833" spans="17:21" ht="15.75" customHeight="1">
      <c r="Q833" s="4"/>
      <c r="T833" s="4"/>
      <c r="U833" s="4"/>
    </row>
    <row r="834" spans="17:21" ht="15.75" customHeight="1">
      <c r="Q834" s="4"/>
      <c r="T834" s="4"/>
      <c r="U834" s="4"/>
    </row>
    <row r="835" spans="17:21" ht="15.75" customHeight="1">
      <c r="Q835" s="4"/>
      <c r="T835" s="4"/>
      <c r="U835" s="4"/>
    </row>
    <row r="836" spans="17:21" ht="15.75" customHeight="1">
      <c r="Q836" s="4"/>
      <c r="T836" s="4"/>
      <c r="U836" s="4"/>
    </row>
    <row r="837" spans="17:21" ht="15.75" customHeight="1">
      <c r="Q837" s="4"/>
      <c r="T837" s="4"/>
      <c r="U837" s="4"/>
    </row>
    <row r="838" spans="17:21" ht="15.75" customHeight="1">
      <c r="Q838" s="4"/>
      <c r="T838" s="4"/>
      <c r="U838" s="4"/>
    </row>
    <row r="839" spans="17:21" ht="15.75" customHeight="1">
      <c r="Q839" s="4"/>
      <c r="T839" s="4"/>
      <c r="U839" s="4"/>
    </row>
    <row r="840" spans="17:21" ht="15.75" customHeight="1">
      <c r="Q840" s="4"/>
      <c r="T840" s="4"/>
      <c r="U840" s="4"/>
    </row>
    <row r="841" spans="17:21" ht="15.75" customHeight="1">
      <c r="Q841" s="4"/>
      <c r="T841" s="4"/>
      <c r="U841" s="4"/>
    </row>
    <row r="842" spans="17:21" ht="15.75" customHeight="1">
      <c r="Q842" s="4"/>
      <c r="T842" s="4"/>
      <c r="U842" s="4"/>
    </row>
    <row r="843" spans="17:21" ht="15.75" customHeight="1">
      <c r="Q843" s="4"/>
      <c r="T843" s="4"/>
      <c r="U843" s="4"/>
    </row>
    <row r="844" spans="17:21" ht="15.75" customHeight="1">
      <c r="Q844" s="4"/>
      <c r="T844" s="4"/>
      <c r="U844" s="4"/>
    </row>
    <row r="845" spans="17:21" ht="15.75" customHeight="1">
      <c r="Q845" s="4"/>
      <c r="T845" s="4"/>
      <c r="U845" s="4"/>
    </row>
    <row r="846" spans="17:21" ht="15.75" customHeight="1">
      <c r="Q846" s="4"/>
      <c r="T846" s="4"/>
      <c r="U846" s="4"/>
    </row>
    <row r="847" spans="17:21" ht="15.75" customHeight="1">
      <c r="Q847" s="4"/>
      <c r="T847" s="4"/>
      <c r="U847" s="4"/>
    </row>
    <row r="848" spans="17:21" ht="15.75" customHeight="1">
      <c r="Q848" s="4"/>
      <c r="T848" s="4"/>
      <c r="U848" s="4"/>
    </row>
    <row r="849" spans="17:21" ht="15.75" customHeight="1">
      <c r="Q849" s="4"/>
      <c r="T849" s="4"/>
      <c r="U849" s="4"/>
    </row>
    <row r="850" spans="17:21" ht="15.75" customHeight="1">
      <c r="Q850" s="4"/>
      <c r="T850" s="4"/>
      <c r="U850" s="4"/>
    </row>
    <row r="851" spans="17:21" ht="15.75" customHeight="1">
      <c r="Q851" s="4"/>
      <c r="T851" s="4"/>
      <c r="U851" s="4"/>
    </row>
    <row r="852" spans="17:21" ht="15.75" customHeight="1">
      <c r="Q852" s="4"/>
      <c r="T852" s="4"/>
      <c r="U852" s="4"/>
    </row>
    <row r="853" spans="17:21" ht="15.75" customHeight="1">
      <c r="Q853" s="4"/>
      <c r="T853" s="4"/>
      <c r="U853" s="4"/>
    </row>
    <row r="854" spans="17:21" ht="15.75" customHeight="1">
      <c r="Q854" s="4"/>
      <c r="T854" s="4"/>
      <c r="U854" s="4"/>
    </row>
    <row r="855" spans="17:21" ht="15.75" customHeight="1">
      <c r="Q855" s="4"/>
      <c r="T855" s="4"/>
      <c r="U855" s="4"/>
    </row>
    <row r="856" spans="17:21" ht="15.75" customHeight="1">
      <c r="Q856" s="4"/>
      <c r="T856" s="4"/>
      <c r="U856" s="4"/>
    </row>
    <row r="857" spans="17:21" ht="15.75" customHeight="1">
      <c r="Q857" s="4"/>
      <c r="T857" s="4"/>
      <c r="U857" s="4"/>
    </row>
    <row r="858" spans="17:21" ht="15.75" customHeight="1">
      <c r="Q858" s="4"/>
      <c r="T858" s="4"/>
      <c r="U858" s="4"/>
    </row>
    <row r="859" spans="17:21" ht="15.75" customHeight="1">
      <c r="Q859" s="4"/>
      <c r="T859" s="4"/>
      <c r="U859" s="4"/>
    </row>
    <row r="860" spans="17:21" ht="15.75" customHeight="1">
      <c r="Q860" s="4"/>
      <c r="T860" s="4"/>
      <c r="U860" s="4"/>
    </row>
    <row r="861" spans="17:21" ht="15.75" customHeight="1">
      <c r="Q861" s="4"/>
      <c r="T861" s="4"/>
      <c r="U861" s="4"/>
    </row>
    <row r="862" spans="17:21" ht="15.75" customHeight="1">
      <c r="Q862" s="4"/>
      <c r="T862" s="4"/>
      <c r="U862" s="4"/>
    </row>
    <row r="863" spans="17:21" ht="15.75" customHeight="1">
      <c r="Q863" s="4"/>
      <c r="T863" s="4"/>
      <c r="U863" s="4"/>
    </row>
    <row r="864" spans="17:21" ht="15.75" customHeight="1">
      <c r="Q864" s="4"/>
      <c r="T864" s="4"/>
      <c r="U864" s="4"/>
    </row>
    <row r="865" spans="17:21" ht="15.75" customHeight="1">
      <c r="Q865" s="4"/>
      <c r="T865" s="4"/>
      <c r="U865" s="4"/>
    </row>
    <row r="866" spans="17:21" ht="15.75" customHeight="1">
      <c r="Q866" s="4"/>
      <c r="T866" s="4"/>
      <c r="U866" s="4"/>
    </row>
    <row r="867" spans="17:21" ht="15.75" customHeight="1">
      <c r="Q867" s="4"/>
      <c r="T867" s="4"/>
      <c r="U867" s="4"/>
    </row>
    <row r="868" spans="17:21" ht="15.75" customHeight="1">
      <c r="Q868" s="4"/>
      <c r="T868" s="4"/>
      <c r="U868" s="4"/>
    </row>
    <row r="869" spans="17:21" ht="15.75" customHeight="1">
      <c r="Q869" s="4"/>
      <c r="T869" s="4"/>
      <c r="U869" s="4"/>
    </row>
    <row r="870" spans="17:21" ht="15.75" customHeight="1">
      <c r="Q870" s="4"/>
      <c r="T870" s="4"/>
      <c r="U870" s="4"/>
    </row>
    <row r="871" spans="17:21" ht="15.75" customHeight="1">
      <c r="Q871" s="4"/>
      <c r="T871" s="4"/>
      <c r="U871" s="4"/>
    </row>
    <row r="872" spans="17:21" ht="15.75" customHeight="1">
      <c r="Q872" s="4"/>
      <c r="T872" s="4"/>
      <c r="U872" s="4"/>
    </row>
    <row r="873" spans="17:21" ht="15.75" customHeight="1">
      <c r="Q873" s="4"/>
      <c r="T873" s="4"/>
      <c r="U873" s="4"/>
    </row>
    <row r="874" spans="17:21" ht="15.75" customHeight="1">
      <c r="Q874" s="4"/>
      <c r="T874" s="4"/>
      <c r="U874" s="4"/>
    </row>
    <row r="875" spans="17:21" ht="15.75" customHeight="1">
      <c r="Q875" s="4"/>
      <c r="T875" s="4"/>
      <c r="U875" s="4"/>
    </row>
    <row r="876" spans="17:21" ht="15.75" customHeight="1">
      <c r="Q876" s="4"/>
      <c r="T876" s="4"/>
      <c r="U876" s="4"/>
    </row>
    <row r="877" spans="17:21" ht="15.75" customHeight="1">
      <c r="Q877" s="4"/>
      <c r="T877" s="4"/>
      <c r="U877" s="4"/>
    </row>
    <row r="878" spans="17:21" ht="15.75" customHeight="1">
      <c r="Q878" s="4"/>
      <c r="T878" s="4"/>
      <c r="U878" s="4"/>
    </row>
    <row r="879" spans="17:21" ht="15.75" customHeight="1">
      <c r="Q879" s="4"/>
      <c r="T879" s="4"/>
      <c r="U879" s="4"/>
    </row>
    <row r="880" spans="17:21" ht="15.75" customHeight="1">
      <c r="Q880" s="4"/>
      <c r="T880" s="4"/>
      <c r="U880" s="4"/>
    </row>
    <row r="881" spans="17:21" ht="15.75" customHeight="1">
      <c r="Q881" s="4"/>
      <c r="T881" s="4"/>
      <c r="U881" s="4"/>
    </row>
    <row r="882" spans="17:21" ht="15.75" customHeight="1">
      <c r="Q882" s="4"/>
      <c r="T882" s="4"/>
      <c r="U882" s="4"/>
    </row>
    <row r="883" spans="17:21" ht="15.75" customHeight="1">
      <c r="Q883" s="4"/>
      <c r="T883" s="4"/>
      <c r="U883" s="4"/>
    </row>
    <row r="884" spans="17:21" ht="15.75" customHeight="1">
      <c r="Q884" s="4"/>
      <c r="T884" s="4"/>
      <c r="U884" s="4"/>
    </row>
    <row r="885" spans="17:21" ht="15.75" customHeight="1">
      <c r="Q885" s="4"/>
      <c r="T885" s="4"/>
      <c r="U885" s="4"/>
    </row>
    <row r="886" spans="17:21" ht="15.75" customHeight="1">
      <c r="Q886" s="4"/>
      <c r="T886" s="4"/>
      <c r="U886" s="4"/>
    </row>
    <row r="887" spans="17:21" ht="15.75" customHeight="1">
      <c r="Q887" s="4"/>
      <c r="T887" s="4"/>
      <c r="U887" s="4"/>
    </row>
    <row r="888" spans="17:21" ht="15.75" customHeight="1">
      <c r="Q888" s="4"/>
      <c r="T888" s="4"/>
      <c r="U888" s="4"/>
    </row>
    <row r="889" spans="17:21" ht="15.75" customHeight="1">
      <c r="Q889" s="4"/>
      <c r="T889" s="4"/>
      <c r="U889" s="4"/>
    </row>
    <row r="890" spans="17:21" ht="15.75" customHeight="1">
      <c r="Q890" s="4"/>
      <c r="T890" s="4"/>
      <c r="U890" s="4"/>
    </row>
    <row r="891" spans="17:21" ht="15.75" customHeight="1">
      <c r="Q891" s="4"/>
      <c r="T891" s="4"/>
      <c r="U891" s="4"/>
    </row>
    <row r="892" spans="17:21" ht="15.75" customHeight="1">
      <c r="Q892" s="4"/>
      <c r="T892" s="4"/>
      <c r="U892" s="4"/>
    </row>
    <row r="893" spans="17:21" ht="15.75" customHeight="1">
      <c r="Q893" s="4"/>
      <c r="T893" s="4"/>
      <c r="U893" s="4"/>
    </row>
    <row r="894" spans="17:21" ht="15.75" customHeight="1">
      <c r="Q894" s="4"/>
      <c r="T894" s="4"/>
      <c r="U894" s="4"/>
    </row>
    <row r="895" spans="17:21" ht="15.75" customHeight="1">
      <c r="Q895" s="4"/>
      <c r="T895" s="4"/>
      <c r="U895" s="4"/>
    </row>
    <row r="896" spans="17:21" ht="15.75" customHeight="1">
      <c r="Q896" s="4"/>
      <c r="T896" s="4"/>
      <c r="U896" s="4"/>
    </row>
    <row r="897" spans="17:21" ht="15.75" customHeight="1">
      <c r="Q897" s="4"/>
      <c r="T897" s="4"/>
      <c r="U897" s="4"/>
    </row>
    <row r="898" spans="17:21" ht="15.75" customHeight="1">
      <c r="Q898" s="4"/>
      <c r="T898" s="4"/>
      <c r="U898" s="4"/>
    </row>
    <row r="899" spans="17:21" ht="15.75" customHeight="1">
      <c r="Q899" s="4"/>
      <c r="T899" s="4"/>
      <c r="U899" s="4"/>
    </row>
    <row r="900" spans="17:21" ht="15.75" customHeight="1">
      <c r="Q900" s="4"/>
      <c r="T900" s="4"/>
      <c r="U900" s="4"/>
    </row>
    <row r="901" spans="17:21" ht="15.75" customHeight="1">
      <c r="Q901" s="4"/>
      <c r="T901" s="4"/>
      <c r="U901" s="4"/>
    </row>
    <row r="902" spans="17:21" ht="15.75" customHeight="1">
      <c r="Q902" s="4"/>
      <c r="T902" s="4"/>
      <c r="U902" s="4"/>
    </row>
    <row r="903" spans="17:21" ht="15.75" customHeight="1">
      <c r="Q903" s="4"/>
      <c r="T903" s="4"/>
      <c r="U903" s="4"/>
    </row>
    <row r="904" spans="17:21" ht="15.75" customHeight="1">
      <c r="Q904" s="4"/>
      <c r="T904" s="4"/>
      <c r="U904" s="4"/>
    </row>
    <row r="905" spans="17:21" ht="15.75" customHeight="1">
      <c r="Q905" s="4"/>
      <c r="T905" s="4"/>
      <c r="U905" s="4"/>
    </row>
    <row r="906" spans="17:21" ht="15.75" customHeight="1">
      <c r="Q906" s="4"/>
      <c r="T906" s="4"/>
      <c r="U906" s="4"/>
    </row>
    <row r="907" spans="17:21" ht="15.75" customHeight="1">
      <c r="Q907" s="4"/>
      <c r="T907" s="4"/>
      <c r="U907" s="4"/>
    </row>
    <row r="908" spans="17:21" ht="15.75" customHeight="1">
      <c r="Q908" s="4"/>
      <c r="T908" s="4"/>
      <c r="U908" s="4"/>
    </row>
    <row r="909" spans="17:21" ht="15.75" customHeight="1">
      <c r="Q909" s="4"/>
      <c r="T909" s="4"/>
      <c r="U909" s="4"/>
    </row>
    <row r="910" spans="17:21" ht="15.75" customHeight="1">
      <c r="Q910" s="4"/>
      <c r="T910" s="4"/>
      <c r="U910" s="4"/>
    </row>
    <row r="911" spans="17:21" ht="15.75" customHeight="1">
      <c r="Q911" s="4"/>
      <c r="T911" s="4"/>
      <c r="U911" s="4"/>
    </row>
    <row r="912" spans="17:21" ht="15.75" customHeight="1">
      <c r="Q912" s="4"/>
      <c r="T912" s="4"/>
      <c r="U912" s="4"/>
    </row>
    <row r="913" spans="17:21" ht="15.75" customHeight="1">
      <c r="Q913" s="4"/>
      <c r="T913" s="4"/>
      <c r="U913" s="4"/>
    </row>
    <row r="914" spans="17:21" ht="15.75" customHeight="1">
      <c r="Q914" s="4"/>
      <c r="T914" s="4"/>
      <c r="U914" s="4"/>
    </row>
    <row r="915" spans="17:21" ht="15.75" customHeight="1">
      <c r="Q915" s="4"/>
      <c r="T915" s="4"/>
      <c r="U915" s="4"/>
    </row>
    <row r="916" spans="17:21" ht="15.75" customHeight="1">
      <c r="Q916" s="4"/>
      <c r="T916" s="4"/>
      <c r="U916" s="4"/>
    </row>
    <row r="917" spans="17:21" ht="15.75" customHeight="1">
      <c r="Q917" s="4"/>
      <c r="T917" s="4"/>
      <c r="U917" s="4"/>
    </row>
    <row r="918" spans="17:21" ht="15.75" customHeight="1">
      <c r="Q918" s="4"/>
      <c r="T918" s="4"/>
      <c r="U918" s="4"/>
    </row>
    <row r="919" spans="17:21" ht="15.75" customHeight="1">
      <c r="Q919" s="4"/>
      <c r="T919" s="4"/>
      <c r="U919" s="4"/>
    </row>
    <row r="920" spans="17:21" ht="15.75" customHeight="1">
      <c r="Q920" s="4"/>
      <c r="T920" s="4"/>
      <c r="U920" s="4"/>
    </row>
    <row r="921" spans="17:21" ht="15.75" customHeight="1">
      <c r="Q921" s="4"/>
      <c r="T921" s="4"/>
      <c r="U921" s="4"/>
    </row>
    <row r="922" spans="17:21" ht="15.75" customHeight="1">
      <c r="Q922" s="4"/>
      <c r="T922" s="4"/>
      <c r="U922" s="4"/>
    </row>
    <row r="923" spans="17:21" ht="15.75" customHeight="1">
      <c r="Q923" s="4"/>
      <c r="T923" s="4"/>
      <c r="U923" s="4"/>
    </row>
    <row r="924" spans="17:21" ht="15.75" customHeight="1">
      <c r="Q924" s="4"/>
      <c r="T924" s="4"/>
      <c r="U924" s="4"/>
    </row>
    <row r="925" spans="17:21" ht="15.75" customHeight="1">
      <c r="Q925" s="4"/>
      <c r="T925" s="4"/>
      <c r="U925" s="4"/>
    </row>
    <row r="926" spans="17:21" ht="15.75" customHeight="1">
      <c r="Q926" s="4"/>
      <c r="T926" s="4"/>
      <c r="U926" s="4"/>
    </row>
    <row r="927" spans="17:21" ht="15.75" customHeight="1">
      <c r="Q927" s="4"/>
      <c r="T927" s="4"/>
      <c r="U927" s="4"/>
    </row>
    <row r="928" spans="17:21" ht="15.75" customHeight="1">
      <c r="Q928" s="4"/>
      <c r="T928" s="4"/>
      <c r="U928" s="4"/>
    </row>
    <row r="929" spans="17:21" ht="15.75" customHeight="1">
      <c r="Q929" s="4"/>
      <c r="T929" s="4"/>
      <c r="U929" s="4"/>
    </row>
    <row r="930" spans="17:21" ht="15.75" customHeight="1">
      <c r="Q930" s="4"/>
      <c r="T930" s="4"/>
      <c r="U930" s="4"/>
    </row>
    <row r="931" spans="17:21" ht="15.75" customHeight="1">
      <c r="Q931" s="4"/>
      <c r="T931" s="4"/>
      <c r="U931" s="4"/>
    </row>
    <row r="932" spans="17:21" ht="15.75" customHeight="1">
      <c r="Q932" s="4"/>
      <c r="T932" s="4"/>
      <c r="U932" s="4"/>
    </row>
    <row r="933" spans="17:21" ht="15.75" customHeight="1">
      <c r="Q933" s="4"/>
      <c r="T933" s="4"/>
      <c r="U933" s="4"/>
    </row>
    <row r="934" spans="17:21" ht="15.75" customHeight="1">
      <c r="Q934" s="4"/>
      <c r="T934" s="4"/>
      <c r="U934" s="4"/>
    </row>
    <row r="935" spans="17:21" ht="15.75" customHeight="1">
      <c r="Q935" s="4"/>
      <c r="T935" s="4"/>
      <c r="U935" s="4"/>
    </row>
    <row r="936" spans="17:21" ht="15.75" customHeight="1">
      <c r="Q936" s="4"/>
      <c r="T936" s="4"/>
      <c r="U936" s="4"/>
    </row>
    <row r="937" spans="17:21" ht="15.75" customHeight="1">
      <c r="Q937" s="4"/>
      <c r="T937" s="4"/>
      <c r="U937" s="4"/>
    </row>
    <row r="938" spans="17:21" ht="15.75" customHeight="1">
      <c r="Q938" s="4"/>
      <c r="T938" s="4"/>
      <c r="U938" s="4"/>
    </row>
    <row r="939" spans="17:21" ht="15.75" customHeight="1">
      <c r="Q939" s="4"/>
      <c r="T939" s="4"/>
      <c r="U939" s="4"/>
    </row>
    <row r="940" spans="17:21" ht="15.75" customHeight="1">
      <c r="Q940" s="4"/>
      <c r="T940" s="4"/>
      <c r="U940" s="4"/>
    </row>
    <row r="941" spans="17:21" ht="15.75" customHeight="1">
      <c r="Q941" s="4"/>
      <c r="T941" s="4"/>
      <c r="U941" s="4"/>
    </row>
    <row r="942" spans="17:21" ht="15.75" customHeight="1">
      <c r="Q942" s="4"/>
      <c r="T942" s="4"/>
      <c r="U942" s="4"/>
    </row>
    <row r="943" spans="17:21" ht="15.75" customHeight="1">
      <c r="Q943" s="4"/>
      <c r="T943" s="4"/>
      <c r="U943" s="4"/>
    </row>
    <row r="944" spans="17:21" ht="15.75" customHeight="1">
      <c r="Q944" s="4"/>
      <c r="T944" s="4"/>
      <c r="U944" s="4"/>
    </row>
    <row r="945" spans="17:21" ht="15.75" customHeight="1">
      <c r="Q945" s="4"/>
      <c r="T945" s="4"/>
      <c r="U945" s="4"/>
    </row>
    <row r="946" spans="17:21" ht="15.75" customHeight="1">
      <c r="Q946" s="4"/>
      <c r="T946" s="4"/>
      <c r="U946" s="4"/>
    </row>
    <row r="947" spans="17:21" ht="15.75" customHeight="1">
      <c r="Q947" s="4"/>
      <c r="T947" s="4"/>
      <c r="U947" s="4"/>
    </row>
    <row r="948" spans="17:21" ht="15.75" customHeight="1">
      <c r="Q948" s="4"/>
      <c r="T948" s="4"/>
      <c r="U948" s="4"/>
    </row>
    <row r="949" spans="17:21" ht="15.75" customHeight="1">
      <c r="Q949" s="4"/>
      <c r="T949" s="4"/>
      <c r="U949" s="4"/>
    </row>
    <row r="950" spans="17:21" ht="15.75" customHeight="1">
      <c r="Q950" s="4"/>
      <c r="T950" s="4"/>
      <c r="U950" s="4"/>
    </row>
    <row r="951" spans="17:21" ht="15.75" customHeight="1">
      <c r="Q951" s="4"/>
      <c r="T951" s="4"/>
      <c r="U951" s="4"/>
    </row>
    <row r="952" spans="17:21" ht="15.75" customHeight="1">
      <c r="Q952" s="4"/>
      <c r="T952" s="4"/>
      <c r="U952" s="4"/>
    </row>
    <row r="953" spans="17:21" ht="15.75" customHeight="1">
      <c r="Q953" s="4"/>
      <c r="T953" s="4"/>
      <c r="U953" s="4"/>
    </row>
    <row r="954" spans="17:21" ht="15.75" customHeight="1">
      <c r="Q954" s="4"/>
      <c r="T954" s="4"/>
      <c r="U954" s="4"/>
    </row>
    <row r="955" spans="17:21" ht="15.75" customHeight="1">
      <c r="Q955" s="4"/>
      <c r="T955" s="4"/>
      <c r="U955" s="4"/>
    </row>
    <row r="956" spans="17:21" ht="15.75" customHeight="1">
      <c r="Q956" s="4"/>
      <c r="T956" s="4"/>
      <c r="U956" s="4"/>
    </row>
    <row r="957" spans="17:21" ht="15.75" customHeight="1">
      <c r="Q957" s="4"/>
      <c r="T957" s="4"/>
      <c r="U957" s="4"/>
    </row>
    <row r="958" spans="17:21" ht="15.75" customHeight="1">
      <c r="Q958" s="4"/>
      <c r="T958" s="4"/>
      <c r="U958" s="4"/>
    </row>
    <row r="959" spans="17:21" ht="15.75" customHeight="1">
      <c r="Q959" s="4"/>
      <c r="T959" s="4"/>
      <c r="U959" s="4"/>
    </row>
    <row r="960" spans="17:21" ht="15.75" customHeight="1">
      <c r="Q960" s="4"/>
      <c r="T960" s="4"/>
      <c r="U960" s="4"/>
    </row>
    <row r="961" spans="17:21" ht="15.75" customHeight="1">
      <c r="Q961" s="4"/>
      <c r="T961" s="4"/>
      <c r="U961" s="4"/>
    </row>
    <row r="962" spans="17:21" ht="15.75" customHeight="1">
      <c r="Q962" s="4"/>
      <c r="T962" s="4"/>
      <c r="U962" s="4"/>
    </row>
    <row r="963" spans="17:21" ht="15.75" customHeight="1">
      <c r="Q963" s="4"/>
      <c r="T963" s="4"/>
      <c r="U963" s="4"/>
    </row>
    <row r="964" spans="17:21" ht="15.75" customHeight="1">
      <c r="Q964" s="4"/>
      <c r="T964" s="4"/>
      <c r="U964" s="4"/>
    </row>
    <row r="965" spans="17:21" ht="15.75" customHeight="1">
      <c r="Q965" s="4"/>
      <c r="T965" s="4"/>
      <c r="U965" s="4"/>
    </row>
    <row r="966" spans="17:21" ht="15.75" customHeight="1">
      <c r="Q966" s="4"/>
      <c r="T966" s="4"/>
      <c r="U966" s="4"/>
    </row>
    <row r="967" spans="17:21" ht="15.75" customHeight="1">
      <c r="Q967" s="4"/>
      <c r="T967" s="4"/>
      <c r="U967" s="4"/>
    </row>
    <row r="968" spans="17:21" ht="15.75" customHeight="1">
      <c r="Q968" s="4"/>
      <c r="T968" s="4"/>
      <c r="U968" s="4"/>
    </row>
    <row r="969" spans="17:21" ht="15.75" customHeight="1">
      <c r="Q969" s="4"/>
      <c r="T969" s="4"/>
      <c r="U969" s="4"/>
    </row>
    <row r="970" spans="17:21" ht="15.75" customHeight="1">
      <c r="Q970" s="4"/>
      <c r="T970" s="4"/>
      <c r="U970" s="4"/>
    </row>
    <row r="971" spans="17:21" ht="15.75" customHeight="1">
      <c r="Q971" s="4"/>
      <c r="T971" s="4"/>
      <c r="U971" s="4"/>
    </row>
    <row r="972" spans="17:21" ht="15.75" customHeight="1">
      <c r="Q972" s="4"/>
      <c r="T972" s="4"/>
      <c r="U972" s="4"/>
    </row>
    <row r="973" spans="17:21" ht="15.75" customHeight="1">
      <c r="Q973" s="4"/>
      <c r="T973" s="4"/>
      <c r="U973" s="4"/>
    </row>
    <row r="974" spans="17:21" ht="15.75" customHeight="1">
      <c r="Q974" s="4"/>
      <c r="T974" s="4"/>
      <c r="U974" s="4"/>
    </row>
    <row r="975" spans="17:21" ht="15.75" customHeight="1">
      <c r="Q975" s="4"/>
      <c r="T975" s="4"/>
      <c r="U975" s="4"/>
    </row>
    <row r="976" spans="17:21" ht="15.75" customHeight="1">
      <c r="Q976" s="4"/>
      <c r="T976" s="4"/>
      <c r="U976" s="4"/>
    </row>
    <row r="977" spans="17:21" ht="15.75" customHeight="1">
      <c r="Q977" s="4"/>
      <c r="T977" s="4"/>
      <c r="U977" s="4"/>
    </row>
    <row r="978" spans="17:21" ht="15.75" customHeight="1">
      <c r="Q978" s="4"/>
      <c r="T978" s="4"/>
      <c r="U978" s="4"/>
    </row>
    <row r="979" spans="17:21" ht="15.75" customHeight="1">
      <c r="Q979" s="4"/>
      <c r="T979" s="4"/>
      <c r="U979" s="4"/>
    </row>
    <row r="980" spans="17:21" ht="15.75" customHeight="1">
      <c r="Q980" s="4"/>
      <c r="T980" s="4"/>
      <c r="U980" s="4"/>
    </row>
    <row r="981" spans="17:21" ht="15.75" customHeight="1">
      <c r="Q981" s="4"/>
      <c r="T981" s="4"/>
      <c r="U981" s="4"/>
    </row>
    <row r="982" spans="17:21" ht="15.75" customHeight="1">
      <c r="Q982" s="4"/>
      <c r="T982" s="4"/>
      <c r="U982" s="4"/>
    </row>
    <row r="983" spans="17:21" ht="15.75" customHeight="1">
      <c r="Q983" s="4"/>
      <c r="T983" s="4"/>
      <c r="U983" s="4"/>
    </row>
    <row r="984" spans="17:21" ht="15.75" customHeight="1">
      <c r="Q984" s="4"/>
      <c r="T984" s="4"/>
      <c r="U984" s="4"/>
    </row>
    <row r="985" spans="17:21" ht="15.75" customHeight="1">
      <c r="Q985" s="4"/>
      <c r="T985" s="4"/>
      <c r="U985" s="4"/>
    </row>
    <row r="986" spans="17:21" ht="15.75" customHeight="1">
      <c r="Q986" s="4"/>
      <c r="T986" s="4"/>
      <c r="U986" s="4"/>
    </row>
    <row r="987" spans="17:21" ht="15.75" customHeight="1">
      <c r="Q987" s="4"/>
      <c r="T987" s="4"/>
      <c r="U987" s="4"/>
    </row>
    <row r="988" spans="17:21" ht="15.75" customHeight="1">
      <c r="Q988" s="4"/>
      <c r="T988" s="4"/>
      <c r="U988" s="4"/>
    </row>
    <row r="989" spans="17:21" ht="15.75" customHeight="1">
      <c r="Q989" s="4"/>
      <c r="T989" s="4"/>
      <c r="U989" s="4"/>
    </row>
    <row r="990" spans="17:21" ht="15.75" customHeight="1">
      <c r="Q990" s="4"/>
      <c r="T990" s="4"/>
      <c r="U990" s="4"/>
    </row>
    <row r="991" spans="17:21" ht="15.75" customHeight="1">
      <c r="Q991" s="4"/>
      <c r="T991" s="4"/>
      <c r="U991" s="4"/>
    </row>
    <row r="992" spans="17:21" ht="15.75" customHeight="1">
      <c r="Q992" s="4"/>
      <c r="T992" s="4"/>
      <c r="U992" s="4"/>
    </row>
    <row r="993" spans="17:21" ht="15.75" customHeight="1">
      <c r="Q993" s="4"/>
      <c r="T993" s="4"/>
      <c r="U993" s="4"/>
    </row>
    <row r="994" spans="17:21" ht="15.75" customHeight="1">
      <c r="Q994" s="4"/>
      <c r="T994" s="4"/>
      <c r="U994" s="4"/>
    </row>
    <row r="995" spans="17:21" ht="15.75" customHeight="1">
      <c r="Q995" s="4"/>
      <c r="T995" s="4"/>
      <c r="U995" s="4"/>
    </row>
    <row r="996" spans="17:21" ht="15.75" customHeight="1">
      <c r="Q996" s="4"/>
      <c r="T996" s="4"/>
      <c r="U996" s="4"/>
    </row>
    <row r="997" spans="17:21" ht="15.75" customHeight="1">
      <c r="Q997" s="4"/>
      <c r="T997" s="4"/>
      <c r="U997" s="4"/>
    </row>
    <row r="998" spans="17:21" ht="15.75" customHeight="1">
      <c r="Q998" s="4"/>
      <c r="T998" s="4"/>
      <c r="U998" s="4"/>
    </row>
    <row r="999" spans="17:21" ht="15.75" customHeight="1">
      <c r="Q999" s="4"/>
      <c r="T999" s="4"/>
      <c r="U999" s="4"/>
    </row>
    <row r="1000" spans="17:21" ht="15.75" customHeight="1">
      <c r="Q1000" s="4"/>
      <c r="T1000" s="4"/>
      <c r="U1000" s="4"/>
    </row>
  </sheetData>
  <autoFilter ref="A1:U1"/>
  <pageMargins left="0.7" right="0.7" top="0.75" bottom="0.75" header="0" footer="0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CATALOGOS!$E:$E</xm:f>
          </x14:formula1>
          <xm:sqref>T1:T3 T4:U4 T5:T11 T12:U14 T15:T29 T30:U1000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000"/>
  <sheetViews>
    <sheetView workbookViewId="0">
      <selection activeCell="E3" sqref="E3"/>
    </sheetView>
  </sheetViews>
  <sheetFormatPr baseColWidth="10" defaultColWidth="14.44140625" defaultRowHeight="15" customHeight="1"/>
  <cols>
    <col min="1" max="1" width="12.44140625" customWidth="1"/>
    <col min="2" max="2" width="22.88671875" customWidth="1"/>
    <col min="3" max="3" width="17.44140625" customWidth="1"/>
    <col min="4" max="4" width="8.6640625" customWidth="1"/>
    <col min="5" max="5" width="17.44140625" customWidth="1"/>
    <col min="6" max="6" width="22.88671875" customWidth="1"/>
    <col min="7" max="7" width="18.5546875" customWidth="1"/>
    <col min="8" max="8" width="24.44140625" customWidth="1"/>
    <col min="9" max="9" width="14.6640625" customWidth="1"/>
  </cols>
  <sheetData>
    <row r="1" spans="1:26" ht="14.4">
      <c r="A1" s="6" t="s">
        <v>38</v>
      </c>
      <c r="B1" s="6" t="s">
        <v>39</v>
      </c>
      <c r="C1" s="6" t="s">
        <v>40</v>
      </c>
      <c r="D1" s="7" t="s">
        <v>3</v>
      </c>
      <c r="E1" s="7" t="s">
        <v>4</v>
      </c>
      <c r="F1" s="6" t="s">
        <v>41</v>
      </c>
      <c r="G1" s="6" t="s">
        <v>42</v>
      </c>
      <c r="H1" s="6" t="s">
        <v>43</v>
      </c>
      <c r="I1" s="6" t="s">
        <v>44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4">
      <c r="A2" s="4">
        <v>1</v>
      </c>
      <c r="B2" s="8" t="s">
        <v>45</v>
      </c>
      <c r="C2" s="3">
        <v>45056</v>
      </c>
      <c r="D2" s="9" t="s">
        <v>23</v>
      </c>
      <c r="E2" s="10" t="str">
        <f>VLOOKUP(D2,ARBITROS!D:L,9,FALSE)</f>
        <v>jcgarflo@gmail.com</v>
      </c>
      <c r="F2" s="4" t="s">
        <v>46</v>
      </c>
      <c r="G2" s="4" t="s">
        <v>47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4.4">
      <c r="A3" s="4">
        <v>2</v>
      </c>
      <c r="B3" s="11" t="s">
        <v>48</v>
      </c>
      <c r="C3" s="12">
        <v>45147</v>
      </c>
      <c r="D3" s="9" t="s">
        <v>25</v>
      </c>
      <c r="E3" s="10" t="str">
        <f>VLOOKUP(D3,ARBITROS!D:L,9,FALSE)</f>
        <v>ejsanchezcidg@gmail.com</v>
      </c>
      <c r="F3" s="13" t="s">
        <v>49</v>
      </c>
      <c r="G3" s="13" t="s">
        <v>50</v>
      </c>
      <c r="H3" s="14" t="s">
        <v>51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4.4">
      <c r="A4" s="4">
        <v>3</v>
      </c>
      <c r="B4" s="11" t="s">
        <v>52</v>
      </c>
      <c r="C4" s="12">
        <v>45165</v>
      </c>
      <c r="D4" s="9" t="s">
        <v>35</v>
      </c>
      <c r="E4" s="10" t="str">
        <f>VLOOKUP(D4,ARBITROS!D:L,9,FALSE)</f>
        <v>gartorpat@gmail.com</v>
      </c>
      <c r="F4" s="13" t="s">
        <v>53</v>
      </c>
      <c r="G4" s="13" t="s">
        <v>50</v>
      </c>
      <c r="H4" s="14" t="s">
        <v>51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4">
      <c r="A5" s="4">
        <v>4</v>
      </c>
      <c r="B5" s="11" t="s">
        <v>54</v>
      </c>
      <c r="C5" s="12">
        <v>45163</v>
      </c>
      <c r="D5" s="9" t="s">
        <v>33</v>
      </c>
      <c r="E5" s="10" t="str">
        <f>VLOOKUP(D5,ARBITROS!D:L,9,FALSE)</f>
        <v>victorbaezf@gmail.com</v>
      </c>
      <c r="F5" s="13" t="s">
        <v>55</v>
      </c>
      <c r="G5" s="13" t="s">
        <v>50</v>
      </c>
      <c r="H5" s="14" t="s">
        <v>51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40.200000000000003">
      <c r="A6" s="4">
        <v>5</v>
      </c>
      <c r="B6" s="4" t="s">
        <v>56</v>
      </c>
      <c r="C6" s="3">
        <v>45173</v>
      </c>
      <c r="D6" s="9" t="s">
        <v>36</v>
      </c>
      <c r="E6" s="10" t="str">
        <f>IFERROR(VLOOKUP(D6,ARBITROS!D:L,9,FALSE),"")</f>
        <v>javiruiz1982@gmail.com</v>
      </c>
      <c r="F6" s="11" t="s">
        <v>57</v>
      </c>
      <c r="G6" s="11" t="s">
        <v>50</v>
      </c>
      <c r="H6" s="14" t="s">
        <v>51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4.4">
      <c r="A7" s="4">
        <v>6</v>
      </c>
      <c r="B7" s="8"/>
      <c r="C7" s="3"/>
      <c r="D7" s="9"/>
      <c r="E7" s="10" t="str">
        <f>IFERROR(VLOOKUP(D7,ARBITROS!D:L,9,FALSE),"")</f>
        <v/>
      </c>
      <c r="F7" s="8"/>
      <c r="G7" s="13"/>
      <c r="H7" s="11"/>
      <c r="I7" s="8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4">
      <c r="A8" s="4">
        <v>7</v>
      </c>
      <c r="B8" s="11"/>
      <c r="C8" s="3"/>
      <c r="D8" s="9"/>
      <c r="E8" s="10" t="str">
        <f>IFERROR(VLOOKUP(D8,ARBITROS!D:L,9,FALSE),"")</f>
        <v/>
      </c>
      <c r="F8" s="13"/>
      <c r="G8" s="13"/>
      <c r="H8" s="11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4.4">
      <c r="A9" s="4">
        <v>8</v>
      </c>
      <c r="B9" s="4"/>
      <c r="C9" s="4"/>
      <c r="D9" s="9"/>
      <c r="E9" s="10" t="str">
        <f>IFERROR(VLOOKUP(D9,ARBITROS!D:L,9,FALSE),"")</f>
        <v/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4">
      <c r="A10" s="4">
        <v>9</v>
      </c>
      <c r="B10" s="4"/>
      <c r="C10" s="4"/>
      <c r="D10" s="9"/>
      <c r="E10" s="10" t="str">
        <f>IFERROR(VLOOKUP(D10,ARBITROS!D:L,9,FALSE),"")</f>
        <v/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4.4">
      <c r="A11" s="4">
        <v>10</v>
      </c>
      <c r="B11" s="4"/>
      <c r="C11" s="4"/>
      <c r="D11" s="9"/>
      <c r="E11" s="10" t="str">
        <f>IFERROR(VLOOKUP(D11,ARBITROS!D:L,9,FALSE),"")</f>
        <v/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4.4">
      <c r="A12" s="4">
        <v>11</v>
      </c>
      <c r="B12" s="4"/>
      <c r="C12" s="4"/>
      <c r="D12" s="9"/>
      <c r="E12" s="10" t="str">
        <f>IFERROR(VLOOKUP(D12,ARBITROS!D:L,9,FALSE),"")</f>
        <v/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4.4">
      <c r="A13" s="4">
        <v>12</v>
      </c>
      <c r="B13" s="4"/>
      <c r="C13" s="4"/>
      <c r="D13" s="9"/>
      <c r="E13" s="10" t="str">
        <f>IFERROR(VLOOKUP(D13,ARBITROS!D:L,9,FALSE),"")</f>
        <v/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4.4">
      <c r="A14" s="4">
        <v>13</v>
      </c>
      <c r="B14" s="4"/>
      <c r="C14" s="3"/>
      <c r="D14" s="9"/>
      <c r="E14" s="10" t="str">
        <f>IFERROR(VLOOKUP(D14,ARBITROS!D:L,9,FALSE),"")</f>
        <v/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4.4">
      <c r="A15" s="4">
        <v>14</v>
      </c>
      <c r="B15" s="11"/>
      <c r="C15" s="3"/>
      <c r="D15" s="9"/>
      <c r="E15" s="10" t="str">
        <f>IFERROR(VLOOKUP(D15,ARBITROS!D:L,9,FALSE),"")</f>
        <v/>
      </c>
      <c r="F15" s="13"/>
      <c r="G15" s="13"/>
      <c r="H15" s="1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4.4">
      <c r="A16" s="4">
        <v>15</v>
      </c>
      <c r="B16" s="11"/>
      <c r="C16" s="3"/>
      <c r="D16" s="9"/>
      <c r="E16" s="10" t="str">
        <f>IFERROR(VLOOKUP(D16,ARBITROS!D:L,9,FALSE),"")</f>
        <v/>
      </c>
      <c r="F16" s="13"/>
      <c r="G16" s="13"/>
      <c r="H16" s="11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4.4">
      <c r="A17" s="4">
        <v>16</v>
      </c>
      <c r="B17" s="4"/>
      <c r="C17" s="4"/>
      <c r="D17" s="9"/>
      <c r="E17" s="10" t="str">
        <f>IFERROR(VLOOKUP(D17,ARBITROS!D:L,9,FALSE),"")</f>
        <v/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4">
      <c r="A18" s="4">
        <v>17</v>
      </c>
      <c r="B18" s="4"/>
      <c r="C18" s="4"/>
      <c r="D18" s="9"/>
      <c r="E18" s="10" t="str">
        <f>IFERROR(VLOOKUP(D18,ARBITROS!D:L,9,FALSE),"")</f>
        <v/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4.4">
      <c r="A19" s="4">
        <v>18</v>
      </c>
      <c r="B19" s="4"/>
      <c r="C19" s="4"/>
      <c r="D19" s="9"/>
      <c r="E19" s="10" t="str">
        <f>IFERROR(VLOOKUP(D19,ARBITROS!D:L,9,FALSE),"")</f>
        <v/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4.4">
      <c r="A20" s="4">
        <v>19</v>
      </c>
      <c r="B20" s="4"/>
      <c r="C20" s="4"/>
      <c r="D20" s="9"/>
      <c r="E20" s="10" t="str">
        <f>IFERROR(VLOOKUP(D20,ARBITROS!D:L,9,FALSE),"")</f>
        <v/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4">
        <v>20</v>
      </c>
      <c r="B21" s="4"/>
      <c r="C21" s="4"/>
      <c r="D21" s="9"/>
      <c r="E21" s="10" t="str">
        <f>IFERROR(VLOOKUP(D21,ARBITROS!D:L,9,FALSE),"")</f>
        <v/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4">
        <v>21</v>
      </c>
      <c r="B22" s="4"/>
      <c r="C22" s="4"/>
      <c r="D22" s="9"/>
      <c r="E22" s="10" t="str">
        <f>IFERROR(VLOOKUP(D22,ARBITROS!D:L,9,FALSE),"")</f>
        <v/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>
        <v>22</v>
      </c>
      <c r="B23" s="4"/>
      <c r="C23" s="4"/>
      <c r="D23" s="9"/>
      <c r="E23" s="10" t="str">
        <f>IFERROR(VLOOKUP(D23,ARBITROS!D:L,9,FALSE),"")</f>
        <v/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4">
        <v>23</v>
      </c>
      <c r="B24" s="4"/>
      <c r="C24" s="4"/>
      <c r="D24" s="9"/>
      <c r="E24" s="10" t="str">
        <f>IFERROR(VLOOKUP(D24,ARBITROS!D:L,9,FALSE),"")</f>
        <v/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4">
        <v>24</v>
      </c>
      <c r="B25" s="4"/>
      <c r="C25" s="4"/>
      <c r="D25" s="9"/>
      <c r="E25" s="10" t="str">
        <f>IFERROR(VLOOKUP(D25,ARBITROS!D:L,9,FALSE),"")</f>
        <v/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4">
        <v>25</v>
      </c>
      <c r="B26" s="4"/>
      <c r="C26" s="4"/>
      <c r="D26" s="9"/>
      <c r="E26" s="10" t="str">
        <f>IFERROR(VLOOKUP(D26,ARBITROS!D:L,9,FALSE),"")</f>
        <v/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4">
        <v>26</v>
      </c>
      <c r="B27" s="4"/>
      <c r="C27" s="4"/>
      <c r="D27" s="9"/>
      <c r="E27" s="10" t="str">
        <f>IFERROR(VLOOKUP(D27,ARBITROS!D:L,9,FALSE),"")</f>
        <v/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4">
        <v>27</v>
      </c>
      <c r="B28" s="4"/>
      <c r="C28" s="4"/>
      <c r="D28" s="9"/>
      <c r="E28" s="10" t="str">
        <f>IFERROR(VLOOKUP(D28,ARBITROS!D:L,9,FALSE),"")</f>
        <v/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>
        <v>28</v>
      </c>
      <c r="B29" s="4"/>
      <c r="C29" s="4"/>
      <c r="D29" s="9"/>
      <c r="E29" s="10" t="str">
        <f>IFERROR(VLOOKUP(D29,ARBITROS!D:L,9,FALSE),"")</f>
        <v/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autoFilter ref="A1:I1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V998"/>
  <sheetViews>
    <sheetView workbookViewId="0">
      <pane ySplit="1" topLeftCell="A2" activePane="bottomLeft" state="frozen"/>
      <selection pane="bottomLeft" activeCell="H2" sqref="H2"/>
    </sheetView>
  </sheetViews>
  <sheetFormatPr baseColWidth="10" defaultColWidth="14.44140625" defaultRowHeight="15" customHeight="1"/>
  <cols>
    <col min="1" max="1" width="12.44140625" customWidth="1"/>
    <col min="2" max="3" width="17.44140625" customWidth="1"/>
    <col min="4" max="4" width="9" customWidth="1"/>
    <col min="5" max="8" width="10.6640625" customWidth="1"/>
    <col min="9" max="9" width="10.5546875" customWidth="1"/>
    <col min="10" max="10" width="18.5546875" customWidth="1"/>
    <col min="11" max="11" width="24.44140625" customWidth="1"/>
    <col min="12" max="12" width="18.6640625" customWidth="1"/>
    <col min="13" max="13" width="18.88671875" customWidth="1"/>
    <col min="14" max="14" width="41.44140625" customWidth="1"/>
    <col min="15" max="15" width="14.33203125" customWidth="1"/>
    <col min="16" max="17" width="21.44140625" customWidth="1"/>
    <col min="18" max="18" width="18.6640625" customWidth="1"/>
    <col min="19" max="19" width="21.44140625" customWidth="1"/>
    <col min="20" max="20" width="15.6640625" customWidth="1"/>
    <col min="21" max="22" width="10.6640625" customWidth="1"/>
  </cols>
  <sheetData>
    <row r="1" spans="1:22" ht="14.4">
      <c r="A1" s="6" t="s">
        <v>38</v>
      </c>
      <c r="B1" s="6" t="s">
        <v>40</v>
      </c>
      <c r="C1" s="7" t="s">
        <v>3</v>
      </c>
      <c r="D1" s="7" t="s">
        <v>4</v>
      </c>
      <c r="E1" s="15" t="s">
        <v>295</v>
      </c>
      <c r="F1" s="86" t="s">
        <v>296</v>
      </c>
      <c r="G1" s="86" t="s">
        <v>297</v>
      </c>
      <c r="H1" s="86" t="s">
        <v>611</v>
      </c>
      <c r="I1" s="6" t="s">
        <v>5</v>
      </c>
      <c r="J1" s="6" t="s">
        <v>6</v>
      </c>
      <c r="K1" s="6" t="s">
        <v>7</v>
      </c>
      <c r="L1" s="6" t="s">
        <v>8</v>
      </c>
      <c r="M1" s="6" t="s">
        <v>9</v>
      </c>
      <c r="N1" s="6" t="s">
        <v>11</v>
      </c>
      <c r="O1" s="6" t="s">
        <v>12</v>
      </c>
      <c r="P1" s="6" t="s">
        <v>13</v>
      </c>
      <c r="Q1" s="6" t="s">
        <v>15</v>
      </c>
      <c r="R1" s="6" t="s">
        <v>58</v>
      </c>
      <c r="S1" s="6" t="s">
        <v>14</v>
      </c>
      <c r="T1" s="6" t="s">
        <v>44</v>
      </c>
      <c r="U1" s="6" t="s">
        <v>59</v>
      </c>
      <c r="V1" s="6" t="s">
        <v>60</v>
      </c>
    </row>
    <row r="2" spans="1:22" ht="14.4">
      <c r="A2" s="4">
        <v>1</v>
      </c>
      <c r="C2" s="9" t="str">
        <f>quitarAcentos(UPPER(CONCATENATE(caracterDer(LEFT(SUBSTITUTE(K2," ",""),3),3,"*"),caracterDer(LEFT(SUBSTITUTE(J2," ",""),3),3,"*"))))</f>
        <v>SANPAB</v>
      </c>
      <c r="D2" s="16">
        <f t="shared" ref="D2:D33" si="0">COUNTIF(C:C,C2)</f>
        <v>1</v>
      </c>
      <c r="E2" s="17" t="str">
        <f>IFERROR(VLOOKUP(C2,CURSOS!B:L,9,FALSE),"KO")</f>
        <v>KO</v>
      </c>
      <c r="F2" s="17" t="str">
        <f>IFERROR(VLOOKUP(C2,CURSOS!B:L,10,FALSE),"KO")</f>
        <v>KO</v>
      </c>
      <c r="G2" s="17" t="str">
        <f>IFERROR(VLOOKUP(C2,CURSOS!B:L,11,FALSE),"KO")</f>
        <v>NO</v>
      </c>
      <c r="H2" s="17" t="str">
        <f>IFERROR(VLOOKUP(C2,CURSOS!B:L,2,FALSE),"KO")</f>
        <v>JUN22</v>
      </c>
      <c r="J2" s="4" t="s">
        <v>61</v>
      </c>
      <c r="K2" s="4" t="s">
        <v>62</v>
      </c>
      <c r="L2" s="4" t="s">
        <v>63</v>
      </c>
      <c r="N2" s="4" t="s">
        <v>64</v>
      </c>
      <c r="O2" s="18" t="s">
        <v>65</v>
      </c>
      <c r="Q2" s="4"/>
      <c r="R2" s="4"/>
      <c r="S2" s="4"/>
    </row>
    <row r="3" spans="1:22" ht="14.4">
      <c r="A3" s="4">
        <v>2</v>
      </c>
      <c r="C3" s="9" t="str">
        <f>quitarAcentos(UPPER(CONCATENATE(caracterDer(LEFT(SUBSTITUTE(K3," ",""),3),3,"*"),caracterDer(LEFT(SUBSTITUTE(J3," ",""),3),3,"*"))))</f>
        <v>MARSUS</v>
      </c>
      <c r="D3" s="16">
        <f t="shared" si="0"/>
        <v>1</v>
      </c>
      <c r="E3" s="17" t="str">
        <f>IFERROR(VLOOKUP(C3,CURSOS!B:L,9,FALSE),"KO")</f>
        <v>KO</v>
      </c>
      <c r="F3" s="17" t="str">
        <f>IFERROR(VLOOKUP(C3,CURSOS!B:L,10,FALSE),"KO")</f>
        <v>KO</v>
      </c>
      <c r="G3" s="17" t="str">
        <f>IFERROR(VLOOKUP(C3,CURSOS!B:L,11,FALSE),"KO")</f>
        <v>NO</v>
      </c>
      <c r="H3" s="17" t="str">
        <f>IFERROR(VLOOKUP(C3,CURSOS!B:L,2,FALSE),"KO")</f>
        <v>JUN22</v>
      </c>
      <c r="J3" s="4" t="s">
        <v>66</v>
      </c>
      <c r="K3" s="4" t="s">
        <v>67</v>
      </c>
      <c r="L3" s="4" t="s">
        <v>68</v>
      </c>
      <c r="N3" s="4" t="s">
        <v>69</v>
      </c>
      <c r="Q3" s="4"/>
      <c r="R3" s="4"/>
      <c r="S3" s="4"/>
    </row>
    <row r="4" spans="1:22" ht="14.4">
      <c r="A4" s="4">
        <v>3</v>
      </c>
      <c r="C4" s="9" t="str">
        <f>quitarAcentos(UPPER(CONCATENATE(caracterDer(LEFT(SUBSTITUTE(K4," ",""),3),3,"*"),caracterDer(LEFT(SUBSTITUTE(J4," ",""),3),3,"*"))))</f>
        <v>FREJOS</v>
      </c>
      <c r="D4" s="16">
        <f t="shared" si="0"/>
        <v>1</v>
      </c>
      <c r="E4" s="17" t="str">
        <f>IFERROR(VLOOKUP(C4,CURSOS!B:L,9,FALSE),"KO")</f>
        <v>OK</v>
      </c>
      <c r="F4" s="17" t="str">
        <f>IFERROR(VLOOKUP(C4,CURSOS!B:L,10,FALSE),"KO")</f>
        <v>OK</v>
      </c>
      <c r="G4" s="17" t="str">
        <f>IFERROR(VLOOKUP(C4,CURSOS!B:L,11,FALSE),"KO")</f>
        <v>NO</v>
      </c>
      <c r="H4" s="17" t="str">
        <f>IFERROR(VLOOKUP(C4,CURSOS!B:L,2,FALSE),"KO")</f>
        <v>JUN22</v>
      </c>
      <c r="J4" s="4" t="s">
        <v>70</v>
      </c>
      <c r="K4" s="4" t="s">
        <v>71</v>
      </c>
      <c r="L4" s="4" t="s">
        <v>72</v>
      </c>
      <c r="N4" s="4" t="s">
        <v>73</v>
      </c>
      <c r="O4" s="18" t="s">
        <v>74</v>
      </c>
      <c r="Q4" s="4"/>
      <c r="R4" s="4"/>
      <c r="S4" s="4"/>
    </row>
    <row r="5" spans="1:22" ht="14.4">
      <c r="A5" s="4">
        <v>4</v>
      </c>
      <c r="C5" s="9" t="str">
        <f>quitarAcentos(UPPER(CONCATENATE(caracterDer(LEFT(SUBSTITUTE(K5," ",""),3),3,"*"),caracterDer(LEFT(SUBSTITUTE(J5," ",""),3),3,"*"))))</f>
        <v>MAROSC</v>
      </c>
      <c r="D5" s="16">
        <f t="shared" si="0"/>
        <v>1</v>
      </c>
      <c r="E5" s="17" t="str">
        <f>IFERROR(VLOOKUP(C5,CURSOS!B:L,9,FALSE),"KO")</f>
        <v>OK</v>
      </c>
      <c r="F5" s="17" t="str">
        <f>IFERROR(VLOOKUP(C5,CURSOS!B:L,10,FALSE),"KO")</f>
        <v>KO</v>
      </c>
      <c r="G5" s="17" t="str">
        <f>IFERROR(VLOOKUP(C5,CURSOS!B:L,11,FALSE),"KO")</f>
        <v>NO</v>
      </c>
      <c r="H5" s="17" t="str">
        <f>IFERROR(VLOOKUP(C5,CURSOS!B:L,2,FALSE),"KO")</f>
        <v>JUN22</v>
      </c>
      <c r="J5" s="4" t="s">
        <v>591</v>
      </c>
      <c r="K5" s="4" t="s">
        <v>67</v>
      </c>
      <c r="L5" s="4" t="s">
        <v>68</v>
      </c>
      <c r="N5" s="4" t="s">
        <v>76</v>
      </c>
      <c r="Q5" s="4"/>
      <c r="R5" s="4"/>
      <c r="S5" s="4"/>
    </row>
    <row r="6" spans="1:22" thickBot="1">
      <c r="A6" s="4">
        <v>5</v>
      </c>
      <c r="B6" s="24">
        <v>45055</v>
      </c>
      <c r="C6" s="9" t="str">
        <f>quitarAcentos(UPPER(CONCATENATE(caracterDer(LEFT(SUBSTITUTE(K6," ",""),3),3,"*"),caracterDer(LEFT(SUBSTITUTE(J6," ",""),3),3,"*"))))</f>
        <v>GONFRA</v>
      </c>
      <c r="D6" s="16">
        <f t="shared" si="0"/>
        <v>1</v>
      </c>
      <c r="E6" s="17" t="str">
        <f>IFERROR(VLOOKUP(C6,CURSOS!B:L,9,FALSE),"KO")</f>
        <v>OK</v>
      </c>
      <c r="F6" s="17" t="str">
        <f>IFERROR(VLOOKUP(C6,CURSOS!B:L,10,FALSE),"KO")</f>
        <v>OK</v>
      </c>
      <c r="G6" s="17" t="str">
        <f>IFERROR(VLOOKUP(C6,CURSOS!B:L,11,FALSE),"KO")</f>
        <v>SI</v>
      </c>
      <c r="H6" s="17" t="str">
        <f>IFERROR(VLOOKUP(C6,CURSOS!B:L,2,FALSE),"KO")</f>
        <v>JUN22</v>
      </c>
      <c r="I6" s="65" t="s">
        <v>78</v>
      </c>
      <c r="J6" s="65" t="s">
        <v>79</v>
      </c>
      <c r="K6" s="65" t="s">
        <v>80</v>
      </c>
      <c r="L6" s="65" t="s">
        <v>81</v>
      </c>
      <c r="M6" s="66">
        <v>26325</v>
      </c>
      <c r="N6" s="65" t="s">
        <v>82</v>
      </c>
      <c r="O6" s="67" t="s">
        <v>83</v>
      </c>
      <c r="P6" s="65" t="s">
        <v>84</v>
      </c>
      <c r="Q6" s="65" t="s">
        <v>85</v>
      </c>
      <c r="R6" s="65" t="s">
        <v>87</v>
      </c>
      <c r="S6" s="65" t="s">
        <v>86</v>
      </c>
      <c r="V6" s="4" t="s">
        <v>82</v>
      </c>
    </row>
    <row r="7" spans="1:22" thickBot="1">
      <c r="A7" s="4">
        <v>6</v>
      </c>
      <c r="B7" s="3">
        <v>44986</v>
      </c>
      <c r="C7" s="9" t="str">
        <f>quitarAcentos(UPPER(CONCATENATE(caracterDer(LEFT(SUBSTITUTE(K7," ",""),3),3,"*"),caracterDer(LEFT(SUBSTITUTE(J7," ",""),3),3,"*"))))</f>
        <v>JIMJUL</v>
      </c>
      <c r="D7" s="16">
        <f t="shared" si="0"/>
        <v>1</v>
      </c>
      <c r="E7" s="17" t="str">
        <f>IFERROR(VLOOKUP(C7,CURSOS!B:L,9,FALSE),"KO")</f>
        <v>OK</v>
      </c>
      <c r="F7" s="17" t="str">
        <f>IFERROR(VLOOKUP(C7,CURSOS!B:L,10,FALSE),"KO")</f>
        <v>OK</v>
      </c>
      <c r="G7" s="17" t="str">
        <f>IFERROR(VLOOKUP(C7,CURSOS!B:L,11,FALSE),"KO")</f>
        <v>SI</v>
      </c>
      <c r="H7" s="17" t="str">
        <f>IFERROR(VLOOKUP(C7,CURSOS!B:L,2,FALSE),"KO")</f>
        <v>JUN22</v>
      </c>
      <c r="I7" s="8" t="s">
        <v>88</v>
      </c>
      <c r="J7" s="11" t="s">
        <v>89</v>
      </c>
      <c r="K7" s="11" t="s">
        <v>90</v>
      </c>
      <c r="L7" s="11" t="s">
        <v>91</v>
      </c>
      <c r="M7" s="24">
        <v>27296</v>
      </c>
      <c r="N7" s="8" t="s">
        <v>92</v>
      </c>
      <c r="O7" s="20" t="s">
        <v>93</v>
      </c>
      <c r="P7" s="8" t="s">
        <v>84</v>
      </c>
      <c r="Q7" s="8" t="s">
        <v>85</v>
      </c>
      <c r="R7" s="8" t="s">
        <v>94</v>
      </c>
      <c r="S7" s="8" t="s">
        <v>86</v>
      </c>
      <c r="T7" s="8"/>
    </row>
    <row r="8" spans="1:22" thickBot="1">
      <c r="A8" s="4">
        <v>7</v>
      </c>
      <c r="B8" s="24">
        <v>44987</v>
      </c>
      <c r="C8" s="9" t="str">
        <f>quitarAcentos(UPPER(CONCATENATE(caracterDer(LEFT(SUBSTITUTE(K8," ",""),3),3,"*"),caracterDer(LEFT(SUBSTITUTE(J8," ",""),3),3,"*"))))</f>
        <v>SANELO</v>
      </c>
      <c r="D8" s="16">
        <f t="shared" si="0"/>
        <v>1</v>
      </c>
      <c r="E8" s="17" t="str">
        <f>IFERROR(VLOOKUP(C8,CURSOS!B:L,9,FALSE),"KO")</f>
        <v>OK</v>
      </c>
      <c r="F8" s="17" t="str">
        <f>IFERROR(VLOOKUP(C8,CURSOS!B:L,10,FALSE),"KO")</f>
        <v>OK</v>
      </c>
      <c r="G8" s="17" t="str">
        <f>IFERROR(VLOOKUP(C8,CURSOS!B:L,11,FALSE),"KO")</f>
        <v>SI</v>
      </c>
      <c r="H8" s="17" t="str">
        <f>IFERROR(VLOOKUP(C8,CURSOS!B:L,2,FALSE),"KO")</f>
        <v>JUN22</v>
      </c>
      <c r="I8" s="11" t="s">
        <v>95</v>
      </c>
      <c r="J8" s="11" t="s">
        <v>96</v>
      </c>
      <c r="K8" s="11" t="s">
        <v>97</v>
      </c>
      <c r="L8" s="11" t="s">
        <v>98</v>
      </c>
      <c r="M8" s="21">
        <v>21163</v>
      </c>
      <c r="N8" s="11" t="s">
        <v>48</v>
      </c>
      <c r="O8" s="22" t="s">
        <v>99</v>
      </c>
      <c r="P8" s="11" t="s">
        <v>100</v>
      </c>
      <c r="Q8" s="11" t="s">
        <v>101</v>
      </c>
      <c r="R8" s="13" t="s">
        <v>103</v>
      </c>
      <c r="S8" s="11" t="s">
        <v>102</v>
      </c>
    </row>
    <row r="9" spans="1:22" ht="14.4">
      <c r="A9" s="4">
        <v>8</v>
      </c>
      <c r="C9" s="9" t="str">
        <f>quitarAcentos(UPPER(CONCATENATE(caracterDer(LEFT(SUBSTITUTE(K9," ",""),3),3,"*"),caracterDer(LEFT(SUBSTITUTE(J9," ",""),3),3,"*"))))</f>
        <v>NAVPAC</v>
      </c>
      <c r="D9" s="16">
        <f t="shared" si="0"/>
        <v>1</v>
      </c>
      <c r="E9" s="17" t="str">
        <f>IFERROR(VLOOKUP(C9,CURSOS!B:L,9,FALSE),"KO")</f>
        <v>OK</v>
      </c>
      <c r="F9" s="17" t="str">
        <f>IFERROR(VLOOKUP(C9,CURSOS!B:L,10,FALSE),"KO")</f>
        <v>KO</v>
      </c>
      <c r="G9" s="17" t="str">
        <f>IFERROR(VLOOKUP(C9,CURSOS!B:L,11,FALSE),"KO")</f>
        <v>NO</v>
      </c>
      <c r="H9" s="17" t="str">
        <f>IFERROR(VLOOKUP(C9,CURSOS!B:L,2,FALSE),"KO")</f>
        <v>JUN22</v>
      </c>
      <c r="J9" s="4" t="s">
        <v>104</v>
      </c>
      <c r="K9" s="4" t="s">
        <v>105</v>
      </c>
      <c r="L9" s="4" t="s">
        <v>106</v>
      </c>
      <c r="N9" s="4" t="s">
        <v>107</v>
      </c>
      <c r="O9" s="81" t="s">
        <v>607</v>
      </c>
      <c r="Q9" s="4"/>
      <c r="R9" s="4"/>
      <c r="S9" s="4"/>
    </row>
    <row r="10" spans="1:22" ht="14.4">
      <c r="A10" s="4">
        <v>9</v>
      </c>
      <c r="C10" s="9" t="str">
        <f>quitarAcentos(UPPER(CONCATENATE(caracterDer(LEFT(SUBSTITUTE(K10," ",""),3),3,"*"),caracterDer(LEFT(SUBSTITUTE(J10," ",""),3),3,"*"))))</f>
        <v>MORJOS</v>
      </c>
      <c r="D10" s="16">
        <f t="shared" si="0"/>
        <v>1</v>
      </c>
      <c r="E10" s="17" t="str">
        <f>IFERROR(VLOOKUP(C10,CURSOS!B:L,9,FALSE),"KO")</f>
        <v>OK</v>
      </c>
      <c r="F10" s="17" t="str">
        <f>IFERROR(VLOOKUP(C10,CURSOS!B:L,10,FALSE),"KO")</f>
        <v>KO</v>
      </c>
      <c r="G10" s="17" t="str">
        <f>IFERROR(VLOOKUP(C10,CURSOS!B:L,11,FALSE),"KO")</f>
        <v>NO</v>
      </c>
      <c r="H10" s="17" t="str">
        <f>IFERROR(VLOOKUP(C10,CURSOS!B:L,2,FALSE),"KO")</f>
        <v>JUN22</v>
      </c>
      <c r="J10" s="4" t="s">
        <v>108</v>
      </c>
      <c r="K10" s="4" t="s">
        <v>109</v>
      </c>
      <c r="L10" s="4" t="s">
        <v>110</v>
      </c>
      <c r="N10" s="4" t="s">
        <v>111</v>
      </c>
      <c r="O10" s="18" t="s">
        <v>112</v>
      </c>
      <c r="Q10" s="4"/>
      <c r="R10" s="65"/>
      <c r="S10" s="65"/>
    </row>
    <row r="11" spans="1:22" ht="14.4">
      <c r="A11" s="4">
        <v>10</v>
      </c>
      <c r="C11" s="9" t="str">
        <f>quitarAcentos(UPPER(CONCATENATE(caracterDer(LEFT(SUBSTITUTE(K11," ",""),3),3,"*"),caracterDer(LEFT(SUBSTITUTE(J11," ",""),3),3,"*"))))</f>
        <v>PERMER</v>
      </c>
      <c r="D11" s="16">
        <f t="shared" si="0"/>
        <v>1</v>
      </c>
      <c r="E11" s="17" t="str">
        <f>IFERROR(VLOOKUP(C11,CURSOS!B:L,9,FALSE),"KO")</f>
        <v>KO</v>
      </c>
      <c r="F11" s="17" t="str">
        <f>IFERROR(VLOOKUP(C11,CURSOS!B:L,10,FALSE),"KO")</f>
        <v>KO</v>
      </c>
      <c r="G11" s="17" t="str">
        <f>IFERROR(VLOOKUP(C11,CURSOS!B:L,11,FALSE),"KO")</f>
        <v>NO</v>
      </c>
      <c r="H11" s="17" t="str">
        <f>IFERROR(VLOOKUP(C11,CURSOS!B:L,2,FALSE),"KO")</f>
        <v>JUN22</v>
      </c>
      <c r="J11" s="4" t="s">
        <v>113</v>
      </c>
      <c r="K11" s="4" t="s">
        <v>114</v>
      </c>
      <c r="L11" s="4" t="s">
        <v>115</v>
      </c>
      <c r="N11" s="4" t="s">
        <v>116</v>
      </c>
      <c r="O11" s="18" t="s">
        <v>117</v>
      </c>
      <c r="Q11" s="4"/>
      <c r="R11" s="4"/>
      <c r="S11" s="4"/>
    </row>
    <row r="12" spans="1:22" thickBot="1">
      <c r="A12" s="4">
        <v>11</v>
      </c>
      <c r="B12" s="84">
        <v>45363</v>
      </c>
      <c r="C12" s="9" t="str">
        <f>quitarAcentos(UPPER(CONCATENATE(caracterDer(LEFT(SUBSTITUTE(K12," ",""),3),3,"*"),caracterDer(LEFT(SUBSTITUTE(J12," ",""),3),3,"*"))))</f>
        <v>PERROB</v>
      </c>
      <c r="D12" s="16">
        <f t="shared" si="0"/>
        <v>1</v>
      </c>
      <c r="E12" s="17" t="str">
        <f>IFERROR(VLOOKUP(C12,CURSOS!B:L,9,FALSE),"KO")</f>
        <v>OK</v>
      </c>
      <c r="F12" s="17" t="str">
        <f>IFERROR(VLOOKUP(C12,CURSOS!B:L,10,FALSE),"KO")</f>
        <v>OK</v>
      </c>
      <c r="G12" s="17" t="str">
        <f>IFERROR(VLOOKUP(C12,CURSOS!B:L,11,FALSE),"KO")</f>
        <v>OK</v>
      </c>
      <c r="H12" s="17" t="str">
        <f>IFERROR(VLOOKUP(C12,CURSOS!B:L,2,FALSE),"KO")</f>
        <v>JUN22</v>
      </c>
      <c r="I12" t="s">
        <v>643</v>
      </c>
      <c r="J12" s="4" t="s">
        <v>118</v>
      </c>
      <c r="K12" s="4" t="s">
        <v>119</v>
      </c>
      <c r="L12" s="4" t="s">
        <v>120</v>
      </c>
      <c r="M12" s="84">
        <v>27013</v>
      </c>
      <c r="N12" s="4" t="s">
        <v>644</v>
      </c>
      <c r="O12" s="18" t="s">
        <v>122</v>
      </c>
      <c r="P12" t="s">
        <v>645</v>
      </c>
      <c r="Q12" s="4"/>
      <c r="R12" s="69" t="s">
        <v>646</v>
      </c>
      <c r="S12" s="4" t="s">
        <v>102</v>
      </c>
    </row>
    <row r="13" spans="1:22" thickBot="1">
      <c r="A13" s="4">
        <v>12</v>
      </c>
      <c r="B13" s="3">
        <v>45075</v>
      </c>
      <c r="C13" s="9" t="str">
        <f>quitarAcentos(UPPER(CONCATENATE(caracterDer(LEFT(SUBSTITUTE(K13," ",""),3),3,"*"),caracterDer(LEFT(SUBSTITUTE(J13," ",""),3),3,"*"))))</f>
        <v>SERPIL</v>
      </c>
      <c r="D13" s="16">
        <f t="shared" si="0"/>
        <v>1</v>
      </c>
      <c r="E13" s="17" t="str">
        <f>IFERROR(VLOOKUP(C13,CURSOS!B:L,9,FALSE),"KO")</f>
        <v>OK</v>
      </c>
      <c r="F13" s="17" t="str">
        <f>IFERROR(VLOOKUP(C13,CURSOS!B:L,10,FALSE),"KO")</f>
        <v>OK</v>
      </c>
      <c r="G13" s="17" t="str">
        <f>IFERROR(VLOOKUP(C13,CURSOS!B:L,11,FALSE),"KO")</f>
        <v>SI</v>
      </c>
      <c r="H13" s="17" t="str">
        <f>IFERROR(VLOOKUP(C13,CURSOS!B:L,2,FALSE),"KO")</f>
        <v>JUN22</v>
      </c>
      <c r="I13" s="8" t="s">
        <v>123</v>
      </c>
      <c r="J13" s="4" t="s">
        <v>124</v>
      </c>
      <c r="K13" s="4" t="s">
        <v>125</v>
      </c>
      <c r="L13" s="4" t="s">
        <v>126</v>
      </c>
      <c r="M13" s="26">
        <v>24134</v>
      </c>
      <c r="N13" s="4" t="s">
        <v>127</v>
      </c>
      <c r="O13" s="18" t="s">
        <v>128</v>
      </c>
      <c r="P13" s="11" t="s">
        <v>100</v>
      </c>
      <c r="Q13" s="11" t="s">
        <v>101</v>
      </c>
      <c r="R13" s="14" t="s">
        <v>129</v>
      </c>
      <c r="S13" s="11" t="s">
        <v>102</v>
      </c>
      <c r="U13" s="4" t="s">
        <v>130</v>
      </c>
      <c r="V13" s="4" t="s">
        <v>131</v>
      </c>
    </row>
    <row r="14" spans="1:22" thickBot="1">
      <c r="A14" s="4">
        <v>13</v>
      </c>
      <c r="B14" s="24">
        <v>45054</v>
      </c>
      <c r="C14" s="9" t="str">
        <f>quitarAcentos(UPPER(CONCATENATE(caracterDer(LEFT(SUBSTITUTE(K14," ",""),3),3,"*"),caracterDer(LEFT(SUBSTITUTE(J14," ",""),3),3,"*"))))</f>
        <v>DELCON</v>
      </c>
      <c r="D14" s="16">
        <f t="shared" si="0"/>
        <v>1</v>
      </c>
      <c r="E14" s="17" t="str">
        <f>IFERROR(VLOOKUP(C14,CURSOS!B:L,9,FALSE),"KO")</f>
        <v>OK</v>
      </c>
      <c r="F14" s="17" t="str">
        <f>IFERROR(VLOOKUP(C14,CURSOS!B:L,10,FALSE),"KO")</f>
        <v>OK</v>
      </c>
      <c r="G14" s="17" t="str">
        <f>IFERROR(VLOOKUP(C14,CURSOS!B:L,11,FALSE),"KO")</f>
        <v>SI</v>
      </c>
      <c r="H14" s="17" t="str">
        <f>IFERROR(VLOOKUP(C14,CURSOS!B:L,2,FALSE),"KO")</f>
        <v>JUN22</v>
      </c>
      <c r="I14" s="4" t="s">
        <v>132</v>
      </c>
      <c r="J14" s="65" t="s">
        <v>133</v>
      </c>
      <c r="K14" s="65" t="s">
        <v>134</v>
      </c>
      <c r="L14" s="65" t="s">
        <v>135</v>
      </c>
      <c r="M14" s="26">
        <v>21892</v>
      </c>
      <c r="N14" s="4" t="s">
        <v>136</v>
      </c>
      <c r="O14" s="18" t="s">
        <v>137</v>
      </c>
      <c r="P14" s="4" t="s">
        <v>100</v>
      </c>
      <c r="Q14" s="4"/>
      <c r="R14" s="8" t="s">
        <v>139</v>
      </c>
      <c r="S14" s="4" t="s">
        <v>138</v>
      </c>
    </row>
    <row r="15" spans="1:22" ht="27.6" thickBot="1">
      <c r="A15" s="4">
        <v>14</v>
      </c>
      <c r="B15" s="24">
        <v>45002</v>
      </c>
      <c r="C15" s="9" t="str">
        <f>quitarAcentos(UPPER(CONCATENATE(caracterDer(LEFT(SUBSTITUTE(K15," ",""),3),3,"*"),caracterDer(LEFT(SUBSTITUTE(J15," ",""),3),3,"*"))))</f>
        <v>GARJUA</v>
      </c>
      <c r="D15" s="16">
        <f t="shared" si="0"/>
        <v>1</v>
      </c>
      <c r="E15" s="17" t="str">
        <f>IFERROR(VLOOKUP(C15,CURSOS!B:L,9,FALSE),"KO")</f>
        <v>OK</v>
      </c>
      <c r="F15" s="17" t="str">
        <f>IFERROR(VLOOKUP(C15,CURSOS!B:L,10,FALSE),"KO")</f>
        <v>OK</v>
      </c>
      <c r="G15" s="17" t="str">
        <f>IFERROR(VLOOKUP(C15,CURSOS!B:L,11,FALSE),"KO")</f>
        <v>SI</v>
      </c>
      <c r="H15" s="17" t="str">
        <f>IFERROR(VLOOKUP(C15,CURSOS!B:L,2,FALSE),"KO")</f>
        <v>JUN22</v>
      </c>
      <c r="I15" s="11" t="s">
        <v>140</v>
      </c>
      <c r="J15" s="11" t="s">
        <v>141</v>
      </c>
      <c r="K15" s="11" t="s">
        <v>142</v>
      </c>
      <c r="L15" s="11" t="s">
        <v>143</v>
      </c>
      <c r="M15" s="21">
        <v>23268</v>
      </c>
      <c r="N15" s="11" t="s">
        <v>45</v>
      </c>
      <c r="O15" s="18" t="s">
        <v>144</v>
      </c>
      <c r="P15" s="11" t="s">
        <v>100</v>
      </c>
      <c r="Q15" s="11" t="s">
        <v>145</v>
      </c>
      <c r="R15" s="11" t="s">
        <v>648</v>
      </c>
      <c r="S15" s="11" t="s">
        <v>102</v>
      </c>
      <c r="T15" s="23"/>
      <c r="U15" s="4" t="s">
        <v>146</v>
      </c>
    </row>
    <row r="16" spans="1:22" thickBot="1">
      <c r="A16" s="4">
        <v>15</v>
      </c>
      <c r="B16" s="3">
        <v>44731</v>
      </c>
      <c r="C16" s="9" t="str">
        <f>quitarAcentos(UPPER(CONCATENATE(caracterDer(LEFT(SUBSTITUTE(K16," ",""),3),3,"*"),caracterDer(LEFT(SUBSTITUTE(J16," ",""),3),3,"*"))))</f>
        <v>SAEMAR</v>
      </c>
      <c r="D16" s="16">
        <f t="shared" si="0"/>
        <v>1</v>
      </c>
      <c r="E16" s="17" t="str">
        <f>IFERROR(VLOOKUP(C16,CURSOS!B:L,9,FALSE),"KO")</f>
        <v>OK</v>
      </c>
      <c r="F16" s="17" t="str">
        <f>IFERROR(VLOOKUP(C16,CURSOS!B:L,10,FALSE),"KO")</f>
        <v>OK</v>
      </c>
      <c r="G16" s="17" t="str">
        <f>IFERROR(VLOOKUP(C16,CURSOS!B:L,11,FALSE),"KO")</f>
        <v>SI</v>
      </c>
      <c r="H16" s="17" t="str">
        <f>IFERROR(VLOOKUP(C16,CURSOS!B:L,2,FALSE),"KO")</f>
        <v>JUN22</v>
      </c>
      <c r="I16" s="11" t="s">
        <v>147</v>
      </c>
      <c r="J16" s="11" t="s">
        <v>148</v>
      </c>
      <c r="K16" s="11" t="s">
        <v>149</v>
      </c>
      <c r="L16" s="11" t="s">
        <v>150</v>
      </c>
      <c r="M16" s="21">
        <v>25380</v>
      </c>
      <c r="N16" s="11" t="s">
        <v>151</v>
      </c>
      <c r="O16" s="22" t="s">
        <v>152</v>
      </c>
      <c r="P16" s="11" t="s">
        <v>100</v>
      </c>
      <c r="Q16" s="11" t="s">
        <v>153</v>
      </c>
      <c r="R16" s="11"/>
      <c r="S16" s="11" t="s">
        <v>102</v>
      </c>
      <c r="U16" s="4" t="s">
        <v>154</v>
      </c>
    </row>
    <row r="17" spans="1:22" ht="14.4">
      <c r="A17" s="4">
        <v>16</v>
      </c>
      <c r="C17" s="9" t="str">
        <f>quitarAcentos(UPPER(CONCATENATE(caracterDer(LEFT(SUBSTITUTE(K17," ",""),3),3,"*"),caracterDer(LEFT(SUBSTITUTE(J17," ",""),3),3,"*"))))</f>
        <v>CARENR</v>
      </c>
      <c r="D17" s="16">
        <f t="shared" si="0"/>
        <v>1</v>
      </c>
      <c r="E17" s="17" t="str">
        <f>IFERROR(VLOOKUP(C17,CURSOS!B:L,9,FALSE),"KO")</f>
        <v>KO</v>
      </c>
      <c r="F17" s="17" t="str">
        <f>IFERROR(VLOOKUP(C17,CURSOS!B:L,10,FALSE),"KO")</f>
        <v>KO</v>
      </c>
      <c r="G17" s="17" t="str">
        <f>IFERROR(VLOOKUP(C17,CURSOS!B:L,11,FALSE),"KO")</f>
        <v>NO</v>
      </c>
      <c r="H17" s="17" t="str">
        <f>IFERROR(VLOOKUP(C17,CURSOS!B:L,2,FALSE),"KO")</f>
        <v>JUN22</v>
      </c>
      <c r="J17" s="4" t="s">
        <v>155</v>
      </c>
      <c r="K17" s="4" t="s">
        <v>156</v>
      </c>
      <c r="L17" s="4" t="s">
        <v>157</v>
      </c>
      <c r="N17" s="77" t="s">
        <v>594</v>
      </c>
      <c r="O17" s="78" t="s">
        <v>595</v>
      </c>
      <c r="Q17" s="4"/>
      <c r="R17" s="4"/>
      <c r="S17" s="4"/>
    </row>
    <row r="18" spans="1:22" ht="14.4">
      <c r="A18" s="4">
        <v>17</v>
      </c>
      <c r="B18" s="85">
        <v>45359</v>
      </c>
      <c r="C18" s="9" t="str">
        <f>quitarAcentos(UPPER(CONCATENATE(caracterDer(LEFT(SUBSTITUTE(K18," ",""),3),3,"*"),caracterDer(LEFT(SUBSTITUTE(J18," ",""),3),3,"*"))))</f>
        <v>LOPALB</v>
      </c>
      <c r="D18" s="16">
        <f t="shared" si="0"/>
        <v>1</v>
      </c>
      <c r="E18" s="17" t="str">
        <f>IFERROR(VLOOKUP(C18,CURSOS!B:L,9,FALSE),"KO")</f>
        <v>OK</v>
      </c>
      <c r="F18" s="17" t="str">
        <f>IFERROR(VLOOKUP(C18,CURSOS!B:L,10,FALSE),"KO")</f>
        <v>OK</v>
      </c>
      <c r="G18" s="17" t="str">
        <f>IFERROR(VLOOKUP(C18,CURSOS!B:L,11,FALSE),"KO")</f>
        <v>SI</v>
      </c>
      <c r="H18" s="17" t="str">
        <f>IFERROR(VLOOKUP(C18,CURSOS!B:L,2,FALSE),"KO")</f>
        <v>JUN22</v>
      </c>
      <c r="I18" t="s">
        <v>636</v>
      </c>
      <c r="J18" s="4" t="s">
        <v>158</v>
      </c>
      <c r="K18" s="4" t="s">
        <v>115</v>
      </c>
      <c r="L18" s="4" t="s">
        <v>159</v>
      </c>
      <c r="M18" s="84">
        <v>31511</v>
      </c>
      <c r="N18" s="4" t="s">
        <v>160</v>
      </c>
      <c r="O18" s="18" t="s">
        <v>161</v>
      </c>
      <c r="P18" t="s">
        <v>100</v>
      </c>
      <c r="Q18" s="4" t="s">
        <v>637</v>
      </c>
      <c r="R18" s="4" t="s">
        <v>638</v>
      </c>
      <c r="S18" s="4" t="s">
        <v>102</v>
      </c>
    </row>
    <row r="19" spans="1:22" thickBot="1">
      <c r="A19" s="4">
        <v>18</v>
      </c>
      <c r="B19" s="85">
        <v>45280</v>
      </c>
      <c r="C19" s="9" t="str">
        <f>quitarAcentos(UPPER(CONCATENATE(caracterDer(LEFT(SUBSTITUTE(K19," ",""),3),3,"*"),caracterDer(LEFT(SUBSTITUTE(J19," ",""),3),3,"*"))))</f>
        <v>OTEJAV</v>
      </c>
      <c r="D19" s="16">
        <f t="shared" si="0"/>
        <v>1</v>
      </c>
      <c r="E19" s="17" t="str">
        <f>IFERROR(VLOOKUP(C19,CURSOS!B:L,9,FALSE),"KO")</f>
        <v>OK</v>
      </c>
      <c r="F19" s="17" t="str">
        <f>IFERROR(VLOOKUP(C19,CURSOS!B:L,10,FALSE),"KO")</f>
        <v>OK</v>
      </c>
      <c r="G19" s="17" t="str">
        <f>IFERROR(VLOOKUP(C19,CURSOS!B:L,11,FALSE),"KO")</f>
        <v>SI</v>
      </c>
      <c r="H19" s="17" t="str">
        <f>IFERROR(VLOOKUP(C19,CURSOS!B:L,2,FALSE),"KO")</f>
        <v>JUN22</v>
      </c>
      <c r="I19" t="s">
        <v>608</v>
      </c>
      <c r="J19" s="4" t="s">
        <v>162</v>
      </c>
      <c r="K19" s="4" t="s">
        <v>163</v>
      </c>
      <c r="L19" s="4" t="s">
        <v>134</v>
      </c>
      <c r="M19" s="84">
        <v>27279</v>
      </c>
      <c r="N19" s="4" t="s">
        <v>164</v>
      </c>
      <c r="O19" s="79" t="s">
        <v>596</v>
      </c>
      <c r="P19" s="68" t="s">
        <v>84</v>
      </c>
      <c r="Q19" s="65" t="s">
        <v>85</v>
      </c>
      <c r="R19" s="69" t="s">
        <v>610</v>
      </c>
      <c r="S19" s="69" t="s">
        <v>86</v>
      </c>
    </row>
    <row r="20" spans="1:22" thickBot="1">
      <c r="A20" s="4">
        <v>19</v>
      </c>
      <c r="B20" s="24">
        <v>45134</v>
      </c>
      <c r="C20" s="9" t="str">
        <f>quitarAcentos(UPPER(CONCATENATE(caracterDer(LEFT(SUBSTITUTE(K20," ",""),3),3,"*"),caracterDer(LEFT(SUBSTITUTE(J20," ",""),3),3,"*"))))</f>
        <v>HERDAN</v>
      </c>
      <c r="D20" s="16">
        <f t="shared" si="0"/>
        <v>1</v>
      </c>
      <c r="E20" s="17" t="str">
        <f>IFERROR(VLOOKUP(C20,CURSOS!B:L,9,FALSE),"KO")</f>
        <v>OK</v>
      </c>
      <c r="F20" s="17" t="str">
        <f>IFERROR(VLOOKUP(C20,CURSOS!B:L,10,FALSE),"KO")</f>
        <v>OK</v>
      </c>
      <c r="G20" s="17" t="str">
        <f>IFERROR(VLOOKUP(C20,CURSOS!B:L,11,FALSE),"KO")</f>
        <v>SI</v>
      </c>
      <c r="H20" s="17" t="str">
        <f>IFERROR(VLOOKUP(C20,CURSOS!B:L,2,FALSE),"KO")</f>
        <v>JUN22</v>
      </c>
      <c r="I20" s="8" t="s">
        <v>165</v>
      </c>
      <c r="J20" s="4" t="s">
        <v>166</v>
      </c>
      <c r="K20" s="4" t="s">
        <v>167</v>
      </c>
      <c r="L20" s="4" t="s">
        <v>120</v>
      </c>
      <c r="M20" s="24">
        <v>30002</v>
      </c>
      <c r="N20" s="4" t="s">
        <v>168</v>
      </c>
      <c r="O20" s="18" t="s">
        <v>169</v>
      </c>
      <c r="P20" s="11" t="s">
        <v>100</v>
      </c>
      <c r="Q20" s="11" t="s">
        <v>170</v>
      </c>
      <c r="R20" s="11" t="s">
        <v>171</v>
      </c>
      <c r="S20" s="11" t="s">
        <v>102</v>
      </c>
    </row>
    <row r="21" spans="1:22" ht="15.75" customHeight="1">
      <c r="A21" s="4">
        <v>20</v>
      </c>
      <c r="B21" s="84">
        <v>45341</v>
      </c>
      <c r="C21" s="9" t="str">
        <f>quitarAcentos(UPPER(CONCATENATE(caracterDer(LEFT(SUBSTITUTE(K21," ",""),3),3,"*"),caracterDer(LEFT(SUBSTITUTE(J21," ",""),3),3,"*"))))</f>
        <v>YANALI</v>
      </c>
      <c r="D21" s="16">
        <f t="shared" si="0"/>
        <v>1</v>
      </c>
      <c r="E21" s="17" t="str">
        <f>IFERROR(VLOOKUP(C21,CURSOS!B:L,9,FALSE),"KO")</f>
        <v>OK</v>
      </c>
      <c r="F21" s="17" t="str">
        <f>IFERROR(VLOOKUP(C21,CURSOS!B:L,10,FALSE),"KO")</f>
        <v>OK</v>
      </c>
      <c r="G21" s="17" t="str">
        <f>IFERROR(VLOOKUP(C21,CURSOS!B:L,11,FALSE),"KO")</f>
        <v>SI</v>
      </c>
      <c r="H21" s="17" t="str">
        <f>IFERROR(VLOOKUP(C21,CURSOS!B:L,2,FALSE),"KO")</f>
        <v>JUN22</v>
      </c>
      <c r="I21" t="s">
        <v>631</v>
      </c>
      <c r="J21" s="4" t="s">
        <v>172</v>
      </c>
      <c r="K21" s="4" t="s">
        <v>173</v>
      </c>
      <c r="L21" s="4" t="s">
        <v>174</v>
      </c>
      <c r="M21" s="84">
        <v>25737</v>
      </c>
      <c r="N21" s="4" t="s">
        <v>175</v>
      </c>
      <c r="O21" s="79" t="s">
        <v>615</v>
      </c>
      <c r="P21" s="68" t="s">
        <v>84</v>
      </c>
      <c r="Q21" s="4" t="s">
        <v>85</v>
      </c>
      <c r="R21" s="4" t="s">
        <v>632</v>
      </c>
      <c r="S21" s="69" t="s">
        <v>86</v>
      </c>
    </row>
    <row r="22" spans="1:22" ht="15.75" customHeight="1">
      <c r="A22" s="4">
        <v>21</v>
      </c>
      <c r="B22" s="85">
        <v>45338</v>
      </c>
      <c r="C22" s="9" t="str">
        <f>quitarAcentos(UPPER(CONCATENATE(caracterDer(LEFT(SUBSTITUTE(K22," ",""),3),3,"*"),caracterDer(LEFT(SUBSTITUTE(J22," ",""),3),3,"*"))))</f>
        <v>SENARA</v>
      </c>
      <c r="D22" s="16">
        <f t="shared" si="0"/>
        <v>1</v>
      </c>
      <c r="E22" s="17" t="str">
        <f>IFERROR(VLOOKUP(C22,CURSOS!B:L,9,FALSE),"KO")</f>
        <v>OK</v>
      </c>
      <c r="F22" s="17" t="str">
        <f>IFERROR(VLOOKUP(C22,CURSOS!B:L,10,FALSE),"KO")</f>
        <v>OK</v>
      </c>
      <c r="G22" s="17" t="str">
        <f>IFERROR(VLOOKUP(C22,CURSOS!B:L,11,FALSE),"KO")</f>
        <v>SI</v>
      </c>
      <c r="H22" s="17" t="str">
        <f>IFERROR(VLOOKUP(C22,CURSOS!B:L,2,FALSE),"KO")</f>
        <v>JUN22</v>
      </c>
      <c r="I22" t="s">
        <v>626</v>
      </c>
      <c r="J22" s="4" t="s">
        <v>176</v>
      </c>
      <c r="K22" s="4" t="s">
        <v>177</v>
      </c>
      <c r="L22" s="4" t="s">
        <v>178</v>
      </c>
      <c r="M22" s="84">
        <v>26255</v>
      </c>
      <c r="N22" s="4" t="s">
        <v>179</v>
      </c>
      <c r="O22" s="79" t="s">
        <v>616</v>
      </c>
      <c r="P22" t="s">
        <v>84</v>
      </c>
      <c r="Q22" s="4" t="s">
        <v>85</v>
      </c>
      <c r="R22" s="69" t="s">
        <v>627</v>
      </c>
      <c r="S22" s="69" t="s">
        <v>86</v>
      </c>
    </row>
    <row r="23" spans="1:22" ht="15.75" customHeight="1" thickBot="1">
      <c r="A23" s="4">
        <v>22</v>
      </c>
      <c r="C23" s="9" t="str">
        <f>quitarAcentos(UPPER(CONCATENATE(caracterDer(LEFT(SUBSTITUTE(K23," ",""),3),3,"*"),caracterDer(LEFT(SUBSTITUTE(J23," ",""),3),3,"*"))))</f>
        <v>GARXAV</v>
      </c>
      <c r="D23" s="16">
        <f t="shared" si="0"/>
        <v>1</v>
      </c>
      <c r="E23" s="17" t="str">
        <f>IFERROR(VLOOKUP(C23,CURSOS!B:L,9,FALSE),"KO")</f>
        <v>OK</v>
      </c>
      <c r="F23" s="17" t="str">
        <f>IFERROR(VLOOKUP(C23,CURSOS!B:L,10,FALSE),"KO")</f>
        <v>KO</v>
      </c>
      <c r="G23" s="17" t="str">
        <f>IFERROR(VLOOKUP(C23,CURSOS!B:L,11,FALSE),"KO")</f>
        <v>NO</v>
      </c>
      <c r="H23" s="17" t="str">
        <f>IFERROR(VLOOKUP(C23,CURSOS!B:L,2,FALSE),"KO")</f>
        <v>JUN22</v>
      </c>
      <c r="J23" s="4" t="s">
        <v>180</v>
      </c>
      <c r="K23" s="4" t="s">
        <v>142</v>
      </c>
      <c r="L23" s="4" t="s">
        <v>181</v>
      </c>
      <c r="N23" s="4" t="s">
        <v>182</v>
      </c>
      <c r="Q23" s="4"/>
      <c r="R23" s="4"/>
      <c r="S23" s="4"/>
    </row>
    <row r="24" spans="1:22" ht="15.75" customHeight="1" thickBot="1">
      <c r="A24" s="4">
        <v>23</v>
      </c>
      <c r="B24" s="24">
        <v>45173</v>
      </c>
      <c r="C24" s="9" t="str">
        <f>quitarAcentos(UPPER(CONCATENATE(caracterDer(LEFT(SUBSTITUTE(K24," ",""),3),3,"*"),caracterDer(LEFT(SUBSTITUTE(J24," ",""),3),3,"*"))))</f>
        <v>RUIJAV</v>
      </c>
      <c r="D24" s="16">
        <f t="shared" si="0"/>
        <v>1</v>
      </c>
      <c r="E24" s="17" t="str">
        <f>IFERROR(VLOOKUP(C24,CURSOS!B:L,9,FALSE),"KO")</f>
        <v>OK</v>
      </c>
      <c r="F24" s="17" t="str">
        <f>IFERROR(VLOOKUP(C24,CURSOS!B:L,10,FALSE),"KO")</f>
        <v>OK</v>
      </c>
      <c r="G24" s="17" t="str">
        <f>IFERROR(VLOOKUP(C24,CURSOS!B:L,11,FALSE),"KO")</f>
        <v>SI</v>
      </c>
      <c r="H24" s="17" t="str">
        <f>IFERROR(VLOOKUP(C24,CURSOS!B:L,2,FALSE),"KO")</f>
        <v>JUN22</v>
      </c>
      <c r="I24" s="8" t="s">
        <v>183</v>
      </c>
      <c r="J24" s="4" t="s">
        <v>184</v>
      </c>
      <c r="K24" s="4" t="s">
        <v>185</v>
      </c>
      <c r="L24" s="4" t="s">
        <v>186</v>
      </c>
      <c r="M24" s="24">
        <v>30209</v>
      </c>
      <c r="N24" s="4" t="s">
        <v>56</v>
      </c>
      <c r="O24" s="18" t="s">
        <v>187</v>
      </c>
      <c r="P24" s="4" t="s">
        <v>188</v>
      </c>
      <c r="Q24" s="4" t="s">
        <v>189</v>
      </c>
      <c r="R24" s="14" t="s">
        <v>191</v>
      </c>
      <c r="S24" s="11" t="s">
        <v>190</v>
      </c>
      <c r="V24" s="8" t="s">
        <v>56</v>
      </c>
    </row>
    <row r="25" spans="1:22" ht="15.75" customHeight="1" thickBot="1">
      <c r="A25" s="4">
        <v>24</v>
      </c>
      <c r="B25" s="84">
        <v>45364</v>
      </c>
      <c r="C25" s="9" t="str">
        <f>quitarAcentos(UPPER(CONCATENATE(caracterDer(LEFT(SUBSTITUTE(K25," ",""),3),3,"*"),caracterDer(LEFT(SUBSTITUTE(J25," ",""),3),3,"*"))))</f>
        <v>SAVKAT</v>
      </c>
      <c r="D25" s="16">
        <f t="shared" si="0"/>
        <v>1</v>
      </c>
      <c r="E25" s="17" t="str">
        <f>IFERROR(VLOOKUP(C25,CURSOS!B:L,9,FALSE),"KO")</f>
        <v>OK</v>
      </c>
      <c r="F25" s="17" t="str">
        <f>IFERROR(VLOOKUP(C25,CURSOS!B:L,10,FALSE),"KO")</f>
        <v>OK</v>
      </c>
      <c r="G25" s="17" t="str">
        <f>IFERROR(VLOOKUP(C25,CURSOS!B:L,11,FALSE),"KO")</f>
        <v>SI</v>
      </c>
      <c r="H25" s="17" t="str">
        <f>IFERROR(VLOOKUP(C25,CURSOS!B:L,2,FALSE),"KO")</f>
        <v>JUN22</v>
      </c>
      <c r="I25" t="s">
        <v>647</v>
      </c>
      <c r="J25" s="4" t="s">
        <v>192</v>
      </c>
      <c r="K25" s="4" t="s">
        <v>193</v>
      </c>
      <c r="L25" s="106" t="s">
        <v>634</v>
      </c>
      <c r="M25" s="84">
        <v>32943</v>
      </c>
      <c r="N25" s="4" t="s">
        <v>194</v>
      </c>
      <c r="O25" s="18" t="s">
        <v>195</v>
      </c>
      <c r="P25" t="s">
        <v>188</v>
      </c>
      <c r="Q25" s="4" t="s">
        <v>101</v>
      </c>
      <c r="R25" s="14" t="s">
        <v>191</v>
      </c>
      <c r="S25" s="4" t="s">
        <v>190</v>
      </c>
    </row>
    <row r="26" spans="1:22" ht="15.75" customHeight="1">
      <c r="A26" s="4">
        <v>25</v>
      </c>
      <c r="C26" s="9" t="str">
        <f>quitarAcentos(UPPER(CONCATENATE(caracterDer(LEFT(SUBSTITUTE(K26," ",""),3),3,"*"),caracterDer(LEFT(SUBSTITUTE(J26," ",""),3),3,"*"))))</f>
        <v>GUTDAV</v>
      </c>
      <c r="D26" s="16">
        <f t="shared" si="0"/>
        <v>1</v>
      </c>
      <c r="E26" s="17" t="str">
        <f>IFERROR(VLOOKUP(C26,CURSOS!B:L,9,FALSE),"KO")</f>
        <v>KO</v>
      </c>
      <c r="F26" s="17" t="str">
        <f>IFERROR(VLOOKUP(C26,CURSOS!B:L,10,FALSE),"KO")</f>
        <v>KO</v>
      </c>
      <c r="G26" s="17" t="str">
        <f>IFERROR(VLOOKUP(C26,CURSOS!B:L,11,FALSE),"KO")</f>
        <v>NO</v>
      </c>
      <c r="H26" s="17" t="str">
        <f>IFERROR(VLOOKUP(C26,CURSOS!B:L,2,FALSE),"KO")</f>
        <v>JUN22</v>
      </c>
      <c r="J26" s="4" t="s">
        <v>196</v>
      </c>
      <c r="K26" s="4" t="s">
        <v>197</v>
      </c>
      <c r="L26" s="4" t="s">
        <v>198</v>
      </c>
      <c r="N26" s="4" t="s">
        <v>199</v>
      </c>
      <c r="O26" s="18" t="s">
        <v>200</v>
      </c>
      <c r="Q26" s="4"/>
      <c r="R26" s="4"/>
      <c r="S26" s="4"/>
    </row>
    <row r="27" spans="1:22" ht="15.75" customHeight="1">
      <c r="A27" s="4">
        <v>26</v>
      </c>
      <c r="B27" s="3">
        <v>45107</v>
      </c>
      <c r="C27" s="9" t="str">
        <f>quitarAcentos(UPPER(CONCATENATE(caracterDer(LEFT(SUBSTITUTE(K27," ",""),3),3,"*"),caracterDer(LEFT(SUBSTITUTE(J27," ",""),3),3,"*"))))</f>
        <v>GARGEM</v>
      </c>
      <c r="D27" s="16">
        <f t="shared" si="0"/>
        <v>1</v>
      </c>
      <c r="E27" s="17" t="str">
        <f>IFERROR(VLOOKUP(C27,CURSOS!B:L,9,FALSE),"KO")</f>
        <v>OK</v>
      </c>
      <c r="F27" s="17" t="str">
        <f>IFERROR(VLOOKUP(C27,CURSOS!B:L,10,FALSE),"KO")</f>
        <v>OK</v>
      </c>
      <c r="G27" s="17" t="str">
        <f>IFERROR(VLOOKUP(C27,CURSOS!B:L,11,FALSE),"KO")</f>
        <v>SI</v>
      </c>
      <c r="H27" s="17" t="str">
        <f>IFERROR(VLOOKUP(C27,CURSOS!B:L,2,FALSE),"KO")</f>
        <v>JUN22</v>
      </c>
      <c r="I27" s="4" t="s">
        <v>201</v>
      </c>
      <c r="J27" s="4" t="s">
        <v>523</v>
      </c>
      <c r="K27" s="4" t="s">
        <v>142</v>
      </c>
      <c r="L27" s="4" t="s">
        <v>204</v>
      </c>
      <c r="M27" s="26">
        <v>28661</v>
      </c>
      <c r="N27" s="4" t="s">
        <v>205</v>
      </c>
      <c r="O27" s="18" t="s">
        <v>206</v>
      </c>
      <c r="P27" s="8" t="s">
        <v>100</v>
      </c>
      <c r="Q27" s="4"/>
      <c r="R27" s="8" t="s">
        <v>207</v>
      </c>
      <c r="S27" s="8" t="s">
        <v>102</v>
      </c>
    </row>
    <row r="28" spans="1:22" ht="15.75" customHeight="1">
      <c r="A28" s="4">
        <v>27</v>
      </c>
      <c r="C28" s="9" t="str">
        <f>quitarAcentos(UPPER(CONCATENATE(caracterDer(LEFT(SUBSTITUTE(K28," ",""),3),3,"*"),caracterDer(LEFT(SUBSTITUTE(J28," ",""),3),3,"*"))))</f>
        <v>FARCAR</v>
      </c>
      <c r="D28" s="16">
        <f t="shared" si="0"/>
        <v>1</v>
      </c>
      <c r="E28" s="17" t="str">
        <f>IFERROR(VLOOKUP(C28,CURSOS!B:L,9,FALSE),"KO")</f>
        <v>KO</v>
      </c>
      <c r="F28" s="17" t="str">
        <f>IFERROR(VLOOKUP(C28,CURSOS!B:L,10,FALSE),"KO")</f>
        <v>KO</v>
      </c>
      <c r="G28" s="17" t="str">
        <f>IFERROR(VLOOKUP(C28,CURSOS!B:L,11,FALSE),"KO")</f>
        <v>NO</v>
      </c>
      <c r="H28" s="17" t="str">
        <f>IFERROR(VLOOKUP(C28,CURSOS!B:L,2,FALSE),"KO")</f>
        <v>JUN22</v>
      </c>
      <c r="J28" s="4" t="s">
        <v>208</v>
      </c>
      <c r="K28" s="4" t="s">
        <v>209</v>
      </c>
      <c r="N28" s="4" t="s">
        <v>210</v>
      </c>
      <c r="O28" s="18" t="s">
        <v>211</v>
      </c>
      <c r="Q28" s="4"/>
      <c r="R28" s="4"/>
      <c r="S28" s="4"/>
    </row>
    <row r="29" spans="1:22" ht="15.75" customHeight="1">
      <c r="A29" s="4">
        <v>29</v>
      </c>
      <c r="B29" s="4"/>
      <c r="C29" s="9" t="str">
        <f>quitarAcentos(UPPER(CONCATENATE(caracterDer(LEFT(SUBSTITUTE(K29," ",""),3),3,"*"),caracterDer(LEFT(SUBSTITUTE(J29," ",""),3),3,"*"))))</f>
        <v>AROMIG</v>
      </c>
      <c r="D29" s="16">
        <f t="shared" si="0"/>
        <v>1</v>
      </c>
      <c r="E29" s="17" t="str">
        <f>IFERROR(VLOOKUP(C29,CURSOS!B:L,9,FALSE),"KO")</f>
        <v>KO</v>
      </c>
      <c r="F29" s="17" t="str">
        <f>IFERROR(VLOOKUP(C29,CURSOS!B:L,10,FALSE),"KO")</f>
        <v>KO</v>
      </c>
      <c r="G29" s="17" t="str">
        <f>IFERROR(VLOOKUP(C29,CURSOS!B:L,11,FALSE),"KO")</f>
        <v>NO</v>
      </c>
      <c r="H29" s="17" t="str">
        <f>IFERROR(VLOOKUP(C29,CURSOS!B:L,2,FALSE),"KO")</f>
        <v>JUL23</v>
      </c>
      <c r="I29" s="4"/>
      <c r="J29" s="4" t="s">
        <v>540</v>
      </c>
      <c r="K29" s="4" t="s">
        <v>542</v>
      </c>
      <c r="L29" s="4" t="s">
        <v>543</v>
      </c>
      <c r="M29" s="4"/>
      <c r="N29" s="4" t="s">
        <v>215</v>
      </c>
      <c r="O29" s="18" t="s">
        <v>216</v>
      </c>
      <c r="P29" s="4"/>
      <c r="Q29" s="4"/>
      <c r="R29" s="25" t="s">
        <v>218</v>
      </c>
      <c r="S29" s="4" t="s">
        <v>217</v>
      </c>
      <c r="T29" s="4"/>
      <c r="U29" s="4"/>
      <c r="V29" s="4"/>
    </row>
    <row r="30" spans="1:22" ht="15.75" customHeight="1">
      <c r="A30" s="4">
        <v>30</v>
      </c>
      <c r="B30" s="87">
        <v>45375</v>
      </c>
      <c r="C30" s="9" t="str">
        <f>quitarAcentos(UPPER(CONCATENATE(caracterDer(LEFT(SUBSTITUTE(K30," ",""),3),3,"*"),caracterDer(LEFT(SUBSTITUTE(J30," ",""),3),3,"*"))))</f>
        <v>SANTOM</v>
      </c>
      <c r="D30" s="16">
        <f t="shared" si="0"/>
        <v>1</v>
      </c>
      <c r="E30" s="17" t="str">
        <f>IFERROR(VLOOKUP(C30,CURSOS!B:L,9,FALSE),"KO")</f>
        <v>OK</v>
      </c>
      <c r="F30" s="17" t="str">
        <f>IFERROR(VLOOKUP(C30,CURSOS!B:L,10,FALSE),"KO")</f>
        <v>OK</v>
      </c>
      <c r="G30" s="17" t="str">
        <f>IFERROR(VLOOKUP(C30,CURSOS!B:L,11,FALSE),"KO")</f>
        <v>SI</v>
      </c>
      <c r="H30" s="17" t="str">
        <f>IFERROR(VLOOKUP(C30,CURSOS!B:L,2,FALSE),"KO")</f>
        <v>JUL23</v>
      </c>
      <c r="I30" s="4" t="s">
        <v>326</v>
      </c>
      <c r="J30" s="4" t="s">
        <v>541</v>
      </c>
      <c r="K30" s="4" t="s">
        <v>544</v>
      </c>
      <c r="L30" s="4" t="s">
        <v>163</v>
      </c>
      <c r="M30" s="87">
        <v>33812</v>
      </c>
      <c r="N30" s="4" t="s">
        <v>222</v>
      </c>
      <c r="O30" s="18" t="s">
        <v>223</v>
      </c>
      <c r="P30" s="4" t="s">
        <v>84</v>
      </c>
      <c r="Q30" s="4" t="s">
        <v>650</v>
      </c>
      <c r="R30" s="4" t="s">
        <v>224</v>
      </c>
      <c r="S30" s="4" t="s">
        <v>217</v>
      </c>
      <c r="T30" s="4"/>
      <c r="U30" s="4"/>
      <c r="V30" s="4"/>
    </row>
    <row r="31" spans="1:22" ht="15.75" customHeight="1">
      <c r="A31" s="4">
        <v>31</v>
      </c>
      <c r="B31" s="24">
        <v>45164</v>
      </c>
      <c r="C31" s="9" t="str">
        <f>quitarAcentos(UPPER(CONCATENATE(caracterDer(LEFT(SUBSTITUTE(K31," ",""),3),3,"*"),caracterDer(LEFT(SUBSTITUTE(J31," ",""),3),3,"*"))))</f>
        <v>BAEVIC</v>
      </c>
      <c r="D31" s="16">
        <f t="shared" si="0"/>
        <v>1</v>
      </c>
      <c r="E31" s="17" t="str">
        <f>IFERROR(VLOOKUP(C31,CURSOS!B:L,9,FALSE),"KO")</f>
        <v>OK</v>
      </c>
      <c r="F31" s="17" t="str">
        <f>IFERROR(VLOOKUP(C31,CURSOS!B:L,10,FALSE),"KO")</f>
        <v>OK</v>
      </c>
      <c r="G31" s="17" t="str">
        <f>IFERROR(VLOOKUP(C31,CURSOS!B:L,11,FALSE),"KO")</f>
        <v>SI</v>
      </c>
      <c r="H31" s="17" t="str">
        <f>IFERROR(VLOOKUP(C31,CURSOS!B:L,2,FALSE),"KO")</f>
        <v>JUL23</v>
      </c>
      <c r="I31" s="4" t="s">
        <v>225</v>
      </c>
      <c r="J31" s="4" t="s">
        <v>226</v>
      </c>
      <c r="K31" s="4" t="s">
        <v>227</v>
      </c>
      <c r="L31" s="4" t="s">
        <v>228</v>
      </c>
      <c r="M31" s="26">
        <v>30723</v>
      </c>
      <c r="N31" s="4" t="s">
        <v>54</v>
      </c>
      <c r="O31" s="18" t="s">
        <v>229</v>
      </c>
      <c r="P31" s="4" t="s">
        <v>188</v>
      </c>
      <c r="Q31" s="4" t="s">
        <v>230</v>
      </c>
      <c r="R31" s="4" t="s">
        <v>231</v>
      </c>
      <c r="S31" s="4" t="s">
        <v>217</v>
      </c>
      <c r="T31" s="4"/>
      <c r="U31" s="4"/>
      <c r="V31" s="4" t="s">
        <v>54</v>
      </c>
    </row>
    <row r="32" spans="1:22" ht="15.75" customHeight="1">
      <c r="A32" s="4">
        <v>32</v>
      </c>
      <c r="B32" s="24">
        <v>45165</v>
      </c>
      <c r="C32" s="9" t="str">
        <f>quitarAcentos(UPPER(CONCATENATE(caracterDer(LEFT(SUBSTITUTE(K32," ",""),3),3,"*"),caracterDer(LEFT(SUBSTITUTE(J32," ",""),3),3,"*"))))</f>
        <v>GARPAT</v>
      </c>
      <c r="D32" s="16">
        <f t="shared" si="0"/>
        <v>1</v>
      </c>
      <c r="E32" s="17" t="str">
        <f>IFERROR(VLOOKUP(C32,CURSOS!B:L,9,FALSE),"KO")</f>
        <v>OK</v>
      </c>
      <c r="F32" s="17" t="str">
        <f>IFERROR(VLOOKUP(C32,CURSOS!B:L,10,FALSE),"KO")</f>
        <v>OK</v>
      </c>
      <c r="G32" s="17" t="str">
        <f>IFERROR(VLOOKUP(C32,CURSOS!B:L,11,FALSE),"KO")</f>
        <v>SI</v>
      </c>
      <c r="H32" s="17" t="str">
        <f>IFERROR(VLOOKUP(C32,CURSOS!B:L,2,FALSE),"KO")</f>
        <v>JUL23</v>
      </c>
      <c r="I32" s="8" t="s">
        <v>232</v>
      </c>
      <c r="J32" s="4" t="s">
        <v>233</v>
      </c>
      <c r="K32" s="4" t="s">
        <v>142</v>
      </c>
      <c r="L32" s="4" t="s">
        <v>234</v>
      </c>
      <c r="M32" s="24">
        <v>32946</v>
      </c>
      <c r="N32" s="4" t="s">
        <v>52</v>
      </c>
      <c r="O32" s="18" t="s">
        <v>235</v>
      </c>
      <c r="P32" s="4" t="s">
        <v>188</v>
      </c>
      <c r="Q32" s="4" t="s">
        <v>230</v>
      </c>
      <c r="R32" s="4" t="s">
        <v>236</v>
      </c>
      <c r="S32" s="4" t="s">
        <v>217</v>
      </c>
      <c r="T32" s="4"/>
      <c r="U32" s="4"/>
      <c r="V32" s="4" t="s">
        <v>52</v>
      </c>
    </row>
    <row r="33" spans="1:22" ht="15.75" customHeight="1">
      <c r="A33" s="4">
        <v>33</v>
      </c>
      <c r="B33" s="26">
        <v>45145</v>
      </c>
      <c r="C33" s="9" t="str">
        <f>quitarAcentos(UPPER(CONCATENATE(caracterDer(LEFT(SUBSTITUTE(K33," ",""),3),3,"*"),caracterDer(LEFT(SUBSTITUTE(J33," ",""),3),3,"*"))))</f>
        <v>CALSAL</v>
      </c>
      <c r="D33" s="16">
        <f t="shared" si="0"/>
        <v>1</v>
      </c>
      <c r="E33" s="17" t="str">
        <f>IFERROR(VLOOKUP(C33,CURSOS!B:L,9,FALSE),"KO")</f>
        <v>OK</v>
      </c>
      <c r="F33" s="17" t="str">
        <f>IFERROR(VLOOKUP(C33,CURSOS!B:L,10,FALSE),"KO")</f>
        <v>OK</v>
      </c>
      <c r="G33" s="17" t="str">
        <f>IFERROR(VLOOKUP(C33,CURSOS!B:L,11,FALSE),"KO")</f>
        <v>SI</v>
      </c>
      <c r="H33" s="17" t="str">
        <f>IFERROR(VLOOKUP(C33,CURSOS!B:L,2,FALSE),"KO")</f>
        <v>JUL23</v>
      </c>
      <c r="I33" s="4" t="s">
        <v>237</v>
      </c>
      <c r="J33" s="4" t="s">
        <v>238</v>
      </c>
      <c r="K33" s="4" t="s">
        <v>186</v>
      </c>
      <c r="L33" s="4" t="s">
        <v>239</v>
      </c>
      <c r="M33" s="26">
        <v>29659</v>
      </c>
      <c r="N33" s="4" t="s">
        <v>240</v>
      </c>
      <c r="O33" s="18" t="s">
        <v>241</v>
      </c>
      <c r="P33" s="4" t="s">
        <v>100</v>
      </c>
      <c r="Q33" s="4" t="s">
        <v>189</v>
      </c>
      <c r="R33" s="4" t="s">
        <v>242</v>
      </c>
      <c r="S33" s="4" t="s">
        <v>102</v>
      </c>
      <c r="T33" s="4"/>
      <c r="U33" s="4"/>
      <c r="V33" s="4"/>
    </row>
    <row r="34" spans="1:22" ht="15.75" customHeight="1">
      <c r="A34" s="4">
        <v>34</v>
      </c>
      <c r="B34" s="4"/>
      <c r="C34" s="9" t="str">
        <f>quitarAcentos(UPPER(CONCATENATE(caracterDer(LEFT(SUBSTITUTE(K34," ",""),3),3,"*"),caracterDer(LEFT(SUBSTITUTE(J34," ",""),3),3,"*"))))</f>
        <v>MONEDG</v>
      </c>
      <c r="D34" s="16">
        <f t="shared" ref="D34:D65" si="1">COUNTIF(C:C,C34)</f>
        <v>1</v>
      </c>
      <c r="E34" s="17" t="str">
        <f>IFERROR(VLOOKUP(C34,CURSOS!B:L,9,FALSE),"KO")</f>
        <v>KO</v>
      </c>
      <c r="F34" s="17" t="str">
        <f>IFERROR(VLOOKUP(C34,CURSOS!B:L,10,FALSE),"KO")</f>
        <v>KO</v>
      </c>
      <c r="G34" s="17" t="str">
        <f>IFERROR(VLOOKUP(C34,CURSOS!B:L,11,FALSE),"KO")</f>
        <v>NO</v>
      </c>
      <c r="H34" s="17" t="str">
        <f>IFERROR(VLOOKUP(C34,CURSOS!B:L,2,FALSE),"KO")</f>
        <v>JUL23</v>
      </c>
      <c r="I34" s="4"/>
      <c r="J34" s="4" t="s">
        <v>243</v>
      </c>
      <c r="K34" s="4" t="s">
        <v>244</v>
      </c>
      <c r="L34" s="4" t="s">
        <v>245</v>
      </c>
      <c r="M34" s="4"/>
      <c r="N34" s="4" t="s">
        <v>246</v>
      </c>
      <c r="O34" s="18" t="s">
        <v>247</v>
      </c>
      <c r="P34" s="4"/>
      <c r="Q34" s="4"/>
      <c r="R34" s="4" t="s">
        <v>249</v>
      </c>
      <c r="S34" s="4" t="s">
        <v>248</v>
      </c>
      <c r="T34" s="4"/>
      <c r="U34" s="4"/>
      <c r="V34" s="4"/>
    </row>
    <row r="35" spans="1:22" ht="15.75" customHeight="1">
      <c r="A35" s="4">
        <v>35</v>
      </c>
      <c r="B35" s="4"/>
      <c r="C35" s="9" t="str">
        <f>quitarAcentos(UPPER(CONCATENATE(caracterDer(LEFT(SUBSTITUTE(K35," ",""),3),3,"*"),caracterDer(LEFT(SUBSTITUTE(J35," ",""),3),3,"*"))))</f>
        <v>ALIPAU</v>
      </c>
      <c r="D35" s="16">
        <f t="shared" si="1"/>
        <v>1</v>
      </c>
      <c r="E35" s="17" t="str">
        <f>IFERROR(VLOOKUP(C35,CURSOS!B:L,9,FALSE),"KO")</f>
        <v>KO</v>
      </c>
      <c r="F35" s="17" t="str">
        <f>IFERROR(VLOOKUP(C35,CURSOS!B:L,10,FALSE),"KO")</f>
        <v>KO</v>
      </c>
      <c r="G35" s="17" t="str">
        <f>IFERROR(VLOOKUP(C35,CURSOS!B:L,11,FALSE),"KO")</f>
        <v>NO</v>
      </c>
      <c r="H35" s="17" t="str">
        <f>IFERROR(VLOOKUP(C35,CURSOS!B:L,2,FALSE),"KO")</f>
        <v>JUL23</v>
      </c>
      <c r="I35" s="4"/>
      <c r="J35" s="4" t="s">
        <v>250</v>
      </c>
      <c r="K35" s="4" t="s">
        <v>251</v>
      </c>
      <c r="L35" s="4" t="s">
        <v>252</v>
      </c>
      <c r="M35" s="4"/>
      <c r="N35" s="4" t="s">
        <v>253</v>
      </c>
      <c r="O35" s="18" t="s">
        <v>254</v>
      </c>
      <c r="P35" s="4"/>
      <c r="Q35" s="4"/>
      <c r="R35" s="4" t="s">
        <v>256</v>
      </c>
      <c r="S35" s="4" t="s">
        <v>255</v>
      </c>
      <c r="T35" s="4"/>
      <c r="U35" s="4"/>
      <c r="V35" s="4"/>
    </row>
    <row r="36" spans="1:22" ht="15.75" customHeight="1">
      <c r="A36" s="4">
        <v>36</v>
      </c>
      <c r="B36" s="4"/>
      <c r="C36" s="9" t="str">
        <f>quitarAcentos(UPPER(CONCATENATE(caracterDer(LEFT(SUBSTITUTE(K36," ",""),3),3,"*"),caracterDer(LEFT(SUBSTITUTE(J36," ",""),3),3,"*"))))</f>
        <v>DOMANA</v>
      </c>
      <c r="D36" s="16">
        <f t="shared" si="1"/>
        <v>1</v>
      </c>
      <c r="E36" s="17" t="str">
        <f>IFERROR(VLOOKUP(C36,CURSOS!B:L,9,FALSE),"KO")</f>
        <v>OK</v>
      </c>
      <c r="F36" s="17" t="str">
        <f>IFERROR(VLOOKUP(C36,CURSOS!B:L,10,FALSE),"KO")</f>
        <v>KO</v>
      </c>
      <c r="G36" s="17" t="str">
        <f>IFERROR(VLOOKUP(C36,CURSOS!B:L,11,FALSE),"KO")</f>
        <v>NO</v>
      </c>
      <c r="H36" s="17" t="str">
        <f>IFERROR(VLOOKUP(C36,CURSOS!B:L,2,FALSE),"KO")</f>
        <v>JUL23</v>
      </c>
      <c r="I36" s="4"/>
      <c r="J36" s="4" t="s">
        <v>257</v>
      </c>
      <c r="K36" s="4" t="s">
        <v>258</v>
      </c>
      <c r="L36" s="4" t="s">
        <v>259</v>
      </c>
      <c r="M36" s="4"/>
      <c r="N36" s="4" t="s">
        <v>260</v>
      </c>
      <c r="O36" s="18" t="s">
        <v>261</v>
      </c>
      <c r="P36" s="4"/>
      <c r="Q36" s="4"/>
      <c r="R36" s="4" t="s">
        <v>262</v>
      </c>
      <c r="S36" s="4" t="s">
        <v>255</v>
      </c>
      <c r="T36" s="4"/>
      <c r="U36" s="4"/>
      <c r="V36" s="4"/>
    </row>
    <row r="37" spans="1:22" ht="15.75" customHeight="1">
      <c r="A37" s="4">
        <v>37</v>
      </c>
      <c r="B37" s="4"/>
      <c r="C37" s="9" t="str">
        <f>quitarAcentos(UPPER(CONCATENATE(caracterDer(LEFT(SUBSTITUTE(K37," ",""),3),3,"*"),caracterDer(LEFT(SUBSTITUTE(J37," ",""),3),3,"*"))))</f>
        <v>ARTJOR</v>
      </c>
      <c r="D37" s="16">
        <f t="shared" si="1"/>
        <v>1</v>
      </c>
      <c r="E37" s="17" t="str">
        <f>IFERROR(VLOOKUP(C37,CURSOS!B:L,9,FALSE),"KO")</f>
        <v>KO</v>
      </c>
      <c r="F37" s="17" t="str">
        <f>IFERROR(VLOOKUP(C37,CURSOS!B:L,10,FALSE),"KO")</f>
        <v>KO</v>
      </c>
      <c r="G37" s="17" t="str">
        <f>IFERROR(VLOOKUP(C37,CURSOS!B:L,11,FALSE),"KO")</f>
        <v>NO</v>
      </c>
      <c r="H37" s="17" t="str">
        <f>IFERROR(VLOOKUP(C37,CURSOS!B:L,2,FALSE),"KO")</f>
        <v>JUL23</v>
      </c>
      <c r="I37" s="4"/>
      <c r="J37" s="4" t="s">
        <v>263</v>
      </c>
      <c r="K37" s="4" t="s">
        <v>264</v>
      </c>
      <c r="L37" s="4" t="s">
        <v>265</v>
      </c>
      <c r="M37" s="4"/>
      <c r="N37" s="4" t="s">
        <v>266</v>
      </c>
      <c r="O37" s="18" t="s">
        <v>267</v>
      </c>
      <c r="P37" s="4"/>
      <c r="Q37" s="4"/>
      <c r="R37" s="8" t="s">
        <v>268</v>
      </c>
      <c r="S37" s="8" t="s">
        <v>248</v>
      </c>
      <c r="T37" s="4"/>
      <c r="U37" s="4"/>
      <c r="V37" s="4"/>
    </row>
    <row r="38" spans="1:22" ht="15.75" customHeight="1">
      <c r="A38" s="4">
        <v>38</v>
      </c>
      <c r="B38" s="4"/>
      <c r="C38" s="9" t="str">
        <f>quitarAcentos(UPPER(CONCATENATE(caracterDer(LEFT(SUBSTITUTE(K38," ",""),3),3,"*"),caracterDer(LEFT(SUBSTITUTE(J38," ",""),3),3,"*"))))</f>
        <v>GOMELI</v>
      </c>
      <c r="D38" s="16">
        <f t="shared" si="1"/>
        <v>1</v>
      </c>
      <c r="E38" s="17" t="str">
        <f>IFERROR(VLOOKUP(C38,CURSOS!B:L,9,FALSE),"KO")</f>
        <v>KO</v>
      </c>
      <c r="F38" s="17" t="str">
        <f>IFERROR(VLOOKUP(C38,CURSOS!B:L,10,FALSE),"KO")</f>
        <v>KO</v>
      </c>
      <c r="G38" s="17" t="str">
        <f>IFERROR(VLOOKUP(C38,CURSOS!B:L,11,FALSE),"KO")</f>
        <v>NO</v>
      </c>
      <c r="H38" s="17" t="str">
        <f>IFERROR(VLOOKUP(C38,CURSOS!B:L,2,FALSE),"KO")</f>
        <v>JUL23</v>
      </c>
      <c r="I38" s="4"/>
      <c r="J38" s="4" t="s">
        <v>269</v>
      </c>
      <c r="K38" s="4" t="s">
        <v>270</v>
      </c>
      <c r="L38" s="4" t="s">
        <v>271</v>
      </c>
      <c r="M38" s="26"/>
      <c r="N38" s="4" t="s">
        <v>272</v>
      </c>
      <c r="O38" s="18" t="s">
        <v>273</v>
      </c>
      <c r="P38" s="4"/>
      <c r="Q38" s="4"/>
      <c r="R38" s="4" t="s">
        <v>274</v>
      </c>
      <c r="S38" s="4" t="s">
        <v>255</v>
      </c>
      <c r="T38" s="4"/>
      <c r="U38" s="4"/>
      <c r="V38" s="4"/>
    </row>
    <row r="39" spans="1:22" ht="15.75" customHeight="1">
      <c r="A39" s="4">
        <v>39</v>
      </c>
      <c r="B39" s="4"/>
      <c r="C39" s="9" t="str">
        <f>quitarAcentos(UPPER(CONCATENATE(caracterDer(LEFT(SUBSTITUTE(K39," ",""),3),3,"*"),caracterDer(LEFT(SUBSTITUTE(J39," ",""),3),3,"*"))))</f>
        <v>RODMAR</v>
      </c>
      <c r="D39" s="16">
        <f t="shared" si="1"/>
        <v>1</v>
      </c>
      <c r="E39" s="17" t="str">
        <f>IFERROR(VLOOKUP(C39,CURSOS!B:L,9,FALSE),"KO")</f>
        <v>KO</v>
      </c>
      <c r="F39" s="17" t="str">
        <f>IFERROR(VLOOKUP(C39,CURSOS!B:L,10,FALSE),"KO")</f>
        <v>KO</v>
      </c>
      <c r="G39" s="17" t="str">
        <f>IFERROR(VLOOKUP(C39,CURSOS!B:L,11,FALSE),"KO")</f>
        <v>NO</v>
      </c>
      <c r="H39" s="17" t="str">
        <f>IFERROR(VLOOKUP(C39,CURSOS!B:L,2,FALSE),"KO")</f>
        <v>JUL23</v>
      </c>
      <c r="I39" s="4"/>
      <c r="J39" s="4" t="s">
        <v>275</v>
      </c>
      <c r="K39" s="4" t="s">
        <v>276</v>
      </c>
      <c r="L39" s="4" t="s">
        <v>115</v>
      </c>
      <c r="M39" s="19"/>
      <c r="N39" s="4" t="s">
        <v>277</v>
      </c>
      <c r="O39" s="18" t="s">
        <v>278</v>
      </c>
      <c r="P39" s="4"/>
      <c r="Q39" s="4"/>
      <c r="R39" s="4" t="s">
        <v>279</v>
      </c>
      <c r="S39" s="4" t="s">
        <v>255</v>
      </c>
      <c r="T39" s="4"/>
      <c r="U39" s="4"/>
      <c r="V39" s="4"/>
    </row>
    <row r="40" spans="1:22" ht="15.75" customHeight="1">
      <c r="A40" s="4">
        <v>40</v>
      </c>
      <c r="B40" s="4"/>
      <c r="C40" s="9" t="str">
        <f>quitarAcentos(UPPER(CONCATENATE(caracterDer(LEFT(SUBSTITUTE(K40," ",""),3),3,"*"),caracterDer(LEFT(SUBSTITUTE(J40," ",""),3),3,"*"))))</f>
        <v>LUCJES</v>
      </c>
      <c r="D40" s="16">
        <f t="shared" si="1"/>
        <v>1</v>
      </c>
      <c r="E40" s="17" t="str">
        <f>IFERROR(VLOOKUP(C40,CURSOS!B:L,9,FALSE),"KO")</f>
        <v>KO</v>
      </c>
      <c r="F40" s="17" t="str">
        <f>IFERROR(VLOOKUP(C40,CURSOS!B:L,10,FALSE),"KO")</f>
        <v>KO</v>
      </c>
      <c r="G40" s="17" t="str">
        <f>IFERROR(VLOOKUP(C40,CURSOS!B:L,11,FALSE),"KO")</f>
        <v>NO</v>
      </c>
      <c r="H40" s="17" t="str">
        <f>IFERROR(VLOOKUP(C40,CURSOS!B:L,2,FALSE),"KO")</f>
        <v>JUL23</v>
      </c>
      <c r="I40" s="4"/>
      <c r="J40" s="4" t="s">
        <v>280</v>
      </c>
      <c r="K40" s="4" t="s">
        <v>281</v>
      </c>
      <c r="L40" s="4" t="s">
        <v>282</v>
      </c>
      <c r="M40" s="26"/>
      <c r="N40" s="4" t="s">
        <v>283</v>
      </c>
      <c r="O40" s="18" t="s">
        <v>284</v>
      </c>
      <c r="P40" s="4"/>
      <c r="Q40" s="4"/>
      <c r="R40" s="4" t="s">
        <v>285</v>
      </c>
      <c r="S40" s="4" t="s">
        <v>255</v>
      </c>
      <c r="T40" s="4"/>
      <c r="U40" s="4"/>
      <c r="V40" s="4"/>
    </row>
    <row r="41" spans="1:22" ht="15.75" customHeight="1">
      <c r="A41" s="4">
        <v>41</v>
      </c>
      <c r="B41" s="4"/>
      <c r="C41" s="9" t="str">
        <f>quitarAcentos(UPPER(CONCATENATE(caracterDer(LEFT(SUBSTITUTE(K41," ",""),3),3,"*"),caracterDer(LEFT(SUBSTITUTE(J41," ",""),3),3,"*"))))</f>
        <v>FERFRA</v>
      </c>
      <c r="D41" s="16">
        <f t="shared" si="1"/>
        <v>1</v>
      </c>
      <c r="E41" s="17" t="str">
        <f>IFERROR(VLOOKUP(C41,CURSOS!B:L,9,FALSE),"KO")</f>
        <v>KO</v>
      </c>
      <c r="F41" s="17" t="str">
        <f>IFERROR(VLOOKUP(C41,CURSOS!B:L,10,FALSE),"KO")</f>
        <v>KO</v>
      </c>
      <c r="G41" s="17" t="str">
        <f>IFERROR(VLOOKUP(C41,CURSOS!B:L,11,FALSE),"KO")</f>
        <v>NO</v>
      </c>
      <c r="H41" s="17" t="str">
        <f>IFERROR(VLOOKUP(C41,CURSOS!B:L,2,FALSE),"KO")</f>
        <v>JUL23</v>
      </c>
      <c r="I41" s="65"/>
      <c r="J41" s="65" t="s">
        <v>286</v>
      </c>
      <c r="K41" s="65" t="s">
        <v>287</v>
      </c>
      <c r="L41" s="65" t="s">
        <v>263</v>
      </c>
      <c r="M41" s="66"/>
      <c r="N41" s="65" t="s">
        <v>288</v>
      </c>
      <c r="O41" s="18" t="s">
        <v>569</v>
      </c>
      <c r="P41" s="65"/>
      <c r="Q41" s="65"/>
      <c r="R41" s="65" t="s">
        <v>290</v>
      </c>
      <c r="S41" s="65" t="s">
        <v>289</v>
      </c>
      <c r="T41" s="65"/>
      <c r="U41" s="4"/>
      <c r="V41" s="4"/>
    </row>
    <row r="42" spans="1:22" ht="15.75" customHeight="1">
      <c r="A42" s="4">
        <v>42</v>
      </c>
      <c r="B42" s="4"/>
      <c r="C42" s="9" t="str">
        <f>quitarAcentos(UPPER(CONCATENATE(caracterDer(LEFT(SUBSTITUTE(K42," ",""),3),3,"*"),caracterDer(LEFT(SUBSTITUTE(J42," ",""),3),3,"*"))))</f>
        <v>MENINM</v>
      </c>
      <c r="D42" s="16">
        <f t="shared" si="1"/>
        <v>1</v>
      </c>
      <c r="E42" s="17" t="str">
        <f>IFERROR(VLOOKUP(C42,CURSOS!B:L,9,FALSE),"KO")</f>
        <v>OK</v>
      </c>
      <c r="F42" s="17" t="str">
        <f>IFERROR(VLOOKUP(C42,CURSOS!B:L,10,FALSE),"KO")</f>
        <v>OK</v>
      </c>
      <c r="G42" s="17" t="str">
        <f>IFERROR(VLOOKUP(C42,CURSOS!B:L,11,FALSE),"KO")</f>
        <v>NO</v>
      </c>
      <c r="H42" s="17" t="str">
        <f>IFERROR(VLOOKUP(C42,CURSOS!B:L,2,FALSE),"KO")</f>
        <v>NOV23</v>
      </c>
      <c r="I42" s="4"/>
      <c r="J42" s="4" t="s">
        <v>525</v>
      </c>
      <c r="K42" s="4" t="s">
        <v>526</v>
      </c>
      <c r="L42" s="4" t="s">
        <v>527</v>
      </c>
      <c r="M42" s="4"/>
      <c r="N42" s="4" t="s">
        <v>536</v>
      </c>
      <c r="O42" s="18" t="s">
        <v>597</v>
      </c>
      <c r="P42" s="4"/>
      <c r="Q42" s="4"/>
      <c r="R42" s="4" t="s">
        <v>539</v>
      </c>
      <c r="S42" s="4" t="s">
        <v>443</v>
      </c>
      <c r="T42" s="4"/>
      <c r="U42" s="4"/>
      <c r="V42" s="4"/>
    </row>
    <row r="43" spans="1:22" ht="15.75" customHeight="1" thickBot="1">
      <c r="A43" s="4">
        <v>43</v>
      </c>
      <c r="B43" s="87">
        <v>45359</v>
      </c>
      <c r="C43" s="9" t="str">
        <f>quitarAcentos(UPPER(CONCATENATE(caracterDer(LEFT(SUBSTITUTE(K43," ",""),3),3,"*"),caracterDer(LEFT(SUBSTITUTE(J43," ",""),3),3,"*"))))</f>
        <v>MARJUA</v>
      </c>
      <c r="D43" s="16">
        <f t="shared" si="1"/>
        <v>1</v>
      </c>
      <c r="E43" s="17" t="str">
        <f>IFERROR(VLOOKUP(C43,CURSOS!B:L,9,FALSE),"KO")</f>
        <v>OK</v>
      </c>
      <c r="F43" s="17" t="str">
        <f>IFERROR(VLOOKUP(C43,CURSOS!B:L,10,FALSE),"KO")</f>
        <v>OK</v>
      </c>
      <c r="G43" s="17" t="str">
        <f>IFERROR(VLOOKUP(C43,CURSOS!B:L,11,FALSE),"KO")</f>
        <v>SI</v>
      </c>
      <c r="H43" s="17" t="str">
        <f>IFERROR(VLOOKUP(C43,CURSOS!B:L,2,FALSE),"KO")</f>
        <v>NOV23</v>
      </c>
      <c r="I43" s="4" t="s">
        <v>533</v>
      </c>
      <c r="J43" s="4" t="s">
        <v>545</v>
      </c>
      <c r="K43" s="4" t="s">
        <v>546</v>
      </c>
      <c r="L43" s="4" t="s">
        <v>547</v>
      </c>
      <c r="M43" s="87">
        <v>25152</v>
      </c>
      <c r="N43" s="4" t="s">
        <v>537</v>
      </c>
      <c r="O43" s="18" t="s">
        <v>598</v>
      </c>
      <c r="P43" s="4" t="s">
        <v>84</v>
      </c>
      <c r="Q43" s="4" t="s">
        <v>85</v>
      </c>
      <c r="R43" s="4" t="s">
        <v>640</v>
      </c>
      <c r="S43" s="4" t="s">
        <v>86</v>
      </c>
      <c r="T43" s="4"/>
      <c r="U43" s="4"/>
      <c r="V43" s="4"/>
    </row>
    <row r="44" spans="1:22" ht="15.75" customHeight="1" thickBot="1">
      <c r="A44" s="4">
        <v>44</v>
      </c>
      <c r="B44" s="85">
        <v>45341</v>
      </c>
      <c r="C44" s="64" t="s">
        <v>538</v>
      </c>
      <c r="D44" s="16">
        <f t="shared" si="1"/>
        <v>1</v>
      </c>
      <c r="E44" s="17" t="str">
        <f>IFERROR(VLOOKUP(C44,CURSOS!B:L,9,FALSE),"KO")</f>
        <v>OK</v>
      </c>
      <c r="F44" s="17" t="str">
        <f>IFERROR(VLOOKUP(C44,CURSOS!B:L,10,FALSE),"KO")</f>
        <v>OK</v>
      </c>
      <c r="G44" s="17" t="str">
        <f>IFERROR(VLOOKUP(C44,CURSOS!B:L,11,FALSE),"KO")</f>
        <v>SI</v>
      </c>
      <c r="H44" s="17" t="str">
        <f>IFERROR(VLOOKUP(C44,CURSOS!B:L,2,FALSE),"KO")</f>
        <v>NOV23</v>
      </c>
      <c r="I44" s="4" t="s">
        <v>535</v>
      </c>
      <c r="J44" s="4" t="s">
        <v>531</v>
      </c>
      <c r="K44" s="4" t="s">
        <v>204</v>
      </c>
      <c r="L44" s="4" t="s">
        <v>532</v>
      </c>
      <c r="M44" s="87">
        <v>24881</v>
      </c>
      <c r="N44" s="77" t="s">
        <v>619</v>
      </c>
      <c r="O44" s="18" t="s">
        <v>599</v>
      </c>
      <c r="P44" s="95" t="s">
        <v>188</v>
      </c>
      <c r="Q44" s="11" t="s">
        <v>620</v>
      </c>
      <c r="R44" s="69" t="s">
        <v>621</v>
      </c>
      <c r="S44" s="4" t="s">
        <v>86</v>
      </c>
      <c r="T44" s="4"/>
      <c r="U44" s="4"/>
      <c r="V44" s="4"/>
    </row>
    <row r="45" spans="1:22" ht="15.75" customHeight="1" thickBot="1">
      <c r="A45" s="4">
        <v>45</v>
      </c>
      <c r="B45" s="85">
        <v>45341</v>
      </c>
      <c r="C45" s="9" t="str">
        <f>quitarAcentos(UPPER(CONCATENATE(caracterDer(LEFT(SUBSTITUTE(K45," ",""),3),3,"*"),caracterDer(LEFT(SUBSTITUTE(J45," ",""),3),3,"*"))))</f>
        <v>MCKRON</v>
      </c>
      <c r="D45" s="16">
        <f t="shared" si="1"/>
        <v>1</v>
      </c>
      <c r="E45" s="17" t="str">
        <f>IFERROR(VLOOKUP(C45,CURSOS!B:L,9,FALSE),"KO")</f>
        <v>OK</v>
      </c>
      <c r="F45" s="17" t="str">
        <f>IFERROR(VLOOKUP(C45,CURSOS!B:L,10,FALSE),"KO")</f>
        <v>OK</v>
      </c>
      <c r="G45" s="17" t="str">
        <f>IFERROR(VLOOKUP(C45,CURSOS!B:L,11,FALSE),"KO")</f>
        <v>SI</v>
      </c>
      <c r="H45" s="17" t="str">
        <f>IFERROR(VLOOKUP(C45,CURSOS!B:L,2,FALSE),"KO")</f>
        <v>NOV23</v>
      </c>
      <c r="I45" s="4" t="s">
        <v>552</v>
      </c>
      <c r="J45" s="4" t="s">
        <v>548</v>
      </c>
      <c r="K45" s="4" t="s">
        <v>549</v>
      </c>
      <c r="L45" s="4"/>
      <c r="M45" s="85">
        <v>18642</v>
      </c>
      <c r="N45" s="69" t="s">
        <v>551</v>
      </c>
      <c r="O45" s="80" t="s">
        <v>600</v>
      </c>
      <c r="P45" s="4" t="s">
        <v>84</v>
      </c>
      <c r="Q45" s="4" t="s">
        <v>439</v>
      </c>
      <c r="R45" s="69" t="s">
        <v>624</v>
      </c>
      <c r="S45" s="69" t="s">
        <v>443</v>
      </c>
      <c r="T45" s="4"/>
      <c r="U45" s="4"/>
      <c r="V45" s="4"/>
    </row>
    <row r="46" spans="1:22" ht="15.75" customHeight="1" thickBot="1">
      <c r="A46" s="4">
        <v>46</v>
      </c>
      <c r="B46" s="85">
        <v>45341</v>
      </c>
      <c r="C46" s="9" t="str">
        <f>quitarAcentos(UPPER(CONCATENATE(caracterDer(LEFT(SUBSTITUTE(K46," ",""),3),3,"*"),caracterDer(LEFT(SUBSTITUTE(J46," ",""),3),3,"*"))))</f>
        <v>PERBJO</v>
      </c>
      <c r="D46" s="16">
        <f t="shared" si="1"/>
        <v>1</v>
      </c>
      <c r="E46" s="17" t="str">
        <f>IFERROR(VLOOKUP(C46,CURSOS!B:L,9,FALSE),"KO")</f>
        <v>OK</v>
      </c>
      <c r="F46" s="17" t="str">
        <f>IFERROR(VLOOKUP(C46,CURSOS!B:L,10,FALSE),"KO")</f>
        <v>OK</v>
      </c>
      <c r="G46" s="17" t="str">
        <f>IFERROR(VLOOKUP(C46,CURSOS!B:L,11,FALSE),"KO")</f>
        <v>SI</v>
      </c>
      <c r="H46" s="17" t="str">
        <f>IFERROR(VLOOKUP(C46,CURSOS!B:L,2,FALSE),"KO")</f>
        <v>NOV23</v>
      </c>
      <c r="I46" s="4" t="s">
        <v>556</v>
      </c>
      <c r="J46" s="11" t="s">
        <v>553</v>
      </c>
      <c r="K46" s="11" t="s">
        <v>554</v>
      </c>
      <c r="L46" s="69" t="s">
        <v>623</v>
      </c>
      <c r="M46" s="85">
        <v>20416</v>
      </c>
      <c r="N46" s="69" t="s">
        <v>555</v>
      </c>
      <c r="O46" s="80" t="s">
        <v>601</v>
      </c>
      <c r="P46" s="11" t="s">
        <v>84</v>
      </c>
      <c r="Q46" s="11" t="s">
        <v>439</v>
      </c>
      <c r="R46" s="69" t="s">
        <v>624</v>
      </c>
      <c r="S46" s="69" t="s">
        <v>443</v>
      </c>
      <c r="T46" s="4"/>
      <c r="U46" s="4"/>
      <c r="V46" s="4"/>
    </row>
    <row r="47" spans="1:22" ht="15.75" customHeight="1" thickBot="1">
      <c r="A47" s="4">
        <v>47</v>
      </c>
      <c r="B47" s="87">
        <v>45293</v>
      </c>
      <c r="C47" s="9" t="str">
        <f>quitarAcentos(UPPER(CONCATENATE(caracterDer(LEFT(SUBSTITUTE(K47," ",""),3),3,"*"),caracterDer(LEFT(SUBSTITUTE(J47," ",""),3),3,"*"))))</f>
        <v>ALOGUS</v>
      </c>
      <c r="D47" s="16">
        <f t="shared" si="1"/>
        <v>1</v>
      </c>
      <c r="E47" s="17" t="str">
        <f>IFERROR(VLOOKUP(C47,CURSOS!B:L,9,FALSE),"KO")</f>
        <v>OK</v>
      </c>
      <c r="F47" s="17" t="str">
        <f>IFERROR(VLOOKUP(C47,CURSOS!B:L,10,FALSE),"KO")</f>
        <v>OK</v>
      </c>
      <c r="G47" s="17" t="str">
        <f>IFERROR(VLOOKUP(C47,CURSOS!B:L,11,FALSE),"KO")</f>
        <v>SI</v>
      </c>
      <c r="H47" s="17" t="str">
        <f>IFERROR(VLOOKUP(C47,CURSOS!B:L,2,FALSE),"KO")</f>
        <v>NOV23</v>
      </c>
      <c r="I47" s="4" t="s">
        <v>559</v>
      </c>
      <c r="J47" s="4" t="s">
        <v>557</v>
      </c>
      <c r="K47" s="4" t="s">
        <v>282</v>
      </c>
      <c r="L47" s="4" t="s">
        <v>80</v>
      </c>
      <c r="M47" s="87">
        <v>22258</v>
      </c>
      <c r="N47" s="4" t="s">
        <v>558</v>
      </c>
      <c r="O47" s="18" t="s">
        <v>602</v>
      </c>
      <c r="P47" s="4" t="s">
        <v>84</v>
      </c>
      <c r="Q47" s="4" t="s">
        <v>613</v>
      </c>
      <c r="R47" s="4" t="s">
        <v>614</v>
      </c>
      <c r="S47" s="69" t="s">
        <v>443</v>
      </c>
      <c r="T47" s="4"/>
      <c r="U47" s="4"/>
      <c r="V47" s="4"/>
    </row>
    <row r="48" spans="1:22" ht="15.75" customHeight="1" thickBot="1">
      <c r="A48" s="4">
        <v>48</v>
      </c>
      <c r="B48" s="4"/>
      <c r="C48" s="9" t="str">
        <f>quitarAcentos(UPPER(CONCATENATE(caracterDer(LEFT(SUBSTITUTE(K48," ",""),3),3,"*"),caracterDer(LEFT(SUBSTITUTE(J48," ",""),3),3,"*"))))</f>
        <v>VERHEL</v>
      </c>
      <c r="D48" s="16">
        <f t="shared" si="1"/>
        <v>1</v>
      </c>
      <c r="E48" s="17" t="str">
        <f>IFERROR(VLOOKUP(C48,CURSOS!B:L,9,FALSE),"KO")</f>
        <v>OK</v>
      </c>
      <c r="F48" s="17" t="str">
        <f>IFERROR(VLOOKUP(C48,CURSOS!B:L,10,FALSE),"KO")</f>
        <v>KO</v>
      </c>
      <c r="G48" s="17" t="str">
        <f>IFERROR(VLOOKUP(C48,CURSOS!B:L,11,FALSE),"KO")</f>
        <v>NO</v>
      </c>
      <c r="H48" s="17" t="str">
        <f>IFERROR(VLOOKUP(C48,CURSOS!B:L,2,FALSE),"KO")</f>
        <v>NOV23</v>
      </c>
      <c r="I48" s="4"/>
      <c r="J48" s="4" t="s">
        <v>560</v>
      </c>
      <c r="K48" s="4" t="s">
        <v>561</v>
      </c>
      <c r="L48" s="4" t="s">
        <v>562</v>
      </c>
      <c r="M48" s="4"/>
      <c r="N48" s="11" t="s">
        <v>566</v>
      </c>
      <c r="O48" s="22" t="s">
        <v>568</v>
      </c>
      <c r="P48" s="4"/>
      <c r="Q48" s="4"/>
      <c r="R48" s="11" t="s">
        <v>570</v>
      </c>
      <c r="S48" s="11" t="s">
        <v>289</v>
      </c>
      <c r="T48" s="4"/>
      <c r="U48" s="4"/>
      <c r="V48" s="4"/>
    </row>
    <row r="49" spans="1:22" ht="15.75" customHeight="1" thickBot="1">
      <c r="A49" s="4">
        <v>49</v>
      </c>
      <c r="B49" s="87">
        <v>45340</v>
      </c>
      <c r="C49" s="9" t="str">
        <f>quitarAcentos(UPPER(CONCATENATE(caracterDer(LEFT(SUBSTITUTE(K49," ",""),3),3,"*"),caracterDer(LEFT(SUBSTITUTE(J49," ",""),3),3,"*"))))</f>
        <v>PERDOM</v>
      </c>
      <c r="D49" s="16">
        <f t="shared" si="1"/>
        <v>1</v>
      </c>
      <c r="E49" s="17" t="str">
        <f>IFERROR(VLOOKUP(C49,CURSOS!B:L,9,FALSE),"KO")</f>
        <v>OK</v>
      </c>
      <c r="F49" s="17" t="str">
        <f>IFERROR(VLOOKUP(C49,CURSOS!B:L,10,FALSE),"KO")</f>
        <v>OK</v>
      </c>
      <c r="G49" s="17" t="str">
        <f>IFERROR(VLOOKUP(C49,CURSOS!B:L,11,FALSE),"KO")</f>
        <v>SI</v>
      </c>
      <c r="H49" s="17" t="str">
        <f>IFERROR(VLOOKUP(C49,CURSOS!B:L,2,FALSE),"KO")</f>
        <v>NOV23</v>
      </c>
      <c r="I49" s="4" t="s">
        <v>572</v>
      </c>
      <c r="J49" s="4" t="s">
        <v>563</v>
      </c>
      <c r="K49" s="4" t="s">
        <v>564</v>
      </c>
      <c r="L49" s="4" t="s">
        <v>565</v>
      </c>
      <c r="M49" s="87">
        <v>33455</v>
      </c>
      <c r="N49" s="11" t="s">
        <v>567</v>
      </c>
      <c r="O49" s="22" t="s">
        <v>603</v>
      </c>
      <c r="P49" s="11" t="s">
        <v>84</v>
      </c>
      <c r="Q49" s="11" t="s">
        <v>629</v>
      </c>
      <c r="R49" s="11" t="s">
        <v>571</v>
      </c>
      <c r="S49" s="11" t="s">
        <v>86</v>
      </c>
      <c r="T49" s="4"/>
      <c r="U49" s="4"/>
      <c r="V49" s="4"/>
    </row>
    <row r="50" spans="1:22" ht="15.75" customHeight="1">
      <c r="A50" s="4">
        <v>50</v>
      </c>
      <c r="B50" s="4"/>
      <c r="C50" s="9" t="str">
        <f>quitarAcentos(UPPER(CONCATENATE(caracterDer(LEFT(SUBSTITUTE(K50," ",""),3),3,"*"),caracterDer(LEFT(SUBSTITUTE(J50," ",""),3),3,"*"))))</f>
        <v>MOSANT</v>
      </c>
      <c r="D50" s="16">
        <f t="shared" si="1"/>
        <v>1</v>
      </c>
      <c r="E50" s="17" t="str">
        <f>IFERROR(VLOOKUP(C50,CURSOS!B:L,9,FALSE),"KO")</f>
        <v>OK</v>
      </c>
      <c r="F50" s="17" t="str">
        <f>IFERROR(VLOOKUP(C50,CURSOS!B:L,10,FALSE),"KO")</f>
        <v>KO</v>
      </c>
      <c r="G50" s="17" t="str">
        <f>IFERROR(VLOOKUP(C50,CURSOS!B:L,11,FALSE),"KO")</f>
        <v>NO</v>
      </c>
      <c r="H50" s="17" t="str">
        <f>IFERROR(VLOOKUP(C50,CURSOS!B:L,2,FALSE),"KO")</f>
        <v>NOV23</v>
      </c>
      <c r="I50" s="4"/>
      <c r="J50" s="4" t="s">
        <v>573</v>
      </c>
      <c r="K50" s="4" t="s">
        <v>574</v>
      </c>
      <c r="L50" s="4" t="s">
        <v>119</v>
      </c>
      <c r="M50" s="4"/>
      <c r="N50" s="4" t="s">
        <v>576</v>
      </c>
      <c r="O50" s="18" t="s">
        <v>604</v>
      </c>
      <c r="P50" s="4"/>
      <c r="Q50" s="4"/>
      <c r="R50" s="4" t="s">
        <v>577</v>
      </c>
      <c r="S50" s="4" t="s">
        <v>443</v>
      </c>
      <c r="T50" s="4"/>
      <c r="U50" s="4"/>
      <c r="V50" s="4"/>
    </row>
    <row r="51" spans="1:22" ht="15.75" customHeight="1">
      <c r="A51" s="4">
        <v>51</v>
      </c>
      <c r="B51" s="4"/>
      <c r="C51" s="9" t="str">
        <f>quitarAcentos(UPPER(CONCATENATE(caracterDer(LEFT(SUBSTITUTE(K51," ",""),3),3,"*"),caracterDer(LEFT(SUBSTITUTE(J51," ",""),3),3,"*"))))</f>
        <v>VALFRA</v>
      </c>
      <c r="D51" s="16">
        <f t="shared" si="1"/>
        <v>1</v>
      </c>
      <c r="E51" s="17" t="str">
        <f>IFERROR(VLOOKUP(C51,CURSOS!B:L,9,FALSE),"KO")</f>
        <v>KO</v>
      </c>
      <c r="F51" s="17" t="str">
        <f>IFERROR(VLOOKUP(C51,CURSOS!B:L,10,FALSE),"KO")</f>
        <v>KO</v>
      </c>
      <c r="G51" s="17" t="str">
        <f>IFERROR(VLOOKUP(C51,CURSOS!B:L,11,FALSE),"KO")</f>
        <v>NO</v>
      </c>
      <c r="H51" s="17" t="str">
        <f>IFERROR(VLOOKUP(C51,CURSOS!B:L,2,FALSE),"KO")</f>
        <v>NOV23</v>
      </c>
      <c r="I51" s="4"/>
      <c r="J51" s="4" t="s">
        <v>79</v>
      </c>
      <c r="K51" s="4" t="s">
        <v>578</v>
      </c>
      <c r="L51" s="4" t="s">
        <v>109</v>
      </c>
      <c r="M51" s="4"/>
      <c r="N51" s="4" t="s">
        <v>579</v>
      </c>
      <c r="O51" s="18" t="s">
        <v>605</v>
      </c>
      <c r="P51" s="4"/>
      <c r="Q51" s="4"/>
      <c r="R51" s="4" t="s">
        <v>581</v>
      </c>
      <c r="S51" s="4" t="s">
        <v>454</v>
      </c>
      <c r="T51" s="4"/>
      <c r="U51" s="4"/>
      <c r="V51" s="4"/>
    </row>
    <row r="52" spans="1:22" ht="15.75" customHeight="1">
      <c r="A52" s="4">
        <v>52</v>
      </c>
      <c r="B52" s="4"/>
      <c r="C52" s="9" t="str">
        <f>quitarAcentos(UPPER(CONCATENATE(caracterDer(LEFT(SUBSTITUTE(K52," ",""),3),3,"*"),caracterDer(LEFT(SUBSTITUTE(J52," ",""),3),3,"*"))))</f>
        <v>SANCAR</v>
      </c>
      <c r="D52" s="16">
        <f t="shared" si="1"/>
        <v>1</v>
      </c>
      <c r="E52" s="17" t="str">
        <f>IFERROR(VLOOKUP(C52,CURSOS!B:L,9,FALSE),"KO")</f>
        <v>OK</v>
      </c>
      <c r="F52" s="17" t="str">
        <f>IFERROR(VLOOKUP(C52,CURSOS!B:L,10,FALSE),"KO")</f>
        <v>OK</v>
      </c>
      <c r="G52" s="17" t="str">
        <f>IFERROR(VLOOKUP(C52,CURSOS!B:L,11,FALSE),"KO")</f>
        <v>NO</v>
      </c>
      <c r="H52" s="17" t="str">
        <f>IFERROR(VLOOKUP(C52,CURSOS!B:L,2,FALSE),"KO")</f>
        <v>NOV23</v>
      </c>
      <c r="I52" s="4"/>
      <c r="J52" s="4" t="s">
        <v>208</v>
      </c>
      <c r="K52" s="4" t="s">
        <v>582</v>
      </c>
      <c r="L52" s="4" t="s">
        <v>583</v>
      </c>
      <c r="M52" s="4"/>
      <c r="N52" s="4" t="s">
        <v>584</v>
      </c>
      <c r="O52" s="18" t="s">
        <v>606</v>
      </c>
      <c r="P52" s="4"/>
      <c r="Q52" s="4"/>
      <c r="R52" s="4" t="s">
        <v>585</v>
      </c>
      <c r="S52" s="4" t="s">
        <v>443</v>
      </c>
      <c r="T52" s="4"/>
      <c r="U52" s="4"/>
      <c r="V52" s="4"/>
    </row>
    <row r="53" spans="1:22" ht="15.75" customHeight="1">
      <c r="A53" s="4">
        <v>53</v>
      </c>
      <c r="B53" s="4"/>
      <c r="C53" s="9" t="str">
        <f>quitarAcentos(UPPER(CONCATENATE(caracterDer(LEFT(SUBSTITUTE(K53," ",""),3),3,"*"),caracterDer(LEFT(SUBSTITUTE(J53," ",""),3),3,"*"))))</f>
        <v>******</v>
      </c>
      <c r="D53" s="16">
        <f t="shared" si="1"/>
        <v>97</v>
      </c>
      <c r="E53" s="17" t="str">
        <f>IFERROR(VLOOKUP(C53,CURSOS!B:L,9,FALSE),"KO")</f>
        <v>TEÓRICO</v>
      </c>
      <c r="F53" s="17" t="str">
        <f>IFERROR(VLOOKUP(C53,CURSOS!B:L,10,FALSE),"KO")</f>
        <v>PRÁCTICO</v>
      </c>
      <c r="G53" s="17" t="str">
        <f>IFERROR(VLOOKUP(C53,CURSOS!B:L,11,FALSE),"KO")</f>
        <v>CERTIFICADO</v>
      </c>
      <c r="H53" s="17" t="str">
        <f>IFERROR(VLOOKUP(C53,CURSOS!B:L,2,FALSE),"KO")</f>
        <v>ID CURSO</v>
      </c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 ht="15.75" customHeight="1">
      <c r="A54" s="4">
        <v>54</v>
      </c>
      <c r="B54" s="4"/>
      <c r="C54" s="9" t="str">
        <f>quitarAcentos(UPPER(CONCATENATE(caracterDer(LEFT(SUBSTITUTE(K54," ",""),3),3,"*"),caracterDer(LEFT(SUBSTITUTE(J54," ",""),3),3,"*"))))</f>
        <v>******</v>
      </c>
      <c r="D54" s="16">
        <f t="shared" si="1"/>
        <v>97</v>
      </c>
      <c r="E54" s="17" t="str">
        <f>IFERROR(VLOOKUP(C54,CURSOS!B:L,9,FALSE),"KO")</f>
        <v>TEÓRICO</v>
      </c>
      <c r="F54" s="17" t="str">
        <f>IFERROR(VLOOKUP(C54,CURSOS!B:L,10,FALSE),"KO")</f>
        <v>PRÁCTICO</v>
      </c>
      <c r="G54" s="17" t="str">
        <f>IFERROR(VLOOKUP(C54,CURSOS!B:L,11,FALSE),"KO")</f>
        <v>CERTIFICADO</v>
      </c>
      <c r="H54" s="17" t="str">
        <f>IFERROR(VLOOKUP(C54,CURSOS!B:L,2,FALSE),"KO")</f>
        <v>ID CURSO</v>
      </c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 ht="15.75" customHeight="1">
      <c r="A55" s="4">
        <v>55</v>
      </c>
      <c r="B55" s="4"/>
      <c r="C55" s="9" t="str">
        <f>quitarAcentos(UPPER(CONCATENATE(caracterDer(LEFT(SUBSTITUTE(K55," ",""),3),3,"*"),caracterDer(LEFT(SUBSTITUTE(J55," ",""),3),3,"*"))))</f>
        <v>******</v>
      </c>
      <c r="D55" s="16">
        <f t="shared" si="1"/>
        <v>97</v>
      </c>
      <c r="E55" s="17" t="str">
        <f>IFERROR(VLOOKUP(C55,CURSOS!B:L,9,FALSE),"KO")</f>
        <v>TEÓRICO</v>
      </c>
      <c r="F55" s="17" t="str">
        <f>IFERROR(VLOOKUP(C55,CURSOS!B:L,10,FALSE),"KO")</f>
        <v>PRÁCTICO</v>
      </c>
      <c r="G55" s="17" t="str">
        <f>IFERROR(VLOOKUP(C55,CURSOS!B:L,11,FALSE),"KO")</f>
        <v>CERTIFICADO</v>
      </c>
      <c r="H55" s="17" t="str">
        <f>IFERROR(VLOOKUP(C55,CURSOS!B:L,2,FALSE),"KO")</f>
        <v>ID CURSO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 ht="15.75" customHeight="1">
      <c r="A56" s="4">
        <v>56</v>
      </c>
      <c r="B56" s="4"/>
      <c r="C56" s="9" t="str">
        <f>quitarAcentos(UPPER(CONCATENATE(caracterDer(LEFT(SUBSTITUTE(K56," ",""),3),3,"*"),caracterDer(LEFT(SUBSTITUTE(J56," ",""),3),3,"*"))))</f>
        <v>******</v>
      </c>
      <c r="D56" s="16">
        <f t="shared" si="1"/>
        <v>97</v>
      </c>
      <c r="E56" s="17" t="str">
        <f>IFERROR(VLOOKUP(C56,CURSOS!B:L,9,FALSE),"KO")</f>
        <v>TEÓRICO</v>
      </c>
      <c r="F56" s="17" t="str">
        <f>IFERROR(VLOOKUP(C56,CURSOS!B:L,10,FALSE),"KO")</f>
        <v>PRÁCTICO</v>
      </c>
      <c r="G56" s="17" t="str">
        <f>IFERROR(VLOOKUP(C56,CURSOS!B:L,11,FALSE),"KO")</f>
        <v>CERTIFICADO</v>
      </c>
      <c r="H56" s="17" t="str">
        <f>IFERROR(VLOOKUP(C56,CURSOS!B:L,2,FALSE),"KO")</f>
        <v>ID CURSO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 ht="15.75" customHeight="1">
      <c r="A57" s="4">
        <v>57</v>
      </c>
      <c r="B57" s="4"/>
      <c r="C57" s="9" t="str">
        <f>quitarAcentos(UPPER(CONCATENATE(caracterDer(LEFT(SUBSTITUTE(K57," ",""),3),3,"*"),caracterDer(LEFT(SUBSTITUTE(J57," ",""),3),3,"*"))))</f>
        <v>******</v>
      </c>
      <c r="D57" s="16">
        <f t="shared" si="1"/>
        <v>97</v>
      </c>
      <c r="E57" s="17" t="str">
        <f>IFERROR(VLOOKUP(C57,CURSOS!B:L,9,FALSE),"KO")</f>
        <v>TEÓRICO</v>
      </c>
      <c r="F57" s="17" t="str">
        <f>IFERROR(VLOOKUP(C57,CURSOS!B:L,10,FALSE),"KO")</f>
        <v>PRÁCTICO</v>
      </c>
      <c r="G57" s="17" t="str">
        <f>IFERROR(VLOOKUP(C57,CURSOS!B:L,11,FALSE),"KO")</f>
        <v>CERTIFICADO</v>
      </c>
      <c r="H57" s="17" t="str">
        <f>IFERROR(VLOOKUP(C57,CURSOS!B:L,2,FALSE),"KO")</f>
        <v>ID CURSO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 ht="15.75" customHeight="1">
      <c r="A58" s="4">
        <v>58</v>
      </c>
      <c r="B58" s="4"/>
      <c r="C58" s="9" t="str">
        <f>quitarAcentos(UPPER(CONCATENATE(caracterDer(LEFT(SUBSTITUTE(K58," ",""),3),3,"*"),caracterDer(LEFT(SUBSTITUTE(J58," ",""),3),3,"*"))))</f>
        <v>******</v>
      </c>
      <c r="D58" s="16">
        <f t="shared" si="1"/>
        <v>97</v>
      </c>
      <c r="E58" s="17" t="str">
        <f>IFERROR(VLOOKUP(C58,CURSOS!B:L,9,FALSE),"KO")</f>
        <v>TEÓRICO</v>
      </c>
      <c r="F58" s="17" t="str">
        <f>IFERROR(VLOOKUP(C58,CURSOS!B:L,10,FALSE),"KO")</f>
        <v>PRÁCTICO</v>
      </c>
      <c r="G58" s="17" t="str">
        <f>IFERROR(VLOOKUP(C58,CURSOS!B:L,11,FALSE),"KO")</f>
        <v>CERTIFICADO</v>
      </c>
      <c r="H58" s="17" t="str">
        <f>IFERROR(VLOOKUP(C58,CURSOS!B:L,2,FALSE),"KO")</f>
        <v>ID CURSO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 ht="15.75" customHeight="1">
      <c r="A59" s="4">
        <v>59</v>
      </c>
      <c r="B59" s="4"/>
      <c r="C59" s="9" t="str">
        <f>quitarAcentos(UPPER(CONCATENATE(caracterDer(LEFT(SUBSTITUTE(K59," ",""),3),3,"*"),caracterDer(LEFT(SUBSTITUTE(J59," ",""),3),3,"*"))))</f>
        <v>******</v>
      </c>
      <c r="D59" s="16">
        <f t="shared" si="1"/>
        <v>97</v>
      </c>
      <c r="E59" s="17" t="str">
        <f>IFERROR(VLOOKUP(C59,CURSOS!B:L,9,FALSE),"KO")</f>
        <v>TEÓRICO</v>
      </c>
      <c r="F59" s="17" t="str">
        <f>IFERROR(VLOOKUP(C59,CURSOS!B:L,10,FALSE),"KO")</f>
        <v>PRÁCTICO</v>
      </c>
      <c r="G59" s="17" t="str">
        <f>IFERROR(VLOOKUP(C59,CURSOS!B:L,11,FALSE),"KO")</f>
        <v>CERTIFICADO</v>
      </c>
      <c r="H59" s="17" t="str">
        <f>IFERROR(VLOOKUP(C59,CURSOS!B:L,2,FALSE),"KO")</f>
        <v>ID CURSO</v>
      </c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 ht="15.75" customHeight="1">
      <c r="A60" s="4">
        <v>60</v>
      </c>
      <c r="B60" s="4"/>
      <c r="C60" s="9" t="str">
        <f>quitarAcentos(UPPER(CONCATENATE(caracterDer(LEFT(SUBSTITUTE(K60," ",""),3),3,"*"),caracterDer(LEFT(SUBSTITUTE(J60," ",""),3),3,"*"))))</f>
        <v>******</v>
      </c>
      <c r="D60" s="16">
        <f t="shared" si="1"/>
        <v>97</v>
      </c>
      <c r="E60" s="17" t="str">
        <f>IFERROR(VLOOKUP(C60,CURSOS!B:L,9,FALSE),"KO")</f>
        <v>TEÓRICO</v>
      </c>
      <c r="F60" s="17" t="str">
        <f>IFERROR(VLOOKUP(C60,CURSOS!B:L,10,FALSE),"KO")</f>
        <v>PRÁCTICO</v>
      </c>
      <c r="G60" s="17" t="str">
        <f>IFERROR(VLOOKUP(C60,CURSOS!B:L,11,FALSE),"KO")</f>
        <v>CERTIFICADO</v>
      </c>
      <c r="H60" s="17" t="str">
        <f>IFERROR(VLOOKUP(C60,CURSOS!B:L,2,FALSE),"KO")</f>
        <v>ID CURSO</v>
      </c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 ht="15.75" customHeight="1">
      <c r="A61" s="4">
        <v>61</v>
      </c>
      <c r="B61" s="4"/>
      <c r="C61" s="9" t="str">
        <f>quitarAcentos(UPPER(CONCATENATE(caracterDer(LEFT(SUBSTITUTE(K61," ",""),3),3,"*"),caracterDer(LEFT(SUBSTITUTE(J61," ",""),3),3,"*"))))</f>
        <v>******</v>
      </c>
      <c r="D61" s="16">
        <f t="shared" si="1"/>
        <v>97</v>
      </c>
      <c r="E61" s="17" t="str">
        <f>IFERROR(VLOOKUP(C61,CURSOS!B:L,9,FALSE),"KO")</f>
        <v>TEÓRICO</v>
      </c>
      <c r="F61" s="17" t="str">
        <f>IFERROR(VLOOKUP(C61,CURSOS!B:L,10,FALSE),"KO")</f>
        <v>PRÁCTICO</v>
      </c>
      <c r="G61" s="17" t="str">
        <f>IFERROR(VLOOKUP(C61,CURSOS!B:L,11,FALSE),"KO")</f>
        <v>CERTIFICADO</v>
      </c>
      <c r="H61" s="17" t="str">
        <f>IFERROR(VLOOKUP(C61,CURSOS!B:L,2,FALSE),"KO")</f>
        <v>ID CURSO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 ht="15.75" customHeight="1">
      <c r="A62" s="4">
        <v>62</v>
      </c>
      <c r="B62" s="4"/>
      <c r="C62" s="9" t="str">
        <f>quitarAcentos(UPPER(CONCATENATE(caracterDer(LEFT(SUBSTITUTE(K62," ",""),3),3,"*"),caracterDer(LEFT(SUBSTITUTE(J62," ",""),3),3,"*"))))</f>
        <v>******</v>
      </c>
      <c r="D62" s="16">
        <f t="shared" si="1"/>
        <v>97</v>
      </c>
      <c r="E62" s="17" t="str">
        <f>IFERROR(VLOOKUP(C62,CURSOS!B:L,9,FALSE),"KO")</f>
        <v>TEÓRICO</v>
      </c>
      <c r="F62" s="17" t="str">
        <f>IFERROR(VLOOKUP(C62,CURSOS!B:L,10,FALSE),"KO")</f>
        <v>PRÁCTICO</v>
      </c>
      <c r="G62" s="17" t="str">
        <f>IFERROR(VLOOKUP(C62,CURSOS!B:L,11,FALSE),"KO")</f>
        <v>CERTIFICADO</v>
      </c>
      <c r="H62" s="17" t="str">
        <f>IFERROR(VLOOKUP(C62,CURSOS!B:L,2,FALSE),"KO")</f>
        <v>ID CURSO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 ht="15.75" customHeight="1">
      <c r="A63" s="4">
        <v>63</v>
      </c>
      <c r="B63" s="4"/>
      <c r="C63" s="9" t="str">
        <f>quitarAcentos(UPPER(CONCATENATE(caracterDer(LEFT(SUBSTITUTE(K63," ",""),3),3,"*"),caracterDer(LEFT(SUBSTITUTE(J63," ",""),3),3,"*"))))</f>
        <v>******</v>
      </c>
      <c r="D63" s="16">
        <f t="shared" si="1"/>
        <v>97</v>
      </c>
      <c r="E63" s="17" t="str">
        <f>IFERROR(VLOOKUP(C63,CURSOS!B:L,9,FALSE),"KO")</f>
        <v>TEÓRICO</v>
      </c>
      <c r="F63" s="17" t="str">
        <f>IFERROR(VLOOKUP(C63,CURSOS!B:L,10,FALSE),"KO")</f>
        <v>PRÁCTICO</v>
      </c>
      <c r="G63" s="17" t="str">
        <f>IFERROR(VLOOKUP(C63,CURSOS!B:L,11,FALSE),"KO")</f>
        <v>CERTIFICADO</v>
      </c>
      <c r="H63" s="17" t="str">
        <f>IFERROR(VLOOKUP(C63,CURSOS!B:L,2,FALSE),"KO")</f>
        <v>ID CURSO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ht="15.75" customHeight="1">
      <c r="A64" s="4">
        <v>64</v>
      </c>
      <c r="B64" s="4"/>
      <c r="C64" s="9" t="str">
        <f>quitarAcentos(UPPER(CONCATENATE(caracterDer(LEFT(SUBSTITUTE(K64," ",""),3),3,"*"),caracterDer(LEFT(SUBSTITUTE(J64," ",""),3),3,"*"))))</f>
        <v>******</v>
      </c>
      <c r="D64" s="16">
        <f t="shared" si="1"/>
        <v>97</v>
      </c>
      <c r="E64" s="17" t="str">
        <f>IFERROR(VLOOKUP(C64,CURSOS!B:L,9,FALSE),"KO")</f>
        <v>TEÓRICO</v>
      </c>
      <c r="F64" s="17" t="str">
        <f>IFERROR(VLOOKUP(C64,CURSOS!B:L,10,FALSE),"KO")</f>
        <v>PRÁCTICO</v>
      </c>
      <c r="G64" s="17" t="str">
        <f>IFERROR(VLOOKUP(C64,CURSOS!B:L,11,FALSE),"KO")</f>
        <v>CERTIFICADO</v>
      </c>
      <c r="H64" s="17" t="str">
        <f>IFERROR(VLOOKUP(C64,CURSOS!B:L,2,FALSE),"KO")</f>
        <v>ID CURSO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ht="15.75" customHeight="1">
      <c r="A65" s="4">
        <v>65</v>
      </c>
      <c r="B65" s="4"/>
      <c r="C65" s="9" t="str">
        <f>quitarAcentos(UPPER(CONCATENATE(caracterDer(LEFT(SUBSTITUTE(K65," ",""),3),3,"*"),caracterDer(LEFT(SUBSTITUTE(J65," ",""),3),3,"*"))))</f>
        <v>******</v>
      </c>
      <c r="D65" s="16">
        <f t="shared" si="1"/>
        <v>97</v>
      </c>
      <c r="E65" s="17" t="str">
        <f>IFERROR(VLOOKUP(C65,CURSOS!B:L,9,FALSE),"KO")</f>
        <v>TEÓRICO</v>
      </c>
      <c r="F65" s="17" t="str">
        <f>IFERROR(VLOOKUP(C65,CURSOS!B:L,10,FALSE),"KO")</f>
        <v>PRÁCTICO</v>
      </c>
      <c r="G65" s="17" t="str">
        <f>IFERROR(VLOOKUP(C65,CURSOS!B:L,11,FALSE),"KO")</f>
        <v>CERTIFICADO</v>
      </c>
      <c r="H65" s="17" t="str">
        <f>IFERROR(VLOOKUP(C65,CURSOS!B:L,2,FALSE),"KO")</f>
        <v>ID CURSO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ht="15.75" customHeight="1">
      <c r="A66" s="4">
        <v>66</v>
      </c>
      <c r="B66" s="4"/>
      <c r="C66" s="9" t="str">
        <f>quitarAcentos(UPPER(CONCATENATE(caracterDer(LEFT(SUBSTITUTE(K66," ",""),3),3,"*"),caracterDer(LEFT(SUBSTITUTE(J66," ",""),3),3,"*"))))</f>
        <v>******</v>
      </c>
      <c r="D66" s="16">
        <f t="shared" ref="D66:D97" si="2">COUNTIF(C:C,C66)</f>
        <v>97</v>
      </c>
      <c r="E66" s="17" t="str">
        <f>IFERROR(VLOOKUP(C66,CURSOS!B:L,9,FALSE),"KO")</f>
        <v>TEÓRICO</v>
      </c>
      <c r="F66" s="17" t="str">
        <f>IFERROR(VLOOKUP(C66,CURSOS!B:L,10,FALSE),"KO")</f>
        <v>PRÁCTICO</v>
      </c>
      <c r="G66" s="17" t="str">
        <f>IFERROR(VLOOKUP(C66,CURSOS!B:L,11,FALSE),"KO")</f>
        <v>CERTIFICADO</v>
      </c>
      <c r="H66" s="17" t="str">
        <f>IFERROR(VLOOKUP(C66,CURSOS!B:L,2,FALSE),"KO")</f>
        <v>ID CURSO</v>
      </c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ht="15.75" customHeight="1">
      <c r="A67" s="4">
        <v>67</v>
      </c>
      <c r="B67" s="4"/>
      <c r="C67" s="9" t="str">
        <f>quitarAcentos(UPPER(CONCATENATE(caracterDer(LEFT(SUBSTITUTE(K67," ",""),3),3,"*"),caracterDer(LEFT(SUBSTITUTE(J67," ",""),3),3,"*"))))</f>
        <v>******</v>
      </c>
      <c r="D67" s="16">
        <f t="shared" si="2"/>
        <v>97</v>
      </c>
      <c r="E67" s="17" t="str">
        <f>IFERROR(VLOOKUP(C67,CURSOS!B:L,9,FALSE),"KO")</f>
        <v>TEÓRICO</v>
      </c>
      <c r="F67" s="17" t="str">
        <f>IFERROR(VLOOKUP(C67,CURSOS!B:L,10,FALSE),"KO")</f>
        <v>PRÁCTICO</v>
      </c>
      <c r="G67" s="17" t="str">
        <f>IFERROR(VLOOKUP(C67,CURSOS!B:L,11,FALSE),"KO")</f>
        <v>CERTIFICADO</v>
      </c>
      <c r="H67" s="17" t="str">
        <f>IFERROR(VLOOKUP(C67,CURSOS!B:L,2,FALSE),"KO")</f>
        <v>ID CURSO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ht="15.75" customHeight="1">
      <c r="A68" s="4">
        <v>68</v>
      </c>
      <c r="B68" s="4"/>
      <c r="C68" s="9" t="str">
        <f>quitarAcentos(UPPER(CONCATENATE(caracterDer(LEFT(SUBSTITUTE(K68," ",""),3),3,"*"),caracterDer(LEFT(SUBSTITUTE(J68," ",""),3),3,"*"))))</f>
        <v>******</v>
      </c>
      <c r="D68" s="16">
        <f t="shared" si="2"/>
        <v>97</v>
      </c>
      <c r="E68" s="17" t="str">
        <f>IFERROR(VLOOKUP(C68,CURSOS!B:L,9,FALSE),"KO")</f>
        <v>TEÓRICO</v>
      </c>
      <c r="F68" s="17" t="str">
        <f>IFERROR(VLOOKUP(C68,CURSOS!B:L,10,FALSE),"KO")</f>
        <v>PRÁCTICO</v>
      </c>
      <c r="G68" s="17" t="str">
        <f>IFERROR(VLOOKUP(C68,CURSOS!B:L,11,FALSE),"KO")</f>
        <v>CERTIFICADO</v>
      </c>
      <c r="H68" s="17" t="str">
        <f>IFERROR(VLOOKUP(C68,CURSOS!B:L,2,FALSE),"KO")</f>
        <v>ID CURSO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ht="15.75" customHeight="1">
      <c r="A69" s="4">
        <v>69</v>
      </c>
      <c r="B69" s="4"/>
      <c r="C69" s="9" t="str">
        <f>quitarAcentos(UPPER(CONCATENATE(caracterDer(LEFT(SUBSTITUTE(K69," ",""),3),3,"*"),caracterDer(LEFT(SUBSTITUTE(J69," ",""),3),3,"*"))))</f>
        <v>******</v>
      </c>
      <c r="D69" s="16">
        <f t="shared" si="2"/>
        <v>97</v>
      </c>
      <c r="E69" s="17" t="str">
        <f>IFERROR(VLOOKUP(C69,CURSOS!B:L,9,FALSE),"KO")</f>
        <v>TEÓRICO</v>
      </c>
      <c r="F69" s="17" t="str">
        <f>IFERROR(VLOOKUP(C69,CURSOS!B:L,10,FALSE),"KO")</f>
        <v>PRÁCTICO</v>
      </c>
      <c r="G69" s="17" t="str">
        <f>IFERROR(VLOOKUP(C69,CURSOS!B:L,11,FALSE),"KO")</f>
        <v>CERTIFICADO</v>
      </c>
      <c r="H69" s="17" t="str">
        <f>IFERROR(VLOOKUP(C69,CURSOS!B:L,2,FALSE),"KO")</f>
        <v>ID CURSO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ht="15.75" customHeight="1">
      <c r="A70" s="4">
        <v>70</v>
      </c>
      <c r="B70" s="4"/>
      <c r="C70" s="9" t="str">
        <f>quitarAcentos(UPPER(CONCATENATE(caracterDer(LEFT(SUBSTITUTE(K70," ",""),3),3,"*"),caracterDer(LEFT(SUBSTITUTE(J70," ",""),3),3,"*"))))</f>
        <v>******</v>
      </c>
      <c r="D70" s="16">
        <f t="shared" si="2"/>
        <v>97</v>
      </c>
      <c r="E70" s="17" t="str">
        <f>IFERROR(VLOOKUP(C70,CURSOS!B:L,9,FALSE),"KO")</f>
        <v>TEÓRICO</v>
      </c>
      <c r="F70" s="17" t="str">
        <f>IFERROR(VLOOKUP(C70,CURSOS!B:L,10,FALSE),"KO")</f>
        <v>PRÁCTICO</v>
      </c>
      <c r="G70" s="17" t="str">
        <f>IFERROR(VLOOKUP(C70,CURSOS!B:L,11,FALSE),"KO")</f>
        <v>CERTIFICADO</v>
      </c>
      <c r="H70" s="17" t="str">
        <f>IFERROR(VLOOKUP(C70,CURSOS!B:L,2,FALSE),"KO")</f>
        <v>ID CURSO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ht="15.75" customHeight="1">
      <c r="A71" s="4">
        <v>71</v>
      </c>
      <c r="B71" s="4"/>
      <c r="C71" s="9" t="str">
        <f>quitarAcentos(UPPER(CONCATENATE(caracterDer(LEFT(SUBSTITUTE(K71," ",""),3),3,"*"),caracterDer(LEFT(SUBSTITUTE(J71," ",""),3),3,"*"))))</f>
        <v>******</v>
      </c>
      <c r="D71" s="16">
        <f t="shared" si="2"/>
        <v>97</v>
      </c>
      <c r="E71" s="17" t="str">
        <f>IFERROR(VLOOKUP(C71,CURSOS!B:L,9,FALSE),"KO")</f>
        <v>TEÓRICO</v>
      </c>
      <c r="F71" s="17" t="str">
        <f>IFERROR(VLOOKUP(C71,CURSOS!B:L,10,FALSE),"KO")</f>
        <v>PRÁCTICO</v>
      </c>
      <c r="G71" s="17" t="str">
        <f>IFERROR(VLOOKUP(C71,CURSOS!B:L,11,FALSE),"KO")</f>
        <v>CERTIFICADO</v>
      </c>
      <c r="H71" s="17" t="str">
        <f>IFERROR(VLOOKUP(C71,CURSOS!B:L,2,FALSE),"KO")</f>
        <v>ID CURSO</v>
      </c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ht="15.75" customHeight="1">
      <c r="A72" s="4">
        <v>72</v>
      </c>
      <c r="B72" s="4"/>
      <c r="C72" s="9" t="str">
        <f>quitarAcentos(UPPER(CONCATENATE(caracterDer(LEFT(SUBSTITUTE(K72," ",""),3),3,"*"),caracterDer(LEFT(SUBSTITUTE(J72," ",""),3),3,"*"))))</f>
        <v>******</v>
      </c>
      <c r="D72" s="16">
        <f t="shared" si="2"/>
        <v>97</v>
      </c>
      <c r="E72" s="17" t="str">
        <f>IFERROR(VLOOKUP(C72,CURSOS!B:L,9,FALSE),"KO")</f>
        <v>TEÓRICO</v>
      </c>
      <c r="F72" s="17" t="str">
        <f>IFERROR(VLOOKUP(C72,CURSOS!B:L,10,FALSE),"KO")</f>
        <v>PRÁCTICO</v>
      </c>
      <c r="G72" s="17" t="str">
        <f>IFERROR(VLOOKUP(C72,CURSOS!B:L,11,FALSE),"KO")</f>
        <v>CERTIFICADO</v>
      </c>
      <c r="H72" s="17" t="str">
        <f>IFERROR(VLOOKUP(C72,CURSOS!B:L,2,FALSE),"KO")</f>
        <v>ID CURSO</v>
      </c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 ht="15.75" customHeight="1">
      <c r="A73" s="4">
        <v>73</v>
      </c>
      <c r="B73" s="4"/>
      <c r="C73" s="9" t="str">
        <f>quitarAcentos(UPPER(CONCATENATE(caracterDer(LEFT(SUBSTITUTE(K73," ",""),3),3,"*"),caracterDer(LEFT(SUBSTITUTE(J73," ",""),3),3,"*"))))</f>
        <v>******</v>
      </c>
      <c r="D73" s="16">
        <f t="shared" si="2"/>
        <v>97</v>
      </c>
      <c r="E73" s="17" t="str">
        <f>IFERROR(VLOOKUP(C73,CURSOS!B:L,9,FALSE),"KO")</f>
        <v>TEÓRICO</v>
      </c>
      <c r="F73" s="17" t="str">
        <f>IFERROR(VLOOKUP(C73,CURSOS!B:L,10,FALSE),"KO")</f>
        <v>PRÁCTICO</v>
      </c>
      <c r="G73" s="17" t="str">
        <f>IFERROR(VLOOKUP(C73,CURSOS!B:L,11,FALSE),"KO")</f>
        <v>CERTIFICADO</v>
      </c>
      <c r="H73" s="17" t="str">
        <f>IFERROR(VLOOKUP(C73,CURSOS!B:L,2,FALSE),"KO")</f>
        <v>ID CURSO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 ht="15.75" customHeight="1">
      <c r="A74" s="4">
        <v>74</v>
      </c>
      <c r="B74" s="4"/>
      <c r="C74" s="9" t="str">
        <f>quitarAcentos(UPPER(CONCATENATE(caracterDer(LEFT(SUBSTITUTE(K74," ",""),3),3,"*"),caracterDer(LEFT(SUBSTITUTE(J74," ",""),3),3,"*"))))</f>
        <v>******</v>
      </c>
      <c r="D74" s="16">
        <f t="shared" si="2"/>
        <v>97</v>
      </c>
      <c r="E74" s="17" t="str">
        <f>IFERROR(VLOOKUP(C74,CURSOS!B:L,9,FALSE),"KO")</f>
        <v>TEÓRICO</v>
      </c>
      <c r="F74" s="17" t="str">
        <f>IFERROR(VLOOKUP(C74,CURSOS!B:L,10,FALSE),"KO")</f>
        <v>PRÁCTICO</v>
      </c>
      <c r="G74" s="17" t="str">
        <f>IFERROR(VLOOKUP(C74,CURSOS!B:L,11,FALSE),"KO")</f>
        <v>CERTIFICADO</v>
      </c>
      <c r="H74" s="17" t="str">
        <f>IFERROR(VLOOKUP(C74,CURSOS!B:L,2,FALSE),"KO")</f>
        <v>ID CURSO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 ht="15.75" customHeight="1">
      <c r="A75" s="4">
        <v>75</v>
      </c>
      <c r="B75" s="4"/>
      <c r="C75" s="9" t="str">
        <f>quitarAcentos(UPPER(CONCATENATE(caracterDer(LEFT(SUBSTITUTE(K75," ",""),3),3,"*"),caracterDer(LEFT(SUBSTITUTE(J75," ",""),3),3,"*"))))</f>
        <v>******</v>
      </c>
      <c r="D75" s="16">
        <f t="shared" si="2"/>
        <v>97</v>
      </c>
      <c r="E75" s="17" t="str">
        <f>IFERROR(VLOOKUP(C75,CURSOS!B:L,9,FALSE),"KO")</f>
        <v>TEÓRICO</v>
      </c>
      <c r="F75" s="17" t="str">
        <f>IFERROR(VLOOKUP(C75,CURSOS!B:L,10,FALSE),"KO")</f>
        <v>PRÁCTICO</v>
      </c>
      <c r="G75" s="17" t="str">
        <f>IFERROR(VLOOKUP(C75,CURSOS!B:L,11,FALSE),"KO")</f>
        <v>CERTIFICADO</v>
      </c>
      <c r="H75" s="17" t="str">
        <f>IFERROR(VLOOKUP(C75,CURSOS!B:L,2,FALSE),"KO")</f>
        <v>ID CURSO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 ht="15.75" customHeight="1">
      <c r="A76" s="4">
        <v>76</v>
      </c>
      <c r="B76" s="4"/>
      <c r="C76" s="9" t="str">
        <f>quitarAcentos(UPPER(CONCATENATE(caracterDer(LEFT(SUBSTITUTE(K76," ",""),3),3,"*"),caracterDer(LEFT(SUBSTITUTE(J76," ",""),3),3,"*"))))</f>
        <v>******</v>
      </c>
      <c r="D76" s="16">
        <f t="shared" si="2"/>
        <v>97</v>
      </c>
      <c r="E76" s="17" t="str">
        <f>IFERROR(VLOOKUP(C76,CURSOS!B:L,9,FALSE),"KO")</f>
        <v>TEÓRICO</v>
      </c>
      <c r="F76" s="17" t="str">
        <f>IFERROR(VLOOKUP(C76,CURSOS!B:L,10,FALSE),"KO")</f>
        <v>PRÁCTICO</v>
      </c>
      <c r="G76" s="17" t="str">
        <f>IFERROR(VLOOKUP(C76,CURSOS!B:L,11,FALSE),"KO")</f>
        <v>CERTIFICADO</v>
      </c>
      <c r="H76" s="17" t="str">
        <f>IFERROR(VLOOKUP(C76,CURSOS!B:L,2,FALSE),"KO")</f>
        <v>ID CURSO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 ht="15.75" customHeight="1">
      <c r="A77" s="4">
        <v>77</v>
      </c>
      <c r="B77" s="4"/>
      <c r="C77" s="9" t="str">
        <f>quitarAcentos(UPPER(CONCATENATE(caracterDer(LEFT(SUBSTITUTE(K77," ",""),3),3,"*"),caracterDer(LEFT(SUBSTITUTE(J77," ",""),3),3,"*"))))</f>
        <v>******</v>
      </c>
      <c r="D77" s="16">
        <f t="shared" si="2"/>
        <v>97</v>
      </c>
      <c r="E77" s="17" t="str">
        <f>IFERROR(VLOOKUP(C77,CURSOS!B:L,9,FALSE),"KO")</f>
        <v>TEÓRICO</v>
      </c>
      <c r="F77" s="17" t="str">
        <f>IFERROR(VLOOKUP(C77,CURSOS!B:L,10,FALSE),"KO")</f>
        <v>PRÁCTICO</v>
      </c>
      <c r="G77" s="17" t="str">
        <f>IFERROR(VLOOKUP(C77,CURSOS!B:L,11,FALSE),"KO")</f>
        <v>CERTIFICADO</v>
      </c>
      <c r="H77" s="17" t="str">
        <f>IFERROR(VLOOKUP(C77,CURSOS!B:L,2,FALSE),"KO")</f>
        <v>ID CURSO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 ht="15.75" customHeight="1">
      <c r="A78" s="4">
        <v>78</v>
      </c>
      <c r="B78" s="4"/>
      <c r="C78" s="9" t="str">
        <f>quitarAcentos(UPPER(CONCATENATE(caracterDer(LEFT(SUBSTITUTE(K78," ",""),3),3,"*"),caracterDer(LEFT(SUBSTITUTE(J78," ",""),3),3,"*"))))</f>
        <v>******</v>
      </c>
      <c r="D78" s="16">
        <f t="shared" si="2"/>
        <v>97</v>
      </c>
      <c r="E78" s="17" t="str">
        <f>IFERROR(VLOOKUP(C78,CURSOS!B:L,9,FALSE),"KO")</f>
        <v>TEÓRICO</v>
      </c>
      <c r="F78" s="17" t="str">
        <f>IFERROR(VLOOKUP(C78,CURSOS!B:L,10,FALSE),"KO")</f>
        <v>PRÁCTICO</v>
      </c>
      <c r="G78" s="17" t="str">
        <f>IFERROR(VLOOKUP(C78,CURSOS!B:L,11,FALSE),"KO")</f>
        <v>CERTIFICADO</v>
      </c>
      <c r="H78" s="17" t="str">
        <f>IFERROR(VLOOKUP(C78,CURSOS!B:L,2,FALSE),"KO")</f>
        <v>ID CURSO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1:22" ht="15.75" customHeight="1">
      <c r="A79" s="4">
        <v>79</v>
      </c>
      <c r="B79" s="4"/>
      <c r="C79" s="9" t="str">
        <f>quitarAcentos(UPPER(CONCATENATE(caracterDer(LEFT(SUBSTITUTE(K79," ",""),3),3,"*"),caracterDer(LEFT(SUBSTITUTE(J79," ",""),3),3,"*"))))</f>
        <v>******</v>
      </c>
      <c r="D79" s="16">
        <f t="shared" si="2"/>
        <v>97</v>
      </c>
      <c r="E79" s="17" t="str">
        <f>IFERROR(VLOOKUP(C79,CURSOS!B:L,9,FALSE),"KO")</f>
        <v>TEÓRICO</v>
      </c>
      <c r="F79" s="17" t="str">
        <f>IFERROR(VLOOKUP(C79,CURSOS!B:L,10,FALSE),"KO")</f>
        <v>PRÁCTICO</v>
      </c>
      <c r="G79" s="17" t="str">
        <f>IFERROR(VLOOKUP(C79,CURSOS!B:L,11,FALSE),"KO")</f>
        <v>CERTIFICADO</v>
      </c>
      <c r="H79" s="17" t="str">
        <f>IFERROR(VLOOKUP(C79,CURSOS!B:L,2,FALSE),"KO")</f>
        <v>ID CURSO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1:22" ht="15.75" customHeight="1">
      <c r="A80" s="4">
        <v>80</v>
      </c>
      <c r="B80" s="4"/>
      <c r="C80" s="9" t="str">
        <f>quitarAcentos(UPPER(CONCATENATE(caracterDer(LEFT(SUBSTITUTE(K80," ",""),3),3,"*"),caracterDer(LEFT(SUBSTITUTE(J80," ",""),3),3,"*"))))</f>
        <v>******</v>
      </c>
      <c r="D80" s="16">
        <f t="shared" si="2"/>
        <v>97</v>
      </c>
      <c r="E80" s="17" t="str">
        <f>IFERROR(VLOOKUP(C80,CURSOS!B:L,9,FALSE),"KO")</f>
        <v>TEÓRICO</v>
      </c>
      <c r="F80" s="17" t="str">
        <f>IFERROR(VLOOKUP(C80,CURSOS!B:L,10,FALSE),"KO")</f>
        <v>PRÁCTICO</v>
      </c>
      <c r="G80" s="17" t="str">
        <f>IFERROR(VLOOKUP(C80,CURSOS!B:L,11,FALSE),"KO")</f>
        <v>CERTIFICADO</v>
      </c>
      <c r="H80" s="17" t="str">
        <f>IFERROR(VLOOKUP(C80,CURSOS!B:L,2,FALSE),"KO")</f>
        <v>ID CURSO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 ht="15.75" customHeight="1">
      <c r="A81" s="4">
        <v>81</v>
      </c>
      <c r="B81" s="4"/>
      <c r="C81" s="9" t="str">
        <f>quitarAcentos(UPPER(CONCATENATE(caracterDer(LEFT(SUBSTITUTE(K81," ",""),3),3,"*"),caracterDer(LEFT(SUBSTITUTE(J81," ",""),3),3,"*"))))</f>
        <v>******</v>
      </c>
      <c r="D81" s="16">
        <f t="shared" si="2"/>
        <v>97</v>
      </c>
      <c r="E81" s="17" t="str">
        <f>IFERROR(VLOOKUP(C81,CURSOS!B:L,9,FALSE),"KO")</f>
        <v>TEÓRICO</v>
      </c>
      <c r="F81" s="17" t="str">
        <f>IFERROR(VLOOKUP(C81,CURSOS!B:L,10,FALSE),"KO")</f>
        <v>PRÁCTICO</v>
      </c>
      <c r="G81" s="17" t="str">
        <f>IFERROR(VLOOKUP(C81,CURSOS!B:L,11,FALSE),"KO")</f>
        <v>CERTIFICADO</v>
      </c>
      <c r="H81" s="17" t="str">
        <f>IFERROR(VLOOKUP(C81,CURSOS!B:L,2,FALSE),"KO")</f>
        <v>ID CURSO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 ht="15.75" customHeight="1">
      <c r="A82" s="4">
        <v>82</v>
      </c>
      <c r="B82" s="4"/>
      <c r="C82" s="9" t="str">
        <f>quitarAcentos(UPPER(CONCATENATE(caracterDer(LEFT(SUBSTITUTE(K82," ",""),3),3,"*"),caracterDer(LEFT(SUBSTITUTE(J82," ",""),3),3,"*"))))</f>
        <v>******</v>
      </c>
      <c r="D82" s="16">
        <f t="shared" si="2"/>
        <v>97</v>
      </c>
      <c r="E82" s="17" t="str">
        <f>IFERROR(VLOOKUP(C82,CURSOS!B:L,9,FALSE),"KO")</f>
        <v>TEÓRICO</v>
      </c>
      <c r="F82" s="17" t="str">
        <f>IFERROR(VLOOKUP(C82,CURSOS!B:L,10,FALSE),"KO")</f>
        <v>PRÁCTICO</v>
      </c>
      <c r="G82" s="17" t="str">
        <f>IFERROR(VLOOKUP(C82,CURSOS!B:L,11,FALSE),"KO")</f>
        <v>CERTIFICADO</v>
      </c>
      <c r="H82" s="17" t="str">
        <f>IFERROR(VLOOKUP(C82,CURSOS!B:L,2,FALSE),"KO")</f>
        <v>ID CURSO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 ht="15.75" customHeight="1">
      <c r="A83" s="4">
        <v>83</v>
      </c>
      <c r="B83" s="4"/>
      <c r="C83" s="9" t="str">
        <f>quitarAcentos(UPPER(CONCATENATE(caracterDer(LEFT(SUBSTITUTE(K83," ",""),3),3,"*"),caracterDer(LEFT(SUBSTITUTE(J83," ",""),3),3,"*"))))</f>
        <v>******</v>
      </c>
      <c r="D83" s="16">
        <f t="shared" si="2"/>
        <v>97</v>
      </c>
      <c r="E83" s="17" t="str">
        <f>IFERROR(VLOOKUP(C83,CURSOS!B:L,9,FALSE),"KO")</f>
        <v>TEÓRICO</v>
      </c>
      <c r="F83" s="17" t="str">
        <f>IFERROR(VLOOKUP(C83,CURSOS!B:L,10,FALSE),"KO")</f>
        <v>PRÁCTICO</v>
      </c>
      <c r="G83" s="17" t="str">
        <f>IFERROR(VLOOKUP(C83,CURSOS!B:L,11,FALSE),"KO")</f>
        <v>CERTIFICADO</v>
      </c>
      <c r="H83" s="17" t="str">
        <f>IFERROR(VLOOKUP(C83,CURSOS!B:L,2,FALSE),"KO")</f>
        <v>ID CURSO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 ht="15.75" customHeight="1">
      <c r="A84" s="4">
        <v>84</v>
      </c>
      <c r="B84" s="4"/>
      <c r="C84" s="9" t="str">
        <f>quitarAcentos(UPPER(CONCATENATE(caracterDer(LEFT(SUBSTITUTE(K84," ",""),3),3,"*"),caracterDer(LEFT(SUBSTITUTE(J84," ",""),3),3,"*"))))</f>
        <v>******</v>
      </c>
      <c r="D84" s="16">
        <f t="shared" si="2"/>
        <v>97</v>
      </c>
      <c r="E84" s="17" t="str">
        <f>IFERROR(VLOOKUP(C84,CURSOS!B:L,9,FALSE),"KO")</f>
        <v>TEÓRICO</v>
      </c>
      <c r="F84" s="17" t="str">
        <f>IFERROR(VLOOKUP(C84,CURSOS!B:L,10,FALSE),"KO")</f>
        <v>PRÁCTICO</v>
      </c>
      <c r="G84" s="17" t="str">
        <f>IFERROR(VLOOKUP(C84,CURSOS!B:L,11,FALSE),"KO")</f>
        <v>CERTIFICADO</v>
      </c>
      <c r="H84" s="17" t="str">
        <f>IFERROR(VLOOKUP(C84,CURSOS!B:L,2,FALSE),"KO")</f>
        <v>ID CURSO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 ht="15.75" customHeight="1">
      <c r="A85" s="4">
        <v>85</v>
      </c>
      <c r="B85" s="4"/>
      <c r="C85" s="9" t="str">
        <f>quitarAcentos(UPPER(CONCATENATE(caracterDer(LEFT(SUBSTITUTE(K85," ",""),3),3,"*"),caracterDer(LEFT(SUBSTITUTE(J85," ",""),3),3,"*"))))</f>
        <v>******</v>
      </c>
      <c r="D85" s="16">
        <f t="shared" si="2"/>
        <v>97</v>
      </c>
      <c r="E85" s="17" t="str">
        <f>IFERROR(VLOOKUP(C85,CURSOS!B:L,9,FALSE),"KO")</f>
        <v>TEÓRICO</v>
      </c>
      <c r="F85" s="17" t="str">
        <f>IFERROR(VLOOKUP(C85,CURSOS!B:L,10,FALSE),"KO")</f>
        <v>PRÁCTICO</v>
      </c>
      <c r="G85" s="17" t="str">
        <f>IFERROR(VLOOKUP(C85,CURSOS!B:L,11,FALSE),"KO")</f>
        <v>CERTIFICADO</v>
      </c>
      <c r="H85" s="17" t="str">
        <f>IFERROR(VLOOKUP(C85,CURSOS!B:L,2,FALSE),"KO")</f>
        <v>ID CURSO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 ht="15.75" customHeight="1">
      <c r="A86" s="4">
        <v>86</v>
      </c>
      <c r="B86" s="4"/>
      <c r="C86" s="9" t="str">
        <f>quitarAcentos(UPPER(CONCATENATE(caracterDer(LEFT(SUBSTITUTE(K86," ",""),3),3,"*"),caracterDer(LEFT(SUBSTITUTE(J86," ",""),3),3,"*"))))</f>
        <v>******</v>
      </c>
      <c r="D86" s="16">
        <f t="shared" si="2"/>
        <v>97</v>
      </c>
      <c r="E86" s="17" t="str">
        <f>IFERROR(VLOOKUP(C86,CURSOS!B:L,9,FALSE),"KO")</f>
        <v>TEÓRICO</v>
      </c>
      <c r="F86" s="17" t="str">
        <f>IFERROR(VLOOKUP(C86,CURSOS!B:L,10,FALSE),"KO")</f>
        <v>PRÁCTICO</v>
      </c>
      <c r="G86" s="17" t="str">
        <f>IFERROR(VLOOKUP(C86,CURSOS!B:L,11,FALSE),"KO")</f>
        <v>CERTIFICADO</v>
      </c>
      <c r="H86" s="17" t="str">
        <f>IFERROR(VLOOKUP(C86,CURSOS!B:L,2,FALSE),"KO")</f>
        <v>ID CURSO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 ht="15.75" customHeight="1">
      <c r="A87" s="4">
        <v>87</v>
      </c>
      <c r="B87" s="4"/>
      <c r="C87" s="9" t="str">
        <f>quitarAcentos(UPPER(CONCATENATE(caracterDer(LEFT(SUBSTITUTE(K87," ",""),3),3,"*"),caracterDer(LEFT(SUBSTITUTE(J87," ",""),3),3,"*"))))</f>
        <v>******</v>
      </c>
      <c r="D87" s="16">
        <f t="shared" si="2"/>
        <v>97</v>
      </c>
      <c r="E87" s="17" t="str">
        <f>IFERROR(VLOOKUP(C87,CURSOS!B:L,9,FALSE),"KO")</f>
        <v>TEÓRICO</v>
      </c>
      <c r="F87" s="17" t="str">
        <f>IFERROR(VLOOKUP(C87,CURSOS!B:L,10,FALSE),"KO")</f>
        <v>PRÁCTICO</v>
      </c>
      <c r="G87" s="17" t="str">
        <f>IFERROR(VLOOKUP(C87,CURSOS!B:L,11,FALSE),"KO")</f>
        <v>CERTIFICADO</v>
      </c>
      <c r="H87" s="17" t="str">
        <f>IFERROR(VLOOKUP(C87,CURSOS!B:L,2,FALSE),"KO")</f>
        <v>ID CURSO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 ht="15.75" customHeight="1">
      <c r="A88" s="4">
        <v>88</v>
      </c>
      <c r="B88" s="4"/>
      <c r="C88" s="9" t="str">
        <f>quitarAcentos(UPPER(CONCATENATE(caracterDer(LEFT(SUBSTITUTE(K88," ",""),3),3,"*"),caracterDer(LEFT(SUBSTITUTE(J88," ",""),3),3,"*"))))</f>
        <v>******</v>
      </c>
      <c r="D88" s="16">
        <f t="shared" si="2"/>
        <v>97</v>
      </c>
      <c r="E88" s="17" t="str">
        <f>IFERROR(VLOOKUP(C88,CURSOS!B:L,9,FALSE),"KO")</f>
        <v>TEÓRICO</v>
      </c>
      <c r="F88" s="17" t="str">
        <f>IFERROR(VLOOKUP(C88,CURSOS!B:L,10,FALSE),"KO")</f>
        <v>PRÁCTICO</v>
      </c>
      <c r="G88" s="17" t="str">
        <f>IFERROR(VLOOKUP(C88,CURSOS!B:L,11,FALSE),"KO")</f>
        <v>CERTIFICADO</v>
      </c>
      <c r="H88" s="17" t="str">
        <f>IFERROR(VLOOKUP(C88,CURSOS!B:L,2,FALSE),"KO")</f>
        <v>ID CURSO</v>
      </c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 ht="15.75" customHeight="1">
      <c r="A89" s="4">
        <v>89</v>
      </c>
      <c r="B89" s="4"/>
      <c r="C89" s="9" t="str">
        <f>quitarAcentos(UPPER(CONCATENATE(caracterDer(LEFT(SUBSTITUTE(K89," ",""),3),3,"*"),caracterDer(LEFT(SUBSTITUTE(J89," ",""),3),3,"*"))))</f>
        <v>******</v>
      </c>
      <c r="D89" s="16">
        <f t="shared" si="2"/>
        <v>97</v>
      </c>
      <c r="E89" s="17" t="str">
        <f>IFERROR(VLOOKUP(C89,CURSOS!B:L,9,FALSE),"KO")</f>
        <v>TEÓRICO</v>
      </c>
      <c r="F89" s="17" t="str">
        <f>IFERROR(VLOOKUP(C89,CURSOS!B:L,10,FALSE),"KO")</f>
        <v>PRÁCTICO</v>
      </c>
      <c r="G89" s="17" t="str">
        <f>IFERROR(VLOOKUP(C89,CURSOS!B:L,11,FALSE),"KO")</f>
        <v>CERTIFICADO</v>
      </c>
      <c r="H89" s="17" t="str">
        <f>IFERROR(VLOOKUP(C89,CURSOS!B:L,2,FALSE),"KO")</f>
        <v>ID CURSO</v>
      </c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 ht="15.75" customHeight="1">
      <c r="A90" s="4">
        <v>90</v>
      </c>
      <c r="B90" s="4"/>
      <c r="C90" s="9" t="str">
        <f>quitarAcentos(UPPER(CONCATENATE(caracterDer(LEFT(SUBSTITUTE(K90," ",""),3),3,"*"),caracterDer(LEFT(SUBSTITUTE(J90," ",""),3),3,"*"))))</f>
        <v>******</v>
      </c>
      <c r="D90" s="16">
        <f t="shared" si="2"/>
        <v>97</v>
      </c>
      <c r="E90" s="17" t="str">
        <f>IFERROR(VLOOKUP(C90,CURSOS!B:L,9,FALSE),"KO")</f>
        <v>TEÓRICO</v>
      </c>
      <c r="F90" s="17" t="str">
        <f>IFERROR(VLOOKUP(C90,CURSOS!B:L,10,FALSE),"KO")</f>
        <v>PRÁCTICO</v>
      </c>
      <c r="G90" s="17" t="str">
        <f>IFERROR(VLOOKUP(C90,CURSOS!B:L,11,FALSE),"KO")</f>
        <v>CERTIFICADO</v>
      </c>
      <c r="H90" s="17" t="str">
        <f>IFERROR(VLOOKUP(C90,CURSOS!B:L,2,FALSE),"KO")</f>
        <v>ID CURSO</v>
      </c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 ht="15.75" customHeight="1">
      <c r="A91" s="4">
        <v>91</v>
      </c>
      <c r="B91" s="4"/>
      <c r="C91" s="9" t="str">
        <f>quitarAcentos(UPPER(CONCATENATE(caracterDer(LEFT(SUBSTITUTE(K91," ",""),3),3,"*"),caracterDer(LEFT(SUBSTITUTE(J91," ",""),3),3,"*"))))</f>
        <v>******</v>
      </c>
      <c r="D91" s="16">
        <f t="shared" si="2"/>
        <v>97</v>
      </c>
      <c r="E91" s="17" t="str">
        <f>IFERROR(VLOOKUP(C91,CURSOS!B:L,9,FALSE),"KO")</f>
        <v>TEÓRICO</v>
      </c>
      <c r="F91" s="17" t="str">
        <f>IFERROR(VLOOKUP(C91,CURSOS!B:L,10,FALSE),"KO")</f>
        <v>PRÁCTICO</v>
      </c>
      <c r="G91" s="17" t="str">
        <f>IFERROR(VLOOKUP(C91,CURSOS!B:L,11,FALSE),"KO")</f>
        <v>CERTIFICADO</v>
      </c>
      <c r="H91" s="17" t="str">
        <f>IFERROR(VLOOKUP(C91,CURSOS!B:L,2,FALSE),"KO")</f>
        <v>ID CURSO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 ht="15.75" customHeight="1">
      <c r="A92" s="4">
        <v>92</v>
      </c>
      <c r="B92" s="4"/>
      <c r="C92" s="9" t="str">
        <f>quitarAcentos(UPPER(CONCATENATE(caracterDer(LEFT(SUBSTITUTE(K92," ",""),3),3,"*"),caracterDer(LEFT(SUBSTITUTE(J92," ",""),3),3,"*"))))</f>
        <v>******</v>
      </c>
      <c r="D92" s="16">
        <f t="shared" si="2"/>
        <v>97</v>
      </c>
      <c r="E92" s="17" t="str">
        <f>IFERROR(VLOOKUP(C92,CURSOS!B:L,9,FALSE),"KO")</f>
        <v>TEÓRICO</v>
      </c>
      <c r="F92" s="17" t="str">
        <f>IFERROR(VLOOKUP(C92,CURSOS!B:L,10,FALSE),"KO")</f>
        <v>PRÁCTICO</v>
      </c>
      <c r="G92" s="17" t="str">
        <f>IFERROR(VLOOKUP(C92,CURSOS!B:L,11,FALSE),"KO")</f>
        <v>CERTIFICADO</v>
      </c>
      <c r="H92" s="17" t="str">
        <f>IFERROR(VLOOKUP(C92,CURSOS!B:L,2,FALSE),"KO")</f>
        <v>ID CURSO</v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 ht="15.75" customHeight="1">
      <c r="A93" s="4">
        <v>93</v>
      </c>
      <c r="B93" s="4"/>
      <c r="C93" s="9" t="str">
        <f>quitarAcentos(UPPER(CONCATENATE(caracterDer(LEFT(SUBSTITUTE(K93," ",""),3),3,"*"),caracterDer(LEFT(SUBSTITUTE(J93," ",""),3),3,"*"))))</f>
        <v>******</v>
      </c>
      <c r="D93" s="16">
        <f t="shared" si="2"/>
        <v>97</v>
      </c>
      <c r="E93" s="17" t="str">
        <f>IFERROR(VLOOKUP(C93,CURSOS!B:L,9,FALSE),"KO")</f>
        <v>TEÓRICO</v>
      </c>
      <c r="F93" s="17" t="str">
        <f>IFERROR(VLOOKUP(C93,CURSOS!B:L,10,FALSE),"KO")</f>
        <v>PRÁCTICO</v>
      </c>
      <c r="G93" s="17" t="str">
        <f>IFERROR(VLOOKUP(C93,CURSOS!B:L,11,FALSE),"KO")</f>
        <v>CERTIFICADO</v>
      </c>
      <c r="H93" s="17" t="str">
        <f>IFERROR(VLOOKUP(C93,CURSOS!B:L,2,FALSE),"KO")</f>
        <v>ID CURSO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1:22" ht="15.75" customHeight="1">
      <c r="A94" s="4">
        <v>94</v>
      </c>
      <c r="B94" s="4"/>
      <c r="C94" s="9" t="str">
        <f>quitarAcentos(UPPER(CONCATENATE(caracterDer(LEFT(SUBSTITUTE(K94," ",""),3),3,"*"),caracterDer(LEFT(SUBSTITUTE(J94," ",""),3),3,"*"))))</f>
        <v>******</v>
      </c>
      <c r="D94" s="16">
        <f t="shared" si="2"/>
        <v>97</v>
      </c>
      <c r="E94" s="17" t="str">
        <f>IFERROR(VLOOKUP(C94,CURSOS!B:L,9,FALSE),"KO")</f>
        <v>TEÓRICO</v>
      </c>
      <c r="F94" s="17" t="str">
        <f>IFERROR(VLOOKUP(C94,CURSOS!B:L,10,FALSE),"KO")</f>
        <v>PRÁCTICO</v>
      </c>
      <c r="G94" s="17" t="str">
        <f>IFERROR(VLOOKUP(C94,CURSOS!B:L,11,FALSE),"KO")</f>
        <v>CERTIFICADO</v>
      </c>
      <c r="H94" s="17" t="str">
        <f>IFERROR(VLOOKUP(C94,CURSOS!B:L,2,FALSE),"KO")</f>
        <v>ID CURSO</v>
      </c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22" ht="15.75" customHeight="1">
      <c r="A95" s="4">
        <v>95</v>
      </c>
      <c r="B95" s="4"/>
      <c r="C95" s="9" t="str">
        <f>quitarAcentos(UPPER(CONCATENATE(caracterDer(LEFT(SUBSTITUTE(K95," ",""),3),3,"*"),caracterDer(LEFT(SUBSTITUTE(J95," ",""),3),3,"*"))))</f>
        <v>******</v>
      </c>
      <c r="D95" s="16">
        <f t="shared" si="2"/>
        <v>97</v>
      </c>
      <c r="E95" s="17" t="str">
        <f>IFERROR(VLOOKUP(C95,CURSOS!B:L,9,FALSE),"KO")</f>
        <v>TEÓRICO</v>
      </c>
      <c r="F95" s="17" t="str">
        <f>IFERROR(VLOOKUP(C95,CURSOS!B:L,10,FALSE),"KO")</f>
        <v>PRÁCTICO</v>
      </c>
      <c r="G95" s="17" t="str">
        <f>IFERROR(VLOOKUP(C95,CURSOS!B:L,11,FALSE),"KO")</f>
        <v>CERTIFICADO</v>
      </c>
      <c r="H95" s="17" t="str">
        <f>IFERROR(VLOOKUP(C95,CURSOS!B:L,2,FALSE),"KO")</f>
        <v>ID CURSO</v>
      </c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1:22" ht="15.75" customHeight="1">
      <c r="A96" s="4">
        <v>96</v>
      </c>
      <c r="B96" s="4"/>
      <c r="C96" s="9" t="str">
        <f>quitarAcentos(UPPER(CONCATENATE(caracterDer(LEFT(SUBSTITUTE(K96," ",""),3),3,"*"),caracterDer(LEFT(SUBSTITUTE(J96," ",""),3),3,"*"))))</f>
        <v>******</v>
      </c>
      <c r="D96" s="16">
        <f t="shared" si="2"/>
        <v>97</v>
      </c>
      <c r="E96" s="17" t="str">
        <f>IFERROR(VLOOKUP(C96,CURSOS!B:L,9,FALSE),"KO")</f>
        <v>TEÓRICO</v>
      </c>
      <c r="F96" s="17" t="str">
        <f>IFERROR(VLOOKUP(C96,CURSOS!B:L,10,FALSE),"KO")</f>
        <v>PRÁCTICO</v>
      </c>
      <c r="G96" s="17" t="str">
        <f>IFERROR(VLOOKUP(C96,CURSOS!B:L,11,FALSE),"KO")</f>
        <v>CERTIFICADO</v>
      </c>
      <c r="H96" s="17" t="str">
        <f>IFERROR(VLOOKUP(C96,CURSOS!B:L,2,FALSE),"KO")</f>
        <v>ID CURSO</v>
      </c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1:22" ht="15.75" customHeight="1">
      <c r="A97" s="4">
        <v>97</v>
      </c>
      <c r="B97" s="4"/>
      <c r="C97" s="9" t="str">
        <f>quitarAcentos(UPPER(CONCATENATE(caracterDer(LEFT(SUBSTITUTE(K97," ",""),3),3,"*"),caracterDer(LEFT(SUBSTITUTE(J97," ",""),3),3,"*"))))</f>
        <v>******</v>
      </c>
      <c r="D97" s="16">
        <f t="shared" si="2"/>
        <v>97</v>
      </c>
      <c r="E97" s="17" t="str">
        <f>IFERROR(VLOOKUP(C97,CURSOS!B:L,9,FALSE),"KO")</f>
        <v>TEÓRICO</v>
      </c>
      <c r="F97" s="17" t="str">
        <f>IFERROR(VLOOKUP(C97,CURSOS!B:L,10,FALSE),"KO")</f>
        <v>PRÁCTICO</v>
      </c>
      <c r="G97" s="17" t="str">
        <f>IFERROR(VLOOKUP(C97,CURSOS!B:L,11,FALSE),"KO")</f>
        <v>CERTIFICADO</v>
      </c>
      <c r="H97" s="17" t="str">
        <f>IFERROR(VLOOKUP(C97,CURSOS!B:L,2,FALSE),"KO")</f>
        <v>ID CURSO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 ht="15.75" customHeight="1">
      <c r="D98" s="4"/>
      <c r="E98" s="17"/>
      <c r="F98" s="17"/>
      <c r="G98" s="17"/>
      <c r="H98" s="17"/>
      <c r="Q98" s="4"/>
      <c r="R98" s="4"/>
      <c r="S98" s="4"/>
    </row>
    <row r="99" spans="1:22" ht="15.75" customHeight="1">
      <c r="D99" s="4"/>
      <c r="E99" s="17"/>
      <c r="F99" s="17"/>
      <c r="G99" s="17"/>
      <c r="H99" s="17"/>
      <c r="Q99" s="4"/>
      <c r="R99" s="4"/>
      <c r="S99" s="4"/>
    </row>
    <row r="100" spans="1:22" ht="15.75" customHeight="1">
      <c r="D100" s="4"/>
      <c r="E100" s="17"/>
      <c r="F100" s="17"/>
      <c r="G100" s="17"/>
      <c r="H100" s="17"/>
      <c r="Q100" s="4"/>
      <c r="R100" s="4"/>
      <c r="S100" s="4"/>
    </row>
    <row r="101" spans="1:22" ht="15.75" customHeight="1">
      <c r="D101" s="4"/>
      <c r="E101" s="17"/>
      <c r="F101" s="17"/>
      <c r="G101" s="17"/>
      <c r="H101" s="17"/>
      <c r="Q101" s="4"/>
      <c r="R101" s="4"/>
      <c r="S101" s="4"/>
    </row>
    <row r="102" spans="1:22" ht="15.75" customHeight="1">
      <c r="D102" s="4"/>
      <c r="E102" s="17"/>
      <c r="F102" s="17"/>
      <c r="G102" s="17"/>
      <c r="H102" s="17"/>
      <c r="Q102" s="4"/>
      <c r="R102" s="4"/>
      <c r="S102" s="4"/>
    </row>
    <row r="103" spans="1:22" ht="15.75" customHeight="1">
      <c r="D103" s="4"/>
      <c r="E103" s="17"/>
      <c r="F103" s="17"/>
      <c r="G103" s="17"/>
      <c r="H103" s="17"/>
      <c r="Q103" s="4"/>
      <c r="R103" s="4"/>
      <c r="S103" s="4"/>
    </row>
    <row r="104" spans="1:22" ht="15.75" customHeight="1">
      <c r="D104" s="4"/>
      <c r="E104" s="17"/>
      <c r="F104" s="17"/>
      <c r="G104" s="17"/>
      <c r="H104" s="17"/>
      <c r="Q104" s="4"/>
      <c r="R104" s="4"/>
      <c r="S104" s="4"/>
    </row>
    <row r="105" spans="1:22" ht="15.75" customHeight="1">
      <c r="D105" s="4"/>
      <c r="E105" s="17"/>
      <c r="F105" s="17"/>
      <c r="G105" s="17"/>
      <c r="H105" s="17"/>
      <c r="Q105" s="4"/>
      <c r="R105" s="4"/>
      <c r="S105" s="4"/>
    </row>
    <row r="106" spans="1:22" ht="15.75" customHeight="1">
      <c r="D106" s="4"/>
      <c r="E106" s="17"/>
      <c r="F106" s="17"/>
      <c r="G106" s="17"/>
      <c r="H106" s="17"/>
      <c r="Q106" s="4"/>
      <c r="R106" s="4"/>
      <c r="S106" s="4"/>
    </row>
    <row r="107" spans="1:22" ht="15.75" customHeight="1">
      <c r="D107" s="4"/>
      <c r="E107" s="17"/>
      <c r="F107" s="17"/>
      <c r="G107" s="17"/>
      <c r="H107" s="17"/>
      <c r="Q107" s="4"/>
      <c r="R107" s="4"/>
      <c r="S107" s="4"/>
    </row>
    <row r="108" spans="1:22" ht="15.75" customHeight="1">
      <c r="D108" s="4"/>
      <c r="E108" s="17"/>
      <c r="F108" s="17"/>
      <c r="G108" s="17"/>
      <c r="H108" s="17"/>
      <c r="Q108" s="4"/>
      <c r="R108" s="4"/>
      <c r="S108" s="4"/>
    </row>
    <row r="109" spans="1:22" ht="15.75" customHeight="1">
      <c r="D109" s="4"/>
      <c r="E109" s="17"/>
      <c r="F109" s="17"/>
      <c r="G109" s="17"/>
      <c r="H109" s="17"/>
      <c r="Q109" s="4"/>
      <c r="R109" s="4"/>
      <c r="S109" s="4"/>
    </row>
    <row r="110" spans="1:22" ht="15.75" customHeight="1">
      <c r="D110" s="4"/>
      <c r="E110" s="17"/>
      <c r="F110" s="17"/>
      <c r="G110" s="17"/>
      <c r="H110" s="17"/>
      <c r="Q110" s="4"/>
      <c r="R110" s="4"/>
      <c r="S110" s="4"/>
    </row>
    <row r="111" spans="1:22" ht="15.75" customHeight="1">
      <c r="D111" s="4"/>
      <c r="E111" s="17"/>
      <c r="F111" s="17"/>
      <c r="G111" s="17"/>
      <c r="H111" s="17"/>
      <c r="Q111" s="4"/>
      <c r="R111" s="4"/>
      <c r="S111" s="4"/>
    </row>
    <row r="112" spans="1:22" ht="15.75" customHeight="1">
      <c r="D112" s="4"/>
      <c r="E112" s="17"/>
      <c r="F112" s="17"/>
      <c r="G112" s="17"/>
      <c r="H112" s="17"/>
      <c r="Q112" s="4"/>
      <c r="R112" s="4"/>
      <c r="S112" s="4"/>
    </row>
    <row r="113" spans="4:19" ht="15.75" customHeight="1">
      <c r="D113" s="4"/>
      <c r="E113" s="17"/>
      <c r="F113" s="17"/>
      <c r="G113" s="17"/>
      <c r="H113" s="17"/>
      <c r="Q113" s="4"/>
      <c r="R113" s="4"/>
      <c r="S113" s="4"/>
    </row>
    <row r="114" spans="4:19" ht="15.75" customHeight="1">
      <c r="D114" s="4"/>
      <c r="E114" s="17"/>
      <c r="F114" s="17"/>
      <c r="G114" s="17"/>
      <c r="H114" s="17"/>
      <c r="Q114" s="4"/>
      <c r="R114" s="4"/>
      <c r="S114" s="4"/>
    </row>
    <row r="115" spans="4:19" ht="15.75" customHeight="1">
      <c r="D115" s="4"/>
      <c r="E115" s="17"/>
      <c r="F115" s="17"/>
      <c r="G115" s="17"/>
      <c r="H115" s="17"/>
      <c r="Q115" s="4"/>
      <c r="R115" s="4"/>
      <c r="S115" s="4"/>
    </row>
    <row r="116" spans="4:19" ht="15.75" customHeight="1">
      <c r="D116" s="4"/>
      <c r="E116" s="17"/>
      <c r="F116" s="17"/>
      <c r="G116" s="17"/>
      <c r="H116" s="17"/>
      <c r="Q116" s="4"/>
      <c r="R116" s="4"/>
      <c r="S116" s="4"/>
    </row>
    <row r="117" spans="4:19" ht="15.75" customHeight="1">
      <c r="D117" s="4"/>
      <c r="E117" s="17"/>
      <c r="F117" s="17"/>
      <c r="G117" s="17"/>
      <c r="H117" s="17"/>
      <c r="Q117" s="4"/>
      <c r="R117" s="4"/>
      <c r="S117" s="4"/>
    </row>
    <row r="118" spans="4:19" ht="15.75" customHeight="1">
      <c r="D118" s="4"/>
      <c r="E118" s="17"/>
      <c r="F118" s="17"/>
      <c r="G118" s="17"/>
      <c r="H118" s="17"/>
      <c r="Q118" s="4"/>
      <c r="R118" s="4"/>
      <c r="S118" s="4"/>
    </row>
    <row r="119" spans="4:19" ht="15.75" customHeight="1">
      <c r="D119" s="4"/>
      <c r="E119" s="17"/>
      <c r="F119" s="17"/>
      <c r="G119" s="17"/>
      <c r="H119" s="17"/>
      <c r="Q119" s="4"/>
      <c r="R119" s="4"/>
      <c r="S119" s="4"/>
    </row>
    <row r="120" spans="4:19" ht="15.75" customHeight="1">
      <c r="D120" s="4"/>
      <c r="E120" s="17"/>
      <c r="F120" s="17"/>
      <c r="G120" s="17"/>
      <c r="H120" s="17"/>
      <c r="Q120" s="4"/>
      <c r="R120" s="4"/>
      <c r="S120" s="4"/>
    </row>
    <row r="121" spans="4:19" ht="15.75" customHeight="1">
      <c r="D121" s="4"/>
      <c r="E121" s="17"/>
      <c r="F121" s="17"/>
      <c r="G121" s="17"/>
      <c r="H121" s="17"/>
      <c r="Q121" s="4"/>
      <c r="R121" s="4"/>
      <c r="S121" s="4"/>
    </row>
    <row r="122" spans="4:19" ht="15.75" customHeight="1">
      <c r="D122" s="4"/>
      <c r="E122" s="17"/>
      <c r="F122" s="17"/>
      <c r="G122" s="17"/>
      <c r="H122" s="17"/>
      <c r="Q122" s="4"/>
      <c r="R122" s="4"/>
      <c r="S122" s="4"/>
    </row>
    <row r="123" spans="4:19" ht="15.75" customHeight="1">
      <c r="D123" s="4"/>
      <c r="E123" s="17"/>
      <c r="F123" s="17"/>
      <c r="G123" s="17"/>
      <c r="H123" s="17"/>
      <c r="Q123" s="4"/>
      <c r="R123" s="4"/>
      <c r="S123" s="4"/>
    </row>
    <row r="124" spans="4:19" ht="15.75" customHeight="1">
      <c r="D124" s="4"/>
      <c r="E124" s="17"/>
      <c r="F124" s="17"/>
      <c r="G124" s="17"/>
      <c r="H124" s="17"/>
      <c r="Q124" s="4"/>
      <c r="R124" s="4"/>
      <c r="S124" s="4"/>
    </row>
    <row r="125" spans="4:19" ht="15.75" customHeight="1">
      <c r="D125" s="4"/>
      <c r="E125" s="17"/>
      <c r="F125" s="17"/>
      <c r="G125" s="17"/>
      <c r="H125" s="17"/>
      <c r="Q125" s="4"/>
      <c r="R125" s="4"/>
      <c r="S125" s="4"/>
    </row>
    <row r="126" spans="4:19" ht="15.75" customHeight="1">
      <c r="D126" s="4"/>
      <c r="E126" s="17"/>
      <c r="F126" s="17"/>
      <c r="G126" s="17"/>
      <c r="H126" s="17"/>
      <c r="Q126" s="4"/>
      <c r="R126" s="4"/>
      <c r="S126" s="4"/>
    </row>
    <row r="127" spans="4:19" ht="15.75" customHeight="1">
      <c r="D127" s="4"/>
      <c r="E127" s="17"/>
      <c r="F127" s="17"/>
      <c r="G127" s="17"/>
      <c r="H127" s="17"/>
      <c r="Q127" s="4"/>
      <c r="R127" s="4"/>
      <c r="S127" s="4"/>
    </row>
    <row r="128" spans="4:19" ht="15.75" customHeight="1">
      <c r="D128" s="4"/>
      <c r="E128" s="17"/>
      <c r="F128" s="17"/>
      <c r="G128" s="17"/>
      <c r="H128" s="17"/>
      <c r="Q128" s="4"/>
      <c r="R128" s="4"/>
      <c r="S128" s="4"/>
    </row>
    <row r="129" spans="4:19" ht="15.75" customHeight="1">
      <c r="D129" s="4"/>
      <c r="E129" s="17"/>
      <c r="F129" s="17"/>
      <c r="G129" s="17"/>
      <c r="H129" s="17"/>
      <c r="Q129" s="4"/>
      <c r="R129" s="4"/>
      <c r="S129" s="4"/>
    </row>
    <row r="130" spans="4:19" ht="15.75" customHeight="1">
      <c r="D130" s="4"/>
      <c r="E130" s="17"/>
      <c r="F130" s="17"/>
      <c r="G130" s="17"/>
      <c r="H130" s="17"/>
      <c r="Q130" s="4"/>
      <c r="R130" s="4"/>
      <c r="S130" s="4"/>
    </row>
    <row r="131" spans="4:19" ht="15.75" customHeight="1">
      <c r="D131" s="4"/>
      <c r="E131" s="17"/>
      <c r="F131" s="17"/>
      <c r="G131" s="17"/>
      <c r="H131" s="17"/>
      <c r="Q131" s="4"/>
      <c r="R131" s="4"/>
      <c r="S131" s="4"/>
    </row>
    <row r="132" spans="4:19" ht="15.75" customHeight="1">
      <c r="D132" s="4"/>
      <c r="E132" s="17"/>
      <c r="F132" s="17"/>
      <c r="G132" s="17"/>
      <c r="H132" s="17"/>
      <c r="Q132" s="4"/>
      <c r="R132" s="4"/>
      <c r="S132" s="4"/>
    </row>
    <row r="133" spans="4:19" ht="15.75" customHeight="1">
      <c r="D133" s="4"/>
      <c r="E133" s="17"/>
      <c r="F133" s="17"/>
      <c r="G133" s="17"/>
      <c r="H133" s="17"/>
      <c r="Q133" s="4"/>
      <c r="R133" s="4"/>
      <c r="S133" s="4"/>
    </row>
    <row r="134" spans="4:19" ht="15.75" customHeight="1">
      <c r="D134" s="4"/>
      <c r="E134" s="17"/>
      <c r="F134" s="17"/>
      <c r="G134" s="17"/>
      <c r="H134" s="17"/>
      <c r="Q134" s="4"/>
      <c r="R134" s="4"/>
      <c r="S134" s="4"/>
    </row>
    <row r="135" spans="4:19" ht="15.75" customHeight="1">
      <c r="D135" s="4"/>
      <c r="E135" s="17"/>
      <c r="F135" s="17"/>
      <c r="G135" s="17"/>
      <c r="H135" s="17"/>
      <c r="Q135" s="4"/>
      <c r="R135" s="4"/>
      <c r="S135" s="4"/>
    </row>
    <row r="136" spans="4:19" ht="15.75" customHeight="1">
      <c r="D136" s="4"/>
      <c r="E136" s="17"/>
      <c r="F136" s="17"/>
      <c r="G136" s="17"/>
      <c r="H136" s="17"/>
      <c r="Q136" s="4"/>
      <c r="R136" s="4"/>
      <c r="S136" s="4"/>
    </row>
    <row r="137" spans="4:19" ht="15.75" customHeight="1">
      <c r="D137" s="4"/>
      <c r="E137" s="17"/>
      <c r="F137" s="17"/>
      <c r="G137" s="17"/>
      <c r="H137" s="17"/>
      <c r="Q137" s="4"/>
      <c r="R137" s="4"/>
      <c r="S137" s="4"/>
    </row>
    <row r="138" spans="4:19" ht="15.75" customHeight="1">
      <c r="D138" s="4"/>
      <c r="E138" s="17"/>
      <c r="F138" s="17"/>
      <c r="G138" s="17"/>
      <c r="H138" s="17"/>
      <c r="Q138" s="4"/>
      <c r="R138" s="4"/>
      <c r="S138" s="4"/>
    </row>
    <row r="139" spans="4:19" ht="15.75" customHeight="1">
      <c r="D139" s="4"/>
      <c r="E139" s="17"/>
      <c r="F139" s="17"/>
      <c r="G139" s="17"/>
      <c r="H139" s="17"/>
      <c r="Q139" s="4"/>
      <c r="R139" s="4"/>
      <c r="S139" s="4"/>
    </row>
    <row r="140" spans="4:19" ht="15.75" customHeight="1">
      <c r="D140" s="4"/>
      <c r="E140" s="17"/>
      <c r="F140" s="17"/>
      <c r="G140" s="17"/>
      <c r="H140" s="17"/>
      <c r="Q140" s="4"/>
      <c r="R140" s="4"/>
      <c r="S140" s="4"/>
    </row>
    <row r="141" spans="4:19" ht="15.75" customHeight="1">
      <c r="D141" s="4"/>
      <c r="E141" s="17"/>
      <c r="F141" s="17"/>
      <c r="G141" s="17"/>
      <c r="H141" s="17"/>
      <c r="Q141" s="4"/>
      <c r="R141" s="4"/>
      <c r="S141" s="4"/>
    </row>
    <row r="142" spans="4:19" ht="15.75" customHeight="1">
      <c r="D142" s="4"/>
      <c r="E142" s="17"/>
      <c r="F142" s="17"/>
      <c r="G142" s="17"/>
      <c r="H142" s="17"/>
      <c r="Q142" s="4"/>
      <c r="R142" s="4"/>
      <c r="S142" s="4"/>
    </row>
    <row r="143" spans="4:19" ht="15.75" customHeight="1">
      <c r="D143" s="4"/>
      <c r="E143" s="17"/>
      <c r="F143" s="17"/>
      <c r="G143" s="17"/>
      <c r="H143" s="17"/>
      <c r="Q143" s="4"/>
      <c r="R143" s="4"/>
      <c r="S143" s="4"/>
    </row>
    <row r="144" spans="4:19" ht="15.75" customHeight="1">
      <c r="D144" s="4"/>
      <c r="E144" s="17"/>
      <c r="F144" s="17"/>
      <c r="G144" s="17"/>
      <c r="H144" s="17"/>
      <c r="Q144" s="4"/>
      <c r="R144" s="4"/>
      <c r="S144" s="4"/>
    </row>
    <row r="145" spans="4:19" ht="15.75" customHeight="1">
      <c r="D145" s="4"/>
      <c r="E145" s="17"/>
      <c r="F145" s="17"/>
      <c r="G145" s="17"/>
      <c r="H145" s="17"/>
      <c r="Q145" s="4"/>
      <c r="R145" s="4"/>
      <c r="S145" s="4"/>
    </row>
    <row r="146" spans="4:19" ht="15.75" customHeight="1">
      <c r="D146" s="4"/>
      <c r="E146" s="17"/>
      <c r="F146" s="17"/>
      <c r="G146" s="17"/>
      <c r="H146" s="17"/>
      <c r="Q146" s="4"/>
      <c r="R146" s="4"/>
      <c r="S146" s="4"/>
    </row>
    <row r="147" spans="4:19" ht="15.75" customHeight="1">
      <c r="D147" s="4"/>
      <c r="E147" s="17"/>
      <c r="F147" s="17"/>
      <c r="G147" s="17"/>
      <c r="H147" s="17"/>
      <c r="Q147" s="4"/>
      <c r="R147" s="4"/>
      <c r="S147" s="4"/>
    </row>
    <row r="148" spans="4:19" ht="15.75" customHeight="1">
      <c r="D148" s="4"/>
      <c r="E148" s="17"/>
      <c r="F148" s="17"/>
      <c r="G148" s="17"/>
      <c r="H148" s="17"/>
      <c r="Q148" s="4"/>
      <c r="R148" s="4"/>
      <c r="S148" s="4"/>
    </row>
    <row r="149" spans="4:19" ht="15.75" customHeight="1">
      <c r="D149" s="4"/>
      <c r="E149" s="17"/>
      <c r="F149" s="17"/>
      <c r="G149" s="17"/>
      <c r="H149" s="17"/>
      <c r="Q149" s="4"/>
      <c r="R149" s="4"/>
      <c r="S149" s="4"/>
    </row>
    <row r="150" spans="4:19" ht="15.75" customHeight="1">
      <c r="D150" s="4"/>
      <c r="E150" s="17"/>
      <c r="F150" s="17"/>
      <c r="G150" s="17"/>
      <c r="H150" s="17"/>
      <c r="Q150" s="4"/>
      <c r="R150" s="4"/>
      <c r="S150" s="4"/>
    </row>
    <row r="151" spans="4:19" ht="15.75" customHeight="1">
      <c r="D151" s="4"/>
      <c r="E151" s="17"/>
      <c r="F151" s="17"/>
      <c r="G151" s="17"/>
      <c r="H151" s="17"/>
      <c r="Q151" s="4"/>
      <c r="R151" s="4"/>
      <c r="S151" s="4"/>
    </row>
    <row r="152" spans="4:19" ht="15.75" customHeight="1">
      <c r="D152" s="4"/>
      <c r="E152" s="17"/>
      <c r="F152" s="17"/>
      <c r="G152" s="17"/>
      <c r="H152" s="17"/>
      <c r="Q152" s="4"/>
      <c r="R152" s="4"/>
      <c r="S152" s="4"/>
    </row>
    <row r="153" spans="4:19" ht="15.75" customHeight="1">
      <c r="D153" s="4"/>
      <c r="E153" s="17"/>
      <c r="F153" s="17"/>
      <c r="G153" s="17"/>
      <c r="H153" s="17"/>
      <c r="Q153" s="4"/>
      <c r="R153" s="4"/>
      <c r="S153" s="4"/>
    </row>
    <row r="154" spans="4:19" ht="15.75" customHeight="1">
      <c r="D154" s="4"/>
      <c r="E154" s="17"/>
      <c r="F154" s="17"/>
      <c r="G154" s="17"/>
      <c r="H154" s="17"/>
      <c r="Q154" s="4"/>
      <c r="R154" s="4"/>
      <c r="S154" s="4"/>
    </row>
    <row r="155" spans="4:19" ht="15.75" customHeight="1">
      <c r="D155" s="4"/>
      <c r="E155" s="17"/>
      <c r="F155" s="17"/>
      <c r="G155" s="17"/>
      <c r="H155" s="17"/>
      <c r="Q155" s="4"/>
      <c r="R155" s="4"/>
      <c r="S155" s="4"/>
    </row>
    <row r="156" spans="4:19" ht="15.75" customHeight="1">
      <c r="D156" s="4"/>
      <c r="E156" s="17"/>
      <c r="F156" s="17"/>
      <c r="G156" s="17"/>
      <c r="H156" s="17"/>
      <c r="Q156" s="4"/>
      <c r="R156" s="4"/>
      <c r="S156" s="4"/>
    </row>
    <row r="157" spans="4:19" ht="15.75" customHeight="1">
      <c r="D157" s="4"/>
      <c r="E157" s="17"/>
      <c r="F157" s="17"/>
      <c r="G157" s="17"/>
      <c r="H157" s="17"/>
      <c r="Q157" s="4"/>
      <c r="R157" s="4"/>
      <c r="S157" s="4"/>
    </row>
    <row r="158" spans="4:19" ht="15.75" customHeight="1">
      <c r="D158" s="4"/>
      <c r="E158" s="17"/>
      <c r="F158" s="17"/>
      <c r="G158" s="17"/>
      <c r="H158" s="17"/>
      <c r="Q158" s="4"/>
      <c r="R158" s="4"/>
      <c r="S158" s="4"/>
    </row>
    <row r="159" spans="4:19" ht="15.75" customHeight="1">
      <c r="D159" s="4"/>
      <c r="E159" s="17"/>
      <c r="F159" s="17"/>
      <c r="G159" s="17"/>
      <c r="H159" s="17"/>
      <c r="Q159" s="4"/>
      <c r="R159" s="4"/>
      <c r="S159" s="4"/>
    </row>
    <row r="160" spans="4:19" ht="15.75" customHeight="1">
      <c r="D160" s="4"/>
      <c r="E160" s="17"/>
      <c r="F160" s="17"/>
      <c r="G160" s="17"/>
      <c r="H160" s="17"/>
      <c r="Q160" s="4"/>
      <c r="R160" s="4"/>
      <c r="S160" s="4"/>
    </row>
    <row r="161" spans="4:19" ht="15.75" customHeight="1">
      <c r="D161" s="4"/>
      <c r="E161" s="17"/>
      <c r="F161" s="17"/>
      <c r="G161" s="17"/>
      <c r="H161" s="17"/>
      <c r="Q161" s="4"/>
      <c r="R161" s="4"/>
      <c r="S161" s="4"/>
    </row>
    <row r="162" spans="4:19" ht="15.75" customHeight="1">
      <c r="D162" s="4"/>
      <c r="E162" s="17"/>
      <c r="F162" s="17"/>
      <c r="G162" s="17"/>
      <c r="H162" s="17"/>
      <c r="Q162" s="4"/>
      <c r="R162" s="4"/>
      <c r="S162" s="4"/>
    </row>
    <row r="163" spans="4:19" ht="15.75" customHeight="1">
      <c r="D163" s="4"/>
      <c r="E163" s="17"/>
      <c r="F163" s="17"/>
      <c r="G163" s="17"/>
      <c r="H163" s="17"/>
      <c r="Q163" s="4"/>
      <c r="R163" s="4"/>
      <c r="S163" s="4"/>
    </row>
    <row r="164" spans="4:19" ht="15.75" customHeight="1">
      <c r="D164" s="4"/>
      <c r="E164" s="17"/>
      <c r="F164" s="17"/>
      <c r="G164" s="17"/>
      <c r="H164" s="17"/>
      <c r="Q164" s="4"/>
      <c r="R164" s="4"/>
      <c r="S164" s="4"/>
    </row>
    <row r="165" spans="4:19" ht="15.75" customHeight="1">
      <c r="D165" s="4"/>
      <c r="E165" s="17"/>
      <c r="F165" s="17"/>
      <c r="G165" s="17"/>
      <c r="H165" s="17"/>
      <c r="Q165" s="4"/>
      <c r="R165" s="4"/>
      <c r="S165" s="4"/>
    </row>
    <row r="166" spans="4:19" ht="15.75" customHeight="1">
      <c r="D166" s="4"/>
      <c r="E166" s="17"/>
      <c r="F166" s="17"/>
      <c r="G166" s="17"/>
      <c r="H166" s="17"/>
      <c r="Q166" s="4"/>
      <c r="R166" s="4"/>
      <c r="S166" s="4"/>
    </row>
    <row r="167" spans="4:19" ht="15.75" customHeight="1">
      <c r="D167" s="4"/>
      <c r="E167" s="17"/>
      <c r="F167" s="17"/>
      <c r="G167" s="17"/>
      <c r="H167" s="17"/>
      <c r="Q167" s="4"/>
      <c r="R167" s="4"/>
      <c r="S167" s="4"/>
    </row>
    <row r="168" spans="4:19" ht="15.75" customHeight="1">
      <c r="D168" s="4"/>
      <c r="E168" s="17"/>
      <c r="F168" s="17"/>
      <c r="G168" s="17"/>
      <c r="H168" s="17"/>
      <c r="Q168" s="4"/>
      <c r="R168" s="4"/>
      <c r="S168" s="4"/>
    </row>
    <row r="169" spans="4:19" ht="15.75" customHeight="1">
      <c r="D169" s="4"/>
      <c r="E169" s="17"/>
      <c r="F169" s="17"/>
      <c r="G169" s="17"/>
      <c r="H169" s="17"/>
      <c r="Q169" s="4"/>
      <c r="R169" s="4"/>
      <c r="S169" s="4"/>
    </row>
    <row r="170" spans="4:19" ht="15.75" customHeight="1">
      <c r="D170" s="4"/>
      <c r="E170" s="17"/>
      <c r="F170" s="17"/>
      <c r="G170" s="17"/>
      <c r="H170" s="17"/>
      <c r="Q170" s="4"/>
      <c r="R170" s="4"/>
      <c r="S170" s="4"/>
    </row>
    <row r="171" spans="4:19" ht="15.75" customHeight="1">
      <c r="D171" s="4"/>
      <c r="E171" s="17"/>
      <c r="F171" s="17"/>
      <c r="G171" s="17"/>
      <c r="H171" s="17"/>
      <c r="Q171" s="4"/>
      <c r="R171" s="4"/>
      <c r="S171" s="4"/>
    </row>
    <row r="172" spans="4:19" ht="15.75" customHeight="1">
      <c r="D172" s="4"/>
      <c r="E172" s="17"/>
      <c r="F172" s="17"/>
      <c r="G172" s="17"/>
      <c r="H172" s="17"/>
      <c r="Q172" s="4"/>
      <c r="R172" s="4"/>
      <c r="S172" s="4"/>
    </row>
    <row r="173" spans="4:19" ht="15.75" customHeight="1">
      <c r="D173" s="4"/>
      <c r="E173" s="17"/>
      <c r="F173" s="17"/>
      <c r="G173" s="17"/>
      <c r="H173" s="17"/>
      <c r="Q173" s="4"/>
      <c r="R173" s="4"/>
      <c r="S173" s="4"/>
    </row>
    <row r="174" spans="4:19" ht="15.75" customHeight="1">
      <c r="D174" s="4"/>
      <c r="E174" s="17"/>
      <c r="F174" s="17"/>
      <c r="G174" s="17"/>
      <c r="H174" s="17"/>
      <c r="Q174" s="4"/>
      <c r="R174" s="4"/>
      <c r="S174" s="4"/>
    </row>
    <row r="175" spans="4:19" ht="15.75" customHeight="1">
      <c r="D175" s="4"/>
      <c r="E175" s="17"/>
      <c r="F175" s="17"/>
      <c r="G175" s="17"/>
      <c r="H175" s="17"/>
      <c r="Q175" s="4"/>
      <c r="R175" s="4"/>
      <c r="S175" s="4"/>
    </row>
    <row r="176" spans="4:19" ht="15.75" customHeight="1">
      <c r="D176" s="4"/>
      <c r="E176" s="17"/>
      <c r="F176" s="17"/>
      <c r="G176" s="17"/>
      <c r="H176" s="17"/>
      <c r="Q176" s="4"/>
      <c r="R176" s="4"/>
      <c r="S176" s="4"/>
    </row>
    <row r="177" spans="4:19" ht="15.75" customHeight="1">
      <c r="D177" s="4"/>
      <c r="E177" s="17"/>
      <c r="F177" s="17"/>
      <c r="G177" s="17"/>
      <c r="H177" s="17"/>
      <c r="Q177" s="4"/>
      <c r="R177" s="4"/>
      <c r="S177" s="4"/>
    </row>
    <row r="178" spans="4:19" ht="15.75" customHeight="1">
      <c r="D178" s="4"/>
      <c r="E178" s="17"/>
      <c r="F178" s="17"/>
      <c r="G178" s="17"/>
      <c r="H178" s="17"/>
      <c r="Q178" s="4"/>
      <c r="R178" s="4"/>
      <c r="S178" s="4"/>
    </row>
    <row r="179" spans="4:19" ht="15.75" customHeight="1">
      <c r="D179" s="4"/>
      <c r="E179" s="17"/>
      <c r="F179" s="17"/>
      <c r="G179" s="17"/>
      <c r="H179" s="17"/>
      <c r="Q179" s="4"/>
      <c r="R179" s="4"/>
      <c r="S179" s="4"/>
    </row>
    <row r="180" spans="4:19" ht="15.75" customHeight="1">
      <c r="D180" s="4"/>
      <c r="E180" s="17"/>
      <c r="F180" s="17"/>
      <c r="G180" s="17"/>
      <c r="H180" s="17"/>
      <c r="Q180" s="4"/>
      <c r="R180" s="4"/>
      <c r="S180" s="4"/>
    </row>
    <row r="181" spans="4:19" ht="15.75" customHeight="1">
      <c r="D181" s="4"/>
      <c r="E181" s="17"/>
      <c r="F181" s="17"/>
      <c r="G181" s="17"/>
      <c r="H181" s="17"/>
      <c r="Q181" s="4"/>
      <c r="R181" s="4"/>
      <c r="S181" s="4"/>
    </row>
    <row r="182" spans="4:19" ht="15.75" customHeight="1">
      <c r="D182" s="4"/>
      <c r="E182" s="17"/>
      <c r="F182" s="17"/>
      <c r="G182" s="17"/>
      <c r="H182" s="17"/>
      <c r="Q182" s="4"/>
      <c r="R182" s="4"/>
      <c r="S182" s="4"/>
    </row>
    <row r="183" spans="4:19" ht="15.75" customHeight="1">
      <c r="D183" s="4"/>
      <c r="E183" s="17"/>
      <c r="F183" s="17"/>
      <c r="G183" s="17"/>
      <c r="H183" s="17"/>
      <c r="Q183" s="4"/>
      <c r="R183" s="4"/>
      <c r="S183" s="4"/>
    </row>
    <row r="184" spans="4:19" ht="15.75" customHeight="1">
      <c r="D184" s="4"/>
      <c r="E184" s="17"/>
      <c r="F184" s="17"/>
      <c r="G184" s="17"/>
      <c r="H184" s="17"/>
      <c r="Q184" s="4"/>
      <c r="R184" s="4"/>
      <c r="S184" s="4"/>
    </row>
    <row r="185" spans="4:19" ht="15.75" customHeight="1">
      <c r="D185" s="4"/>
      <c r="E185" s="17"/>
      <c r="F185" s="17"/>
      <c r="G185" s="17"/>
      <c r="H185" s="17"/>
      <c r="Q185" s="4"/>
      <c r="R185" s="4"/>
      <c r="S185" s="4"/>
    </row>
    <row r="186" spans="4:19" ht="15.75" customHeight="1">
      <c r="D186" s="4"/>
      <c r="E186" s="17"/>
      <c r="F186" s="17"/>
      <c r="G186" s="17"/>
      <c r="H186" s="17"/>
      <c r="Q186" s="4"/>
      <c r="R186" s="4"/>
      <c r="S186" s="4"/>
    </row>
    <row r="187" spans="4:19" ht="15.75" customHeight="1">
      <c r="D187" s="4"/>
      <c r="E187" s="17"/>
      <c r="F187" s="17"/>
      <c r="G187" s="17"/>
      <c r="H187" s="17"/>
      <c r="Q187" s="4"/>
      <c r="R187" s="4"/>
      <c r="S187" s="4"/>
    </row>
    <row r="188" spans="4:19" ht="15.75" customHeight="1">
      <c r="D188" s="4"/>
      <c r="E188" s="17"/>
      <c r="F188" s="17"/>
      <c r="G188" s="17"/>
      <c r="H188" s="17"/>
      <c r="Q188" s="4"/>
      <c r="R188" s="4"/>
      <c r="S188" s="4"/>
    </row>
    <row r="189" spans="4:19" ht="15.75" customHeight="1">
      <c r="D189" s="4"/>
      <c r="E189" s="17"/>
      <c r="F189" s="17"/>
      <c r="G189" s="17"/>
      <c r="H189" s="17"/>
      <c r="Q189" s="4"/>
      <c r="R189" s="4"/>
      <c r="S189" s="4"/>
    </row>
    <row r="190" spans="4:19" ht="15.75" customHeight="1">
      <c r="D190" s="4"/>
      <c r="E190" s="17"/>
      <c r="F190" s="17"/>
      <c r="G190" s="17"/>
      <c r="H190" s="17"/>
      <c r="Q190" s="4"/>
      <c r="R190" s="4"/>
      <c r="S190" s="4"/>
    </row>
    <row r="191" spans="4:19" ht="15.75" customHeight="1">
      <c r="D191" s="4"/>
      <c r="E191" s="17"/>
      <c r="F191" s="17"/>
      <c r="G191" s="17"/>
      <c r="H191" s="17"/>
      <c r="Q191" s="4"/>
      <c r="R191" s="4"/>
      <c r="S191" s="4"/>
    </row>
    <row r="192" spans="4:19" ht="15.75" customHeight="1">
      <c r="D192" s="4"/>
      <c r="E192" s="17"/>
      <c r="F192" s="17"/>
      <c r="G192" s="17"/>
      <c r="H192" s="17"/>
      <c r="Q192" s="4"/>
      <c r="R192" s="4"/>
      <c r="S192" s="4"/>
    </row>
    <row r="193" spans="4:19" ht="15.75" customHeight="1">
      <c r="D193" s="4"/>
      <c r="E193" s="17"/>
      <c r="F193" s="17"/>
      <c r="G193" s="17"/>
      <c r="H193" s="17"/>
      <c r="Q193" s="4"/>
      <c r="R193" s="4"/>
      <c r="S193" s="4"/>
    </row>
    <row r="194" spans="4:19" ht="15.75" customHeight="1">
      <c r="D194" s="4"/>
      <c r="E194" s="17"/>
      <c r="F194" s="17"/>
      <c r="G194" s="17"/>
      <c r="H194" s="17"/>
      <c r="Q194" s="4"/>
      <c r="R194" s="4"/>
      <c r="S194" s="4"/>
    </row>
    <row r="195" spans="4:19" ht="15.75" customHeight="1">
      <c r="D195" s="4"/>
      <c r="E195" s="17"/>
      <c r="F195" s="17"/>
      <c r="G195" s="17"/>
      <c r="H195" s="17"/>
      <c r="Q195" s="4"/>
      <c r="R195" s="4"/>
      <c r="S195" s="4"/>
    </row>
    <row r="196" spans="4:19" ht="15.75" customHeight="1">
      <c r="D196" s="4"/>
      <c r="E196" s="17"/>
      <c r="F196" s="17"/>
      <c r="G196" s="17"/>
      <c r="H196" s="17"/>
      <c r="Q196" s="4"/>
      <c r="R196" s="4"/>
      <c r="S196" s="4"/>
    </row>
    <row r="197" spans="4:19" ht="15.75" customHeight="1">
      <c r="D197" s="4"/>
      <c r="E197" s="17"/>
      <c r="F197" s="17"/>
      <c r="G197" s="17"/>
      <c r="H197" s="17"/>
      <c r="Q197" s="4"/>
      <c r="R197" s="4"/>
      <c r="S197" s="4"/>
    </row>
    <row r="198" spans="4:19" ht="15.75" customHeight="1">
      <c r="D198" s="4"/>
      <c r="E198" s="17"/>
      <c r="F198" s="17"/>
      <c r="G198" s="17"/>
      <c r="H198" s="17"/>
      <c r="Q198" s="4"/>
      <c r="R198" s="4"/>
      <c r="S198" s="4"/>
    </row>
    <row r="199" spans="4:19" ht="15.75" customHeight="1">
      <c r="D199" s="4"/>
      <c r="E199" s="17"/>
      <c r="F199" s="17"/>
      <c r="G199" s="17"/>
      <c r="H199" s="17"/>
      <c r="Q199" s="4"/>
      <c r="R199" s="4"/>
      <c r="S199" s="4"/>
    </row>
    <row r="200" spans="4:19" ht="15.75" customHeight="1">
      <c r="D200" s="4"/>
      <c r="E200" s="17"/>
      <c r="F200" s="17"/>
      <c r="G200" s="17"/>
      <c r="H200" s="17"/>
      <c r="Q200" s="4"/>
      <c r="R200" s="4"/>
      <c r="S200" s="4"/>
    </row>
    <row r="201" spans="4:19" ht="15.75" customHeight="1">
      <c r="D201" s="4"/>
      <c r="E201" s="17"/>
      <c r="F201" s="17"/>
      <c r="G201" s="17"/>
      <c r="H201" s="17"/>
      <c r="Q201" s="4"/>
      <c r="R201" s="4"/>
      <c r="S201" s="4"/>
    </row>
    <row r="202" spans="4:19" ht="15.75" customHeight="1">
      <c r="D202" s="4"/>
      <c r="E202" s="17"/>
      <c r="F202" s="17"/>
      <c r="G202" s="17"/>
      <c r="H202" s="17"/>
      <c r="Q202" s="4"/>
      <c r="R202" s="4"/>
      <c r="S202" s="4"/>
    </row>
    <row r="203" spans="4:19" ht="15.75" customHeight="1">
      <c r="D203" s="4"/>
      <c r="E203" s="17"/>
      <c r="F203" s="17"/>
      <c r="G203" s="17"/>
      <c r="H203" s="17"/>
      <c r="Q203" s="4"/>
      <c r="R203" s="4"/>
      <c r="S203" s="4"/>
    </row>
    <row r="204" spans="4:19" ht="15.75" customHeight="1">
      <c r="D204" s="4"/>
      <c r="E204" s="17"/>
      <c r="F204" s="17"/>
      <c r="G204" s="17"/>
      <c r="H204" s="17"/>
      <c r="Q204" s="4"/>
      <c r="R204" s="4"/>
      <c r="S204" s="4"/>
    </row>
    <row r="205" spans="4:19" ht="15.75" customHeight="1">
      <c r="D205" s="4"/>
      <c r="E205" s="17"/>
      <c r="F205" s="17"/>
      <c r="G205" s="17"/>
      <c r="H205" s="17"/>
      <c r="Q205" s="4"/>
      <c r="R205" s="4"/>
      <c r="S205" s="4"/>
    </row>
    <row r="206" spans="4:19" ht="15.75" customHeight="1">
      <c r="D206" s="4"/>
      <c r="E206" s="17"/>
      <c r="F206" s="17"/>
      <c r="G206" s="17"/>
      <c r="H206" s="17"/>
      <c r="Q206" s="4"/>
      <c r="R206" s="4"/>
      <c r="S206" s="4"/>
    </row>
    <row r="207" spans="4:19" ht="15.75" customHeight="1">
      <c r="D207" s="4"/>
      <c r="E207" s="17"/>
      <c r="F207" s="17"/>
      <c r="G207" s="17"/>
      <c r="H207" s="17"/>
      <c r="Q207" s="4"/>
      <c r="R207" s="4"/>
      <c r="S207" s="4"/>
    </row>
    <row r="208" spans="4:19" ht="15.75" customHeight="1">
      <c r="D208" s="4"/>
      <c r="E208" s="17"/>
      <c r="F208" s="17"/>
      <c r="G208" s="17"/>
      <c r="H208" s="17"/>
      <c r="Q208" s="4"/>
      <c r="R208" s="4"/>
      <c r="S208" s="4"/>
    </row>
    <row r="209" spans="4:19" ht="15.75" customHeight="1">
      <c r="D209" s="4"/>
      <c r="E209" s="17"/>
      <c r="F209" s="17"/>
      <c r="G209" s="17"/>
      <c r="H209" s="17"/>
      <c r="Q209" s="4"/>
      <c r="R209" s="4"/>
      <c r="S209" s="4"/>
    </row>
    <row r="210" spans="4:19" ht="15.75" customHeight="1">
      <c r="D210" s="4"/>
      <c r="E210" s="17"/>
      <c r="F210" s="17"/>
      <c r="G210" s="17"/>
      <c r="H210" s="17"/>
      <c r="Q210" s="4"/>
      <c r="R210" s="4"/>
      <c r="S210" s="4"/>
    </row>
    <row r="211" spans="4:19" ht="15.75" customHeight="1">
      <c r="D211" s="4"/>
      <c r="E211" s="17"/>
      <c r="F211" s="17"/>
      <c r="G211" s="17"/>
      <c r="H211" s="17"/>
      <c r="Q211" s="4"/>
      <c r="R211" s="4"/>
      <c r="S211" s="4"/>
    </row>
    <row r="212" spans="4:19" ht="15.75" customHeight="1">
      <c r="D212" s="4"/>
      <c r="E212" s="17"/>
      <c r="F212" s="17"/>
      <c r="G212" s="17"/>
      <c r="H212" s="17"/>
      <c r="Q212" s="4"/>
      <c r="R212" s="4"/>
      <c r="S212" s="4"/>
    </row>
    <row r="213" spans="4:19" ht="15.75" customHeight="1">
      <c r="D213" s="4"/>
      <c r="E213" s="17"/>
      <c r="F213" s="17"/>
      <c r="G213" s="17"/>
      <c r="H213" s="17"/>
      <c r="Q213" s="4"/>
      <c r="R213" s="4"/>
      <c r="S213" s="4"/>
    </row>
    <row r="214" spans="4:19" ht="15.75" customHeight="1">
      <c r="D214" s="4"/>
      <c r="E214" s="17"/>
      <c r="F214" s="17"/>
      <c r="G214" s="17"/>
      <c r="H214" s="17"/>
      <c r="Q214" s="4"/>
      <c r="R214" s="4"/>
      <c r="S214" s="4"/>
    </row>
    <row r="215" spans="4:19" ht="15.75" customHeight="1">
      <c r="D215" s="4"/>
      <c r="E215" s="17"/>
      <c r="F215" s="17"/>
      <c r="G215" s="17"/>
      <c r="H215" s="17"/>
      <c r="Q215" s="4"/>
      <c r="R215" s="4"/>
      <c r="S215" s="4"/>
    </row>
    <row r="216" spans="4:19" ht="15.75" customHeight="1">
      <c r="D216" s="4"/>
      <c r="E216" s="17"/>
      <c r="F216" s="17"/>
      <c r="G216" s="17"/>
      <c r="H216" s="17"/>
      <c r="Q216" s="4"/>
      <c r="R216" s="4"/>
      <c r="S216" s="4"/>
    </row>
    <row r="217" spans="4:19" ht="15.75" customHeight="1">
      <c r="D217" s="4"/>
      <c r="E217" s="17"/>
      <c r="F217" s="17"/>
      <c r="G217" s="17"/>
      <c r="H217" s="17"/>
      <c r="Q217" s="4"/>
      <c r="R217" s="4"/>
      <c r="S217" s="4"/>
    </row>
    <row r="218" spans="4:19" ht="15.75" customHeight="1">
      <c r="D218" s="4"/>
      <c r="E218" s="17"/>
      <c r="F218" s="17"/>
      <c r="G218" s="17"/>
      <c r="H218" s="17"/>
      <c r="Q218" s="4"/>
      <c r="R218" s="4"/>
      <c r="S218" s="4"/>
    </row>
    <row r="219" spans="4:19" ht="15.75" customHeight="1">
      <c r="D219" s="4"/>
      <c r="E219" s="17"/>
      <c r="F219" s="17"/>
      <c r="G219" s="17"/>
      <c r="H219" s="17"/>
      <c r="Q219" s="4"/>
      <c r="R219" s="4"/>
      <c r="S219" s="4"/>
    </row>
    <row r="220" spans="4:19" ht="15.75" customHeight="1">
      <c r="D220" s="4"/>
      <c r="E220" s="17"/>
      <c r="F220" s="17"/>
      <c r="G220" s="17"/>
      <c r="H220" s="17"/>
      <c r="Q220" s="4"/>
      <c r="R220" s="4"/>
      <c r="S220" s="4"/>
    </row>
    <row r="221" spans="4:19" ht="15.75" customHeight="1">
      <c r="D221" s="4"/>
      <c r="E221" s="17"/>
      <c r="F221" s="17"/>
      <c r="G221" s="17"/>
      <c r="H221" s="17"/>
      <c r="Q221" s="4"/>
      <c r="R221" s="4"/>
      <c r="S221" s="4"/>
    </row>
    <row r="222" spans="4:19" ht="15.75" customHeight="1">
      <c r="D222" s="4"/>
      <c r="E222" s="17"/>
      <c r="F222" s="17"/>
      <c r="G222" s="17"/>
      <c r="H222" s="17"/>
      <c r="Q222" s="4"/>
      <c r="R222" s="4"/>
      <c r="S222" s="4"/>
    </row>
    <row r="223" spans="4:19" ht="15.75" customHeight="1">
      <c r="D223" s="4"/>
      <c r="E223" s="17"/>
      <c r="F223" s="17"/>
      <c r="G223" s="17"/>
      <c r="H223" s="17"/>
      <c r="Q223" s="4"/>
      <c r="R223" s="4"/>
      <c r="S223" s="4"/>
    </row>
    <row r="224" spans="4:19" ht="15.75" customHeight="1">
      <c r="D224" s="4"/>
      <c r="E224" s="17"/>
      <c r="F224" s="17"/>
      <c r="G224" s="17"/>
      <c r="H224" s="17"/>
      <c r="Q224" s="4"/>
      <c r="R224" s="4"/>
      <c r="S224" s="4"/>
    </row>
    <row r="225" spans="4:19" ht="15.75" customHeight="1">
      <c r="D225" s="4"/>
      <c r="E225" s="17"/>
      <c r="F225" s="17"/>
      <c r="G225" s="17"/>
      <c r="H225" s="17"/>
      <c r="Q225" s="4"/>
      <c r="R225" s="4"/>
      <c r="S225" s="4"/>
    </row>
    <row r="226" spans="4:19" ht="15.75" customHeight="1">
      <c r="D226" s="4"/>
      <c r="E226" s="17"/>
      <c r="F226" s="17"/>
      <c r="G226" s="17"/>
      <c r="H226" s="17"/>
      <c r="Q226" s="4"/>
      <c r="R226" s="4"/>
      <c r="S226" s="4"/>
    </row>
    <row r="227" spans="4:19" ht="15.75" customHeight="1">
      <c r="D227" s="4"/>
      <c r="E227" s="17"/>
      <c r="F227" s="17"/>
      <c r="G227" s="17"/>
      <c r="H227" s="17"/>
      <c r="Q227" s="4"/>
      <c r="R227" s="4"/>
      <c r="S227" s="4"/>
    </row>
    <row r="228" spans="4:19" ht="15.75" customHeight="1">
      <c r="D228" s="4"/>
      <c r="E228" s="17"/>
      <c r="F228" s="17"/>
      <c r="G228" s="17"/>
      <c r="H228" s="17"/>
      <c r="Q228" s="4"/>
      <c r="R228" s="4"/>
      <c r="S228" s="4"/>
    </row>
    <row r="229" spans="4:19" ht="15.75" customHeight="1">
      <c r="D229" s="4"/>
      <c r="E229" s="17"/>
      <c r="F229" s="17"/>
      <c r="G229" s="17"/>
      <c r="H229" s="17"/>
      <c r="Q229" s="4"/>
      <c r="R229" s="4"/>
      <c r="S229" s="4"/>
    </row>
    <row r="230" spans="4:19" ht="15.75" customHeight="1">
      <c r="D230" s="4"/>
      <c r="E230" s="17"/>
      <c r="F230" s="17"/>
      <c r="G230" s="17"/>
      <c r="H230" s="17"/>
      <c r="Q230" s="4"/>
      <c r="R230" s="4"/>
      <c r="S230" s="4"/>
    </row>
    <row r="231" spans="4:19" ht="15.75" customHeight="1">
      <c r="D231" s="4"/>
      <c r="E231" s="17"/>
      <c r="F231" s="17"/>
      <c r="G231" s="17"/>
      <c r="H231" s="17"/>
      <c r="Q231" s="4"/>
      <c r="R231" s="4"/>
      <c r="S231" s="4"/>
    </row>
    <row r="232" spans="4:19" ht="15.75" customHeight="1">
      <c r="D232" s="4"/>
      <c r="E232" s="17"/>
      <c r="F232" s="17"/>
      <c r="G232" s="17"/>
      <c r="H232" s="17"/>
      <c r="Q232" s="4"/>
      <c r="R232" s="4"/>
      <c r="S232" s="4"/>
    </row>
    <row r="233" spans="4:19" ht="15.75" customHeight="1">
      <c r="D233" s="4"/>
      <c r="E233" s="17"/>
      <c r="F233" s="17"/>
      <c r="G233" s="17"/>
      <c r="H233" s="17"/>
      <c r="Q233" s="4"/>
      <c r="R233" s="4"/>
      <c r="S233" s="4"/>
    </row>
    <row r="234" spans="4:19" ht="15.75" customHeight="1">
      <c r="D234" s="4"/>
      <c r="E234" s="17"/>
      <c r="F234" s="17"/>
      <c r="G234" s="17"/>
      <c r="H234" s="17"/>
      <c r="Q234" s="4"/>
      <c r="R234" s="4"/>
      <c r="S234" s="4"/>
    </row>
    <row r="235" spans="4:19" ht="15.75" customHeight="1">
      <c r="D235" s="4"/>
      <c r="E235" s="17"/>
      <c r="F235" s="17"/>
      <c r="G235" s="17"/>
      <c r="H235" s="17"/>
      <c r="Q235" s="4"/>
      <c r="R235" s="4"/>
      <c r="S235" s="4"/>
    </row>
    <row r="236" spans="4:19" ht="15.75" customHeight="1">
      <c r="D236" s="4"/>
      <c r="E236" s="17"/>
      <c r="F236" s="17"/>
      <c r="G236" s="17"/>
      <c r="H236" s="17"/>
      <c r="Q236" s="4"/>
      <c r="R236" s="4"/>
      <c r="S236" s="4"/>
    </row>
    <row r="237" spans="4:19" ht="15.75" customHeight="1">
      <c r="D237" s="4"/>
      <c r="E237" s="17"/>
      <c r="F237" s="17"/>
      <c r="G237" s="17"/>
      <c r="H237" s="17"/>
      <c r="Q237" s="4"/>
      <c r="R237" s="4"/>
      <c r="S237" s="4"/>
    </row>
    <row r="238" spans="4:19" ht="15.75" customHeight="1">
      <c r="D238" s="4"/>
      <c r="E238" s="17"/>
      <c r="F238" s="17"/>
      <c r="G238" s="17"/>
      <c r="H238" s="17"/>
      <c r="Q238" s="4"/>
      <c r="R238" s="4"/>
      <c r="S238" s="4"/>
    </row>
    <row r="239" spans="4:19" ht="15.75" customHeight="1">
      <c r="D239" s="4"/>
      <c r="E239" s="17"/>
      <c r="F239" s="17"/>
      <c r="G239" s="17"/>
      <c r="H239" s="17"/>
      <c r="Q239" s="4"/>
      <c r="R239" s="4"/>
      <c r="S239" s="4"/>
    </row>
    <row r="240" spans="4:19" ht="15.75" customHeight="1">
      <c r="D240" s="4"/>
      <c r="E240" s="17"/>
      <c r="F240" s="17"/>
      <c r="G240" s="17"/>
      <c r="H240" s="17"/>
      <c r="Q240" s="4"/>
      <c r="R240" s="4"/>
      <c r="S240" s="4"/>
    </row>
    <row r="241" spans="4:19" ht="15.75" customHeight="1">
      <c r="D241" s="4"/>
      <c r="E241" s="17"/>
      <c r="F241" s="17"/>
      <c r="G241" s="17"/>
      <c r="H241" s="17"/>
      <c r="Q241" s="4"/>
      <c r="R241" s="4"/>
      <c r="S241" s="4"/>
    </row>
    <row r="242" spans="4:19" ht="15.75" customHeight="1">
      <c r="D242" s="4"/>
      <c r="E242" s="17"/>
      <c r="F242" s="17"/>
      <c r="G242" s="17"/>
      <c r="H242" s="17"/>
      <c r="Q242" s="4"/>
      <c r="R242" s="4"/>
      <c r="S242" s="4"/>
    </row>
    <row r="243" spans="4:19" ht="15.75" customHeight="1">
      <c r="D243" s="4"/>
      <c r="E243" s="17"/>
      <c r="F243" s="17"/>
      <c r="G243" s="17"/>
      <c r="H243" s="17"/>
      <c r="Q243" s="4"/>
      <c r="R243" s="4"/>
      <c r="S243" s="4"/>
    </row>
    <row r="244" spans="4:19" ht="15.75" customHeight="1">
      <c r="D244" s="4"/>
      <c r="E244" s="17"/>
      <c r="F244" s="17"/>
      <c r="G244" s="17"/>
      <c r="H244" s="17"/>
      <c r="Q244" s="4"/>
      <c r="R244" s="4"/>
      <c r="S244" s="4"/>
    </row>
    <row r="245" spans="4:19" ht="15.75" customHeight="1">
      <c r="D245" s="4"/>
      <c r="E245" s="17"/>
      <c r="F245" s="17"/>
      <c r="G245" s="17"/>
      <c r="H245" s="17"/>
      <c r="Q245" s="4"/>
      <c r="R245" s="4"/>
      <c r="S245" s="4"/>
    </row>
    <row r="246" spans="4:19" ht="15.75" customHeight="1">
      <c r="D246" s="4"/>
      <c r="E246" s="17"/>
      <c r="F246" s="17"/>
      <c r="G246" s="17"/>
      <c r="H246" s="17"/>
      <c r="Q246" s="4"/>
      <c r="R246" s="4"/>
      <c r="S246" s="4"/>
    </row>
    <row r="247" spans="4:19" ht="15.75" customHeight="1">
      <c r="D247" s="4"/>
      <c r="E247" s="17"/>
      <c r="F247" s="17"/>
      <c r="G247" s="17"/>
      <c r="H247" s="17"/>
      <c r="Q247" s="4"/>
      <c r="R247" s="4"/>
      <c r="S247" s="4"/>
    </row>
    <row r="248" spans="4:19" ht="15.75" customHeight="1">
      <c r="D248" s="4"/>
      <c r="E248" s="17"/>
      <c r="F248" s="17"/>
      <c r="G248" s="17"/>
      <c r="H248" s="17"/>
      <c r="Q248" s="4"/>
      <c r="R248" s="4"/>
      <c r="S248" s="4"/>
    </row>
    <row r="249" spans="4:19" ht="15.75" customHeight="1">
      <c r="D249" s="4"/>
      <c r="E249" s="17"/>
      <c r="F249" s="17"/>
      <c r="G249" s="17"/>
      <c r="H249" s="17"/>
      <c r="Q249" s="4"/>
      <c r="R249" s="4"/>
      <c r="S249" s="4"/>
    </row>
    <row r="250" spans="4:19" ht="15.75" customHeight="1">
      <c r="D250" s="4"/>
      <c r="E250" s="17"/>
      <c r="F250" s="17"/>
      <c r="G250" s="17"/>
      <c r="H250" s="17"/>
      <c r="Q250" s="4"/>
      <c r="R250" s="4"/>
      <c r="S250" s="4"/>
    </row>
    <row r="251" spans="4:19" ht="15.75" customHeight="1">
      <c r="D251" s="4"/>
      <c r="E251" s="17"/>
      <c r="F251" s="17"/>
      <c r="G251" s="17"/>
      <c r="H251" s="17"/>
      <c r="Q251" s="4"/>
      <c r="R251" s="4"/>
      <c r="S251" s="4"/>
    </row>
    <row r="252" spans="4:19" ht="15.75" customHeight="1">
      <c r="D252" s="4"/>
      <c r="E252" s="17"/>
      <c r="F252" s="17"/>
      <c r="G252" s="17"/>
      <c r="H252" s="17"/>
      <c r="Q252" s="4"/>
      <c r="R252" s="4"/>
      <c r="S252" s="4"/>
    </row>
    <row r="253" spans="4:19" ht="15.75" customHeight="1">
      <c r="D253" s="4"/>
      <c r="E253" s="17"/>
      <c r="F253" s="17"/>
      <c r="G253" s="17"/>
      <c r="H253" s="17"/>
      <c r="Q253" s="4"/>
      <c r="R253" s="4"/>
      <c r="S253" s="4"/>
    </row>
    <row r="254" spans="4:19" ht="15.75" customHeight="1">
      <c r="D254" s="4"/>
      <c r="E254" s="17"/>
      <c r="F254" s="17"/>
      <c r="G254" s="17"/>
      <c r="H254" s="17"/>
      <c r="Q254" s="4"/>
      <c r="R254" s="4"/>
      <c r="S254" s="4"/>
    </row>
    <row r="255" spans="4:19" ht="15.75" customHeight="1">
      <c r="D255" s="4"/>
      <c r="E255" s="17"/>
      <c r="F255" s="17"/>
      <c r="G255" s="17"/>
      <c r="H255" s="17"/>
      <c r="Q255" s="4"/>
      <c r="R255" s="4"/>
      <c r="S255" s="4"/>
    </row>
    <row r="256" spans="4:19" ht="15.75" customHeight="1">
      <c r="D256" s="4"/>
      <c r="E256" s="17"/>
      <c r="F256" s="17"/>
      <c r="G256" s="17"/>
      <c r="H256" s="17"/>
      <c r="Q256" s="4"/>
      <c r="R256" s="4"/>
      <c r="S256" s="4"/>
    </row>
    <row r="257" spans="4:19" ht="15.75" customHeight="1">
      <c r="D257" s="4"/>
      <c r="E257" s="17"/>
      <c r="F257" s="17"/>
      <c r="G257" s="17"/>
      <c r="H257" s="17"/>
      <c r="Q257" s="4"/>
      <c r="R257" s="4"/>
      <c r="S257" s="4"/>
    </row>
    <row r="258" spans="4:19" ht="15.75" customHeight="1">
      <c r="D258" s="4"/>
      <c r="E258" s="17"/>
      <c r="F258" s="17"/>
      <c r="G258" s="17"/>
      <c r="H258" s="17"/>
      <c r="Q258" s="4"/>
      <c r="R258" s="4"/>
      <c r="S258" s="4"/>
    </row>
    <row r="259" spans="4:19" ht="15.75" customHeight="1">
      <c r="D259" s="4"/>
      <c r="E259" s="17"/>
      <c r="F259" s="17"/>
      <c r="G259" s="17"/>
      <c r="H259" s="17"/>
      <c r="Q259" s="4"/>
      <c r="R259" s="4"/>
      <c r="S259" s="4"/>
    </row>
    <row r="260" spans="4:19" ht="15.75" customHeight="1">
      <c r="D260" s="4"/>
      <c r="E260" s="17"/>
      <c r="F260" s="17"/>
      <c r="G260" s="17"/>
      <c r="H260" s="17"/>
      <c r="Q260" s="4"/>
      <c r="R260" s="4"/>
      <c r="S260" s="4"/>
    </row>
    <row r="261" spans="4:19" ht="15.75" customHeight="1">
      <c r="D261" s="4"/>
      <c r="E261" s="17"/>
      <c r="F261" s="17"/>
      <c r="G261" s="17"/>
      <c r="H261" s="17"/>
      <c r="Q261" s="4"/>
      <c r="R261" s="4"/>
      <c r="S261" s="4"/>
    </row>
    <row r="262" spans="4:19" ht="15.75" customHeight="1">
      <c r="D262" s="4"/>
      <c r="E262" s="17"/>
      <c r="F262" s="17"/>
      <c r="G262" s="17"/>
      <c r="H262" s="17"/>
      <c r="Q262" s="4"/>
      <c r="R262" s="4"/>
      <c r="S262" s="4"/>
    </row>
    <row r="263" spans="4:19" ht="15.75" customHeight="1">
      <c r="D263" s="4"/>
      <c r="E263" s="17"/>
      <c r="F263" s="17"/>
      <c r="G263" s="17"/>
      <c r="H263" s="17"/>
      <c r="Q263" s="4"/>
      <c r="R263" s="4"/>
      <c r="S263" s="4"/>
    </row>
    <row r="264" spans="4:19" ht="15.75" customHeight="1">
      <c r="D264" s="4"/>
      <c r="E264" s="17"/>
      <c r="F264" s="17"/>
      <c r="G264" s="17"/>
      <c r="H264" s="17"/>
      <c r="Q264" s="4"/>
      <c r="R264" s="4"/>
      <c r="S264" s="4"/>
    </row>
    <row r="265" spans="4:19" ht="15.75" customHeight="1">
      <c r="D265" s="4"/>
      <c r="E265" s="17"/>
      <c r="F265" s="17"/>
      <c r="G265" s="17"/>
      <c r="H265" s="17"/>
      <c r="Q265" s="4"/>
      <c r="R265" s="4"/>
      <c r="S265" s="4"/>
    </row>
    <row r="266" spans="4:19" ht="15.75" customHeight="1">
      <c r="D266" s="4"/>
      <c r="E266" s="17"/>
      <c r="F266" s="17"/>
      <c r="G266" s="17"/>
      <c r="H266" s="17"/>
      <c r="Q266" s="4"/>
      <c r="R266" s="4"/>
      <c r="S266" s="4"/>
    </row>
    <row r="267" spans="4:19" ht="15.75" customHeight="1">
      <c r="D267" s="4"/>
      <c r="E267" s="17"/>
      <c r="F267" s="17"/>
      <c r="G267" s="17"/>
      <c r="H267" s="17"/>
      <c r="Q267" s="4"/>
      <c r="R267" s="4"/>
      <c r="S267" s="4"/>
    </row>
    <row r="268" spans="4:19" ht="15.75" customHeight="1">
      <c r="D268" s="4"/>
      <c r="E268" s="17"/>
      <c r="F268" s="17"/>
      <c r="G268" s="17"/>
      <c r="H268" s="17"/>
      <c r="Q268" s="4"/>
      <c r="R268" s="4"/>
      <c r="S268" s="4"/>
    </row>
    <row r="269" spans="4:19" ht="15.75" customHeight="1">
      <c r="D269" s="4"/>
      <c r="E269" s="17"/>
      <c r="F269" s="17"/>
      <c r="G269" s="17"/>
      <c r="H269" s="17"/>
      <c r="Q269" s="4"/>
      <c r="R269" s="4"/>
      <c r="S269" s="4"/>
    </row>
    <row r="270" spans="4:19" ht="15.75" customHeight="1">
      <c r="D270" s="4"/>
      <c r="E270" s="17"/>
      <c r="F270" s="17"/>
      <c r="G270" s="17"/>
      <c r="H270" s="17"/>
      <c r="Q270" s="4"/>
      <c r="R270" s="4"/>
      <c r="S270" s="4"/>
    </row>
    <row r="271" spans="4:19" ht="15.75" customHeight="1">
      <c r="D271" s="4"/>
      <c r="E271" s="17"/>
      <c r="F271" s="17"/>
      <c r="G271" s="17"/>
      <c r="H271" s="17"/>
      <c r="Q271" s="4"/>
      <c r="R271" s="4"/>
      <c r="S271" s="4"/>
    </row>
    <row r="272" spans="4:19" ht="15.75" customHeight="1">
      <c r="D272" s="4"/>
      <c r="E272" s="17"/>
      <c r="F272" s="17"/>
      <c r="G272" s="17"/>
      <c r="H272" s="17"/>
      <c r="Q272" s="4"/>
      <c r="R272" s="4"/>
      <c r="S272" s="4"/>
    </row>
    <row r="273" spans="4:19" ht="15.75" customHeight="1">
      <c r="D273" s="4"/>
      <c r="E273" s="17"/>
      <c r="F273" s="17"/>
      <c r="G273" s="17"/>
      <c r="H273" s="17"/>
      <c r="Q273" s="4"/>
      <c r="R273" s="4"/>
      <c r="S273" s="4"/>
    </row>
    <row r="274" spans="4:19" ht="15.75" customHeight="1">
      <c r="D274" s="4"/>
      <c r="E274" s="17"/>
      <c r="F274" s="17"/>
      <c r="G274" s="17"/>
      <c r="H274" s="17"/>
      <c r="Q274" s="4"/>
      <c r="R274" s="4"/>
      <c r="S274" s="4"/>
    </row>
    <row r="275" spans="4:19" ht="15.75" customHeight="1">
      <c r="D275" s="4"/>
      <c r="E275" s="17"/>
      <c r="F275" s="17"/>
      <c r="G275" s="17"/>
      <c r="H275" s="17"/>
      <c r="Q275" s="4"/>
      <c r="R275" s="4"/>
      <c r="S275" s="4"/>
    </row>
    <row r="276" spans="4:19" ht="15.75" customHeight="1">
      <c r="D276" s="4"/>
      <c r="E276" s="17"/>
      <c r="F276" s="17"/>
      <c r="G276" s="17"/>
      <c r="H276" s="17"/>
      <c r="Q276" s="4"/>
      <c r="R276" s="4"/>
      <c r="S276" s="4"/>
    </row>
    <row r="277" spans="4:19" ht="15.75" customHeight="1">
      <c r="D277" s="4"/>
      <c r="E277" s="17"/>
      <c r="F277" s="17"/>
      <c r="G277" s="17"/>
      <c r="H277" s="17"/>
      <c r="Q277" s="4"/>
      <c r="R277" s="4"/>
      <c r="S277" s="4"/>
    </row>
    <row r="278" spans="4:19" ht="15.75" customHeight="1">
      <c r="D278" s="4"/>
      <c r="E278" s="17"/>
      <c r="F278" s="17"/>
      <c r="G278" s="17"/>
      <c r="H278" s="17"/>
      <c r="Q278" s="4"/>
      <c r="R278" s="4"/>
      <c r="S278" s="4"/>
    </row>
    <row r="279" spans="4:19" ht="15.75" customHeight="1">
      <c r="D279" s="4"/>
      <c r="E279" s="17"/>
      <c r="F279" s="17"/>
      <c r="G279" s="17"/>
      <c r="H279" s="17"/>
      <c r="Q279" s="4"/>
      <c r="R279" s="4"/>
      <c r="S279" s="4"/>
    </row>
    <row r="280" spans="4:19" ht="15.75" customHeight="1">
      <c r="D280" s="4"/>
      <c r="E280" s="17"/>
      <c r="F280" s="17"/>
      <c r="G280" s="17"/>
      <c r="H280" s="17"/>
      <c r="Q280" s="4"/>
      <c r="R280" s="4"/>
      <c r="S280" s="4"/>
    </row>
    <row r="281" spans="4:19" ht="15.75" customHeight="1">
      <c r="D281" s="4"/>
      <c r="E281" s="17"/>
      <c r="F281" s="17"/>
      <c r="G281" s="17"/>
      <c r="H281" s="17"/>
      <c r="Q281" s="4"/>
      <c r="R281" s="4"/>
      <c r="S281" s="4"/>
    </row>
    <row r="282" spans="4:19" ht="15.75" customHeight="1">
      <c r="D282" s="4"/>
      <c r="E282" s="17"/>
      <c r="F282" s="17"/>
      <c r="G282" s="17"/>
      <c r="H282" s="17"/>
      <c r="Q282" s="4"/>
      <c r="R282" s="4"/>
      <c r="S282" s="4"/>
    </row>
    <row r="283" spans="4:19" ht="15.75" customHeight="1">
      <c r="D283" s="4"/>
      <c r="E283" s="17"/>
      <c r="F283" s="17"/>
      <c r="G283" s="17"/>
      <c r="H283" s="17"/>
      <c r="Q283" s="4"/>
      <c r="R283" s="4"/>
      <c r="S283" s="4"/>
    </row>
    <row r="284" spans="4:19" ht="15.75" customHeight="1">
      <c r="D284" s="4"/>
      <c r="E284" s="17"/>
      <c r="F284" s="17"/>
      <c r="G284" s="17"/>
      <c r="H284" s="17"/>
      <c r="Q284" s="4"/>
      <c r="R284" s="4"/>
      <c r="S284" s="4"/>
    </row>
    <row r="285" spans="4:19" ht="15.75" customHeight="1">
      <c r="D285" s="4"/>
      <c r="E285" s="17"/>
      <c r="F285" s="17"/>
      <c r="G285" s="17"/>
      <c r="H285" s="17"/>
      <c r="Q285" s="4"/>
      <c r="R285" s="4"/>
      <c r="S285" s="4"/>
    </row>
    <row r="286" spans="4:19" ht="15.75" customHeight="1">
      <c r="D286" s="4"/>
      <c r="E286" s="17"/>
      <c r="F286" s="17"/>
      <c r="G286" s="17"/>
      <c r="H286" s="17"/>
      <c r="Q286" s="4"/>
      <c r="R286" s="4"/>
      <c r="S286" s="4"/>
    </row>
    <row r="287" spans="4:19" ht="15.75" customHeight="1">
      <c r="D287" s="4"/>
      <c r="E287" s="17"/>
      <c r="F287" s="17"/>
      <c r="G287" s="17"/>
      <c r="H287" s="17"/>
      <c r="Q287" s="4"/>
      <c r="R287" s="4"/>
      <c r="S287" s="4"/>
    </row>
    <row r="288" spans="4:19" ht="15.75" customHeight="1">
      <c r="D288" s="4"/>
      <c r="E288" s="17"/>
      <c r="F288" s="17"/>
      <c r="G288" s="17"/>
      <c r="H288" s="17"/>
      <c r="Q288" s="4"/>
      <c r="R288" s="4"/>
      <c r="S288" s="4"/>
    </row>
    <row r="289" spans="4:19" ht="15.75" customHeight="1">
      <c r="D289" s="4"/>
      <c r="E289" s="17"/>
      <c r="F289" s="17"/>
      <c r="G289" s="17"/>
      <c r="H289" s="17"/>
      <c r="Q289" s="4"/>
      <c r="R289" s="4"/>
      <c r="S289" s="4"/>
    </row>
    <row r="290" spans="4:19" ht="15.75" customHeight="1">
      <c r="D290" s="4"/>
      <c r="E290" s="17"/>
      <c r="F290" s="17"/>
      <c r="G290" s="17"/>
      <c r="H290" s="17"/>
      <c r="Q290" s="4"/>
      <c r="R290" s="4"/>
      <c r="S290" s="4"/>
    </row>
    <row r="291" spans="4:19" ht="15.75" customHeight="1">
      <c r="D291" s="4"/>
      <c r="E291" s="17"/>
      <c r="F291" s="17"/>
      <c r="G291" s="17"/>
      <c r="H291" s="17"/>
      <c r="Q291" s="4"/>
      <c r="R291" s="4"/>
      <c r="S291" s="4"/>
    </row>
    <row r="292" spans="4:19" ht="15.75" customHeight="1">
      <c r="D292" s="4"/>
      <c r="E292" s="17"/>
      <c r="F292" s="17"/>
      <c r="G292" s="17"/>
      <c r="H292" s="17"/>
      <c r="Q292" s="4"/>
      <c r="R292" s="4"/>
      <c r="S292" s="4"/>
    </row>
    <row r="293" spans="4:19" ht="15.75" customHeight="1">
      <c r="D293" s="4"/>
      <c r="E293" s="17"/>
      <c r="F293" s="17"/>
      <c r="G293" s="17"/>
      <c r="H293" s="17"/>
      <c r="Q293" s="4"/>
      <c r="R293" s="4"/>
      <c r="S293" s="4"/>
    </row>
    <row r="294" spans="4:19" ht="15.75" customHeight="1">
      <c r="D294" s="4"/>
      <c r="E294" s="17"/>
      <c r="F294" s="17"/>
      <c r="G294" s="17"/>
      <c r="H294" s="17"/>
      <c r="Q294" s="4"/>
      <c r="R294" s="4"/>
      <c r="S294" s="4"/>
    </row>
    <row r="295" spans="4:19" ht="15.75" customHeight="1">
      <c r="D295" s="4"/>
      <c r="E295" s="17"/>
      <c r="F295" s="17"/>
      <c r="G295" s="17"/>
      <c r="H295" s="17"/>
      <c r="Q295" s="4"/>
      <c r="R295" s="4"/>
      <c r="S295" s="4"/>
    </row>
    <row r="296" spans="4:19" ht="15.75" customHeight="1">
      <c r="D296" s="4"/>
      <c r="E296" s="17"/>
      <c r="F296" s="17"/>
      <c r="G296" s="17"/>
      <c r="H296" s="17"/>
      <c r="Q296" s="4"/>
      <c r="R296" s="4"/>
      <c r="S296" s="4"/>
    </row>
    <row r="297" spans="4:19" ht="15.75" customHeight="1">
      <c r="D297" s="4"/>
      <c r="E297" s="17"/>
      <c r="F297" s="17"/>
      <c r="G297" s="17"/>
      <c r="H297" s="17"/>
      <c r="Q297" s="4"/>
      <c r="R297" s="4"/>
      <c r="S297" s="4"/>
    </row>
    <row r="298" spans="4:19" ht="15.75" customHeight="1">
      <c r="D298" s="4"/>
      <c r="Q298" s="4"/>
      <c r="R298" s="4"/>
      <c r="S298" s="4"/>
    </row>
    <row r="299" spans="4:19" ht="15.75" customHeight="1">
      <c r="D299" s="4"/>
      <c r="Q299" s="4"/>
      <c r="R299" s="4"/>
      <c r="S299" s="4"/>
    </row>
    <row r="300" spans="4:19" ht="15.75" customHeight="1">
      <c r="D300" s="4"/>
      <c r="Q300" s="4"/>
      <c r="R300" s="4"/>
      <c r="S300" s="4"/>
    </row>
    <row r="301" spans="4:19" ht="15.75" customHeight="1">
      <c r="D301" s="4"/>
      <c r="Q301" s="4"/>
      <c r="R301" s="4"/>
      <c r="S301" s="4"/>
    </row>
    <row r="302" spans="4:19" ht="15.75" customHeight="1">
      <c r="D302" s="4"/>
      <c r="Q302" s="4"/>
      <c r="R302" s="4"/>
      <c r="S302" s="4"/>
    </row>
    <row r="303" spans="4:19" ht="15.75" customHeight="1">
      <c r="D303" s="4"/>
      <c r="Q303" s="4"/>
      <c r="R303" s="4"/>
      <c r="S303" s="4"/>
    </row>
    <row r="304" spans="4:19" ht="15.75" customHeight="1">
      <c r="D304" s="4"/>
      <c r="Q304" s="4"/>
      <c r="R304" s="4"/>
      <c r="S304" s="4"/>
    </row>
    <row r="305" spans="4:19" ht="15.75" customHeight="1">
      <c r="D305" s="4"/>
      <c r="Q305" s="4"/>
      <c r="R305" s="4"/>
      <c r="S305" s="4"/>
    </row>
    <row r="306" spans="4:19" ht="15.75" customHeight="1">
      <c r="D306" s="4"/>
      <c r="Q306" s="4"/>
      <c r="R306" s="4"/>
      <c r="S306" s="4"/>
    </row>
    <row r="307" spans="4:19" ht="15.75" customHeight="1">
      <c r="D307" s="4"/>
      <c r="Q307" s="4"/>
      <c r="R307" s="4"/>
      <c r="S307" s="4"/>
    </row>
    <row r="308" spans="4:19" ht="15.75" customHeight="1">
      <c r="D308" s="4"/>
      <c r="Q308" s="4"/>
      <c r="R308" s="4"/>
      <c r="S308" s="4"/>
    </row>
    <row r="309" spans="4:19" ht="15.75" customHeight="1">
      <c r="D309" s="4"/>
      <c r="Q309" s="4"/>
      <c r="R309" s="4"/>
      <c r="S309" s="4"/>
    </row>
    <row r="310" spans="4:19" ht="15.75" customHeight="1">
      <c r="D310" s="4"/>
      <c r="Q310" s="4"/>
      <c r="R310" s="4"/>
      <c r="S310" s="4"/>
    </row>
    <row r="311" spans="4:19" ht="15.75" customHeight="1">
      <c r="D311" s="4"/>
      <c r="Q311" s="4"/>
      <c r="R311" s="4"/>
      <c r="S311" s="4"/>
    </row>
    <row r="312" spans="4:19" ht="15.75" customHeight="1">
      <c r="D312" s="4"/>
      <c r="Q312" s="4"/>
      <c r="R312" s="4"/>
      <c r="S312" s="4"/>
    </row>
    <row r="313" spans="4:19" ht="15.75" customHeight="1">
      <c r="D313" s="4"/>
      <c r="Q313" s="4"/>
      <c r="R313" s="4"/>
      <c r="S313" s="4"/>
    </row>
    <row r="314" spans="4:19" ht="15.75" customHeight="1">
      <c r="D314" s="4"/>
      <c r="Q314" s="4"/>
      <c r="R314" s="4"/>
      <c r="S314" s="4"/>
    </row>
    <row r="315" spans="4:19" ht="15.75" customHeight="1">
      <c r="D315" s="4"/>
      <c r="Q315" s="4"/>
      <c r="R315" s="4"/>
      <c r="S315" s="4"/>
    </row>
    <row r="316" spans="4:19" ht="15.75" customHeight="1">
      <c r="D316" s="4"/>
      <c r="Q316" s="4"/>
      <c r="R316" s="4"/>
      <c r="S316" s="4"/>
    </row>
    <row r="317" spans="4:19" ht="15.75" customHeight="1">
      <c r="D317" s="4"/>
      <c r="Q317" s="4"/>
      <c r="R317" s="4"/>
      <c r="S317" s="4"/>
    </row>
    <row r="318" spans="4:19" ht="15.75" customHeight="1">
      <c r="D318" s="4"/>
      <c r="Q318" s="4"/>
      <c r="R318" s="4"/>
      <c r="S318" s="4"/>
    </row>
    <row r="319" spans="4:19" ht="15.75" customHeight="1">
      <c r="D319" s="4"/>
      <c r="Q319" s="4"/>
      <c r="R319" s="4"/>
      <c r="S319" s="4"/>
    </row>
    <row r="320" spans="4:19" ht="15.75" customHeight="1">
      <c r="D320" s="4"/>
      <c r="Q320" s="4"/>
      <c r="R320" s="4"/>
      <c r="S320" s="4"/>
    </row>
    <row r="321" spans="4:19" ht="15.75" customHeight="1">
      <c r="D321" s="4"/>
      <c r="Q321" s="4"/>
      <c r="R321" s="4"/>
      <c r="S321" s="4"/>
    </row>
    <row r="322" spans="4:19" ht="15.75" customHeight="1">
      <c r="D322" s="4"/>
      <c r="Q322" s="4"/>
      <c r="R322" s="4"/>
      <c r="S322" s="4"/>
    </row>
    <row r="323" spans="4:19" ht="15.75" customHeight="1">
      <c r="D323" s="4"/>
      <c r="Q323" s="4"/>
      <c r="R323" s="4"/>
      <c r="S323" s="4"/>
    </row>
    <row r="324" spans="4:19" ht="15.75" customHeight="1">
      <c r="D324" s="4"/>
      <c r="Q324" s="4"/>
      <c r="R324" s="4"/>
      <c r="S324" s="4"/>
    </row>
    <row r="325" spans="4:19" ht="15.75" customHeight="1">
      <c r="D325" s="4"/>
      <c r="Q325" s="4"/>
      <c r="R325" s="4"/>
      <c r="S325" s="4"/>
    </row>
    <row r="326" spans="4:19" ht="15.75" customHeight="1">
      <c r="D326" s="4"/>
      <c r="Q326" s="4"/>
      <c r="R326" s="4"/>
      <c r="S326" s="4"/>
    </row>
    <row r="327" spans="4:19" ht="15.75" customHeight="1">
      <c r="D327" s="4"/>
      <c r="Q327" s="4"/>
      <c r="R327" s="4"/>
      <c r="S327" s="4"/>
    </row>
    <row r="328" spans="4:19" ht="15.75" customHeight="1">
      <c r="D328" s="4"/>
      <c r="Q328" s="4"/>
      <c r="R328" s="4"/>
      <c r="S328" s="4"/>
    </row>
    <row r="329" spans="4:19" ht="15.75" customHeight="1">
      <c r="D329" s="4"/>
      <c r="Q329" s="4"/>
      <c r="R329" s="4"/>
      <c r="S329" s="4"/>
    </row>
    <row r="330" spans="4:19" ht="15.75" customHeight="1">
      <c r="D330" s="4"/>
      <c r="Q330" s="4"/>
      <c r="R330" s="4"/>
      <c r="S330" s="4"/>
    </row>
    <row r="331" spans="4:19" ht="15.75" customHeight="1">
      <c r="D331" s="4"/>
      <c r="Q331" s="4"/>
      <c r="R331" s="4"/>
      <c r="S331" s="4"/>
    </row>
    <row r="332" spans="4:19" ht="15.75" customHeight="1">
      <c r="D332" s="4"/>
      <c r="Q332" s="4"/>
      <c r="R332" s="4"/>
      <c r="S332" s="4"/>
    </row>
    <row r="333" spans="4:19" ht="15.75" customHeight="1">
      <c r="D333" s="4"/>
      <c r="Q333" s="4"/>
      <c r="R333" s="4"/>
      <c r="S333" s="4"/>
    </row>
    <row r="334" spans="4:19" ht="15.75" customHeight="1">
      <c r="D334" s="4"/>
      <c r="Q334" s="4"/>
      <c r="R334" s="4"/>
      <c r="S334" s="4"/>
    </row>
    <row r="335" spans="4:19" ht="15.75" customHeight="1">
      <c r="D335" s="4"/>
      <c r="Q335" s="4"/>
      <c r="R335" s="4"/>
      <c r="S335" s="4"/>
    </row>
    <row r="336" spans="4:19" ht="15.75" customHeight="1">
      <c r="D336" s="4"/>
      <c r="Q336" s="4"/>
      <c r="R336" s="4"/>
      <c r="S336" s="4"/>
    </row>
    <row r="337" spans="4:19" ht="15.75" customHeight="1">
      <c r="D337" s="4"/>
      <c r="Q337" s="4"/>
      <c r="R337" s="4"/>
      <c r="S337" s="4"/>
    </row>
    <row r="338" spans="4:19" ht="15.75" customHeight="1">
      <c r="D338" s="4"/>
      <c r="Q338" s="4"/>
      <c r="R338" s="4"/>
      <c r="S338" s="4"/>
    </row>
    <row r="339" spans="4:19" ht="15.75" customHeight="1">
      <c r="D339" s="4"/>
      <c r="Q339" s="4"/>
      <c r="R339" s="4"/>
      <c r="S339" s="4"/>
    </row>
    <row r="340" spans="4:19" ht="15.75" customHeight="1">
      <c r="D340" s="4"/>
      <c r="Q340" s="4"/>
      <c r="R340" s="4"/>
      <c r="S340" s="4"/>
    </row>
    <row r="341" spans="4:19" ht="15.75" customHeight="1">
      <c r="D341" s="4"/>
      <c r="Q341" s="4"/>
      <c r="R341" s="4"/>
      <c r="S341" s="4"/>
    </row>
    <row r="342" spans="4:19" ht="15.75" customHeight="1">
      <c r="D342" s="4"/>
      <c r="Q342" s="4"/>
      <c r="R342" s="4"/>
      <c r="S342" s="4"/>
    </row>
    <row r="343" spans="4:19" ht="15.75" customHeight="1">
      <c r="D343" s="4"/>
      <c r="Q343" s="4"/>
      <c r="R343" s="4"/>
      <c r="S343" s="4"/>
    </row>
    <row r="344" spans="4:19" ht="15.75" customHeight="1">
      <c r="D344" s="4"/>
      <c r="Q344" s="4"/>
      <c r="R344" s="4"/>
      <c r="S344" s="4"/>
    </row>
    <row r="345" spans="4:19" ht="15.75" customHeight="1">
      <c r="D345" s="4"/>
      <c r="Q345" s="4"/>
      <c r="R345" s="4"/>
      <c r="S345" s="4"/>
    </row>
    <row r="346" spans="4:19" ht="15.75" customHeight="1">
      <c r="D346" s="4"/>
      <c r="Q346" s="4"/>
      <c r="R346" s="4"/>
      <c r="S346" s="4"/>
    </row>
    <row r="347" spans="4:19" ht="15.75" customHeight="1">
      <c r="D347" s="4"/>
      <c r="Q347" s="4"/>
      <c r="R347" s="4"/>
      <c r="S347" s="4"/>
    </row>
    <row r="348" spans="4:19" ht="15.75" customHeight="1">
      <c r="D348" s="4"/>
      <c r="Q348" s="4"/>
      <c r="R348" s="4"/>
      <c r="S348" s="4"/>
    </row>
    <row r="349" spans="4:19" ht="15.75" customHeight="1">
      <c r="D349" s="4"/>
      <c r="Q349" s="4"/>
      <c r="R349" s="4"/>
      <c r="S349" s="4"/>
    </row>
    <row r="350" spans="4:19" ht="15.75" customHeight="1">
      <c r="D350" s="4"/>
      <c r="Q350" s="4"/>
      <c r="R350" s="4"/>
      <c r="S350" s="4"/>
    </row>
    <row r="351" spans="4:19" ht="15.75" customHeight="1">
      <c r="D351" s="4"/>
      <c r="Q351" s="4"/>
      <c r="R351" s="4"/>
      <c r="S351" s="4"/>
    </row>
    <row r="352" spans="4:19" ht="15.75" customHeight="1">
      <c r="D352" s="4"/>
      <c r="Q352" s="4"/>
      <c r="R352" s="4"/>
      <c r="S352" s="4"/>
    </row>
    <row r="353" spans="4:19" ht="15.75" customHeight="1">
      <c r="D353" s="4"/>
      <c r="Q353" s="4"/>
      <c r="R353" s="4"/>
      <c r="S353" s="4"/>
    </row>
    <row r="354" spans="4:19" ht="15.75" customHeight="1">
      <c r="D354" s="4"/>
      <c r="Q354" s="4"/>
      <c r="R354" s="4"/>
      <c r="S354" s="4"/>
    </row>
    <row r="355" spans="4:19" ht="15.75" customHeight="1">
      <c r="D355" s="4"/>
      <c r="Q355" s="4"/>
      <c r="R355" s="4"/>
      <c r="S355" s="4"/>
    </row>
    <row r="356" spans="4:19" ht="15.75" customHeight="1">
      <c r="D356" s="4"/>
      <c r="Q356" s="4"/>
      <c r="R356" s="4"/>
      <c r="S356" s="4"/>
    </row>
    <row r="357" spans="4:19" ht="15.75" customHeight="1">
      <c r="D357" s="4"/>
      <c r="Q357" s="4"/>
      <c r="R357" s="4"/>
      <c r="S357" s="4"/>
    </row>
    <row r="358" spans="4:19" ht="15.75" customHeight="1">
      <c r="D358" s="4"/>
      <c r="Q358" s="4"/>
      <c r="R358" s="4"/>
      <c r="S358" s="4"/>
    </row>
    <row r="359" spans="4:19" ht="15.75" customHeight="1">
      <c r="D359" s="4"/>
      <c r="Q359" s="4"/>
      <c r="R359" s="4"/>
      <c r="S359" s="4"/>
    </row>
    <row r="360" spans="4:19" ht="15.75" customHeight="1">
      <c r="D360" s="4"/>
      <c r="Q360" s="4"/>
      <c r="R360" s="4"/>
      <c r="S360" s="4"/>
    </row>
    <row r="361" spans="4:19" ht="15.75" customHeight="1">
      <c r="D361" s="4"/>
      <c r="Q361" s="4"/>
      <c r="R361" s="4"/>
      <c r="S361" s="4"/>
    </row>
    <row r="362" spans="4:19" ht="15.75" customHeight="1">
      <c r="D362" s="4"/>
      <c r="Q362" s="4"/>
      <c r="R362" s="4"/>
      <c r="S362" s="4"/>
    </row>
    <row r="363" spans="4:19" ht="15.75" customHeight="1">
      <c r="D363" s="4"/>
      <c r="Q363" s="4"/>
      <c r="R363" s="4"/>
      <c r="S363" s="4"/>
    </row>
    <row r="364" spans="4:19" ht="15.75" customHeight="1">
      <c r="D364" s="4"/>
      <c r="Q364" s="4"/>
      <c r="R364" s="4"/>
      <c r="S364" s="4"/>
    </row>
    <row r="365" spans="4:19" ht="15.75" customHeight="1">
      <c r="D365" s="4"/>
      <c r="Q365" s="4"/>
      <c r="R365" s="4"/>
      <c r="S365" s="4"/>
    </row>
    <row r="366" spans="4:19" ht="15.75" customHeight="1">
      <c r="D366" s="4"/>
      <c r="Q366" s="4"/>
      <c r="R366" s="4"/>
      <c r="S366" s="4"/>
    </row>
    <row r="367" spans="4:19" ht="15.75" customHeight="1">
      <c r="D367" s="4"/>
      <c r="Q367" s="4"/>
      <c r="R367" s="4"/>
      <c r="S367" s="4"/>
    </row>
    <row r="368" spans="4:19" ht="15.75" customHeight="1">
      <c r="D368" s="4"/>
      <c r="Q368" s="4"/>
      <c r="R368" s="4"/>
      <c r="S368" s="4"/>
    </row>
    <row r="369" spans="4:19" ht="15.75" customHeight="1">
      <c r="D369" s="4"/>
      <c r="Q369" s="4"/>
      <c r="R369" s="4"/>
      <c r="S369" s="4"/>
    </row>
    <row r="370" spans="4:19" ht="15.75" customHeight="1">
      <c r="D370" s="4"/>
      <c r="Q370" s="4"/>
      <c r="R370" s="4"/>
      <c r="S370" s="4"/>
    </row>
    <row r="371" spans="4:19" ht="15.75" customHeight="1">
      <c r="D371" s="4"/>
      <c r="Q371" s="4"/>
      <c r="R371" s="4"/>
      <c r="S371" s="4"/>
    </row>
    <row r="372" spans="4:19" ht="15.75" customHeight="1">
      <c r="D372" s="4"/>
      <c r="Q372" s="4"/>
      <c r="R372" s="4"/>
      <c r="S372" s="4"/>
    </row>
    <row r="373" spans="4:19" ht="15.75" customHeight="1">
      <c r="D373" s="4"/>
      <c r="Q373" s="4"/>
      <c r="R373" s="4"/>
      <c r="S373" s="4"/>
    </row>
    <row r="374" spans="4:19" ht="15.75" customHeight="1">
      <c r="D374" s="4"/>
      <c r="Q374" s="4"/>
      <c r="R374" s="4"/>
      <c r="S374" s="4"/>
    </row>
    <row r="375" spans="4:19" ht="15.75" customHeight="1">
      <c r="D375" s="4"/>
      <c r="Q375" s="4"/>
      <c r="R375" s="4"/>
      <c r="S375" s="4"/>
    </row>
    <row r="376" spans="4:19" ht="15.75" customHeight="1">
      <c r="D376" s="4"/>
      <c r="Q376" s="4"/>
      <c r="R376" s="4"/>
      <c r="S376" s="4"/>
    </row>
    <row r="377" spans="4:19" ht="15.75" customHeight="1">
      <c r="D377" s="4"/>
      <c r="Q377" s="4"/>
      <c r="R377" s="4"/>
      <c r="S377" s="4"/>
    </row>
    <row r="378" spans="4:19" ht="15.75" customHeight="1">
      <c r="D378" s="4"/>
      <c r="Q378" s="4"/>
      <c r="R378" s="4"/>
      <c r="S378" s="4"/>
    </row>
    <row r="379" spans="4:19" ht="15.75" customHeight="1">
      <c r="D379" s="4"/>
      <c r="Q379" s="4"/>
      <c r="R379" s="4"/>
      <c r="S379" s="4"/>
    </row>
    <row r="380" spans="4:19" ht="15.75" customHeight="1">
      <c r="D380" s="4"/>
      <c r="Q380" s="4"/>
      <c r="R380" s="4"/>
      <c r="S380" s="4"/>
    </row>
    <row r="381" spans="4:19" ht="15.75" customHeight="1">
      <c r="D381" s="4"/>
      <c r="Q381" s="4"/>
      <c r="R381" s="4"/>
      <c r="S381" s="4"/>
    </row>
    <row r="382" spans="4:19" ht="15.75" customHeight="1">
      <c r="D382" s="4"/>
      <c r="Q382" s="4"/>
      <c r="R382" s="4"/>
      <c r="S382" s="4"/>
    </row>
    <row r="383" spans="4:19" ht="15.75" customHeight="1">
      <c r="D383" s="4"/>
      <c r="Q383" s="4"/>
      <c r="R383" s="4"/>
      <c r="S383" s="4"/>
    </row>
    <row r="384" spans="4:19" ht="15.75" customHeight="1">
      <c r="D384" s="4"/>
      <c r="Q384" s="4"/>
      <c r="R384" s="4"/>
      <c r="S384" s="4"/>
    </row>
    <row r="385" spans="4:19" ht="15.75" customHeight="1">
      <c r="D385" s="4"/>
      <c r="Q385" s="4"/>
      <c r="R385" s="4"/>
      <c r="S385" s="4"/>
    </row>
    <row r="386" spans="4:19" ht="15.75" customHeight="1">
      <c r="D386" s="4"/>
      <c r="Q386" s="4"/>
      <c r="R386" s="4"/>
      <c r="S386" s="4"/>
    </row>
    <row r="387" spans="4:19" ht="15.75" customHeight="1">
      <c r="D387" s="4"/>
      <c r="Q387" s="4"/>
      <c r="R387" s="4"/>
      <c r="S387" s="4"/>
    </row>
    <row r="388" spans="4:19" ht="15.75" customHeight="1">
      <c r="D388" s="4"/>
      <c r="Q388" s="4"/>
      <c r="R388" s="4"/>
      <c r="S388" s="4"/>
    </row>
    <row r="389" spans="4:19" ht="15.75" customHeight="1">
      <c r="D389" s="4"/>
      <c r="Q389" s="4"/>
      <c r="R389" s="4"/>
      <c r="S389" s="4"/>
    </row>
    <row r="390" spans="4:19" ht="15.75" customHeight="1">
      <c r="D390" s="4"/>
      <c r="Q390" s="4"/>
      <c r="R390" s="4"/>
      <c r="S390" s="4"/>
    </row>
    <row r="391" spans="4:19" ht="15.75" customHeight="1">
      <c r="D391" s="4"/>
      <c r="Q391" s="4"/>
      <c r="R391" s="4"/>
      <c r="S391" s="4"/>
    </row>
    <row r="392" spans="4:19" ht="15.75" customHeight="1">
      <c r="D392" s="4"/>
      <c r="Q392" s="4"/>
      <c r="R392" s="4"/>
      <c r="S392" s="4"/>
    </row>
    <row r="393" spans="4:19" ht="15.75" customHeight="1">
      <c r="D393" s="4"/>
      <c r="Q393" s="4"/>
      <c r="R393" s="4"/>
      <c r="S393" s="4"/>
    </row>
    <row r="394" spans="4:19" ht="15.75" customHeight="1">
      <c r="D394" s="4"/>
      <c r="Q394" s="4"/>
      <c r="R394" s="4"/>
      <c r="S394" s="4"/>
    </row>
    <row r="395" spans="4:19" ht="15.75" customHeight="1">
      <c r="D395" s="4"/>
      <c r="Q395" s="4"/>
      <c r="R395" s="4"/>
      <c r="S395" s="4"/>
    </row>
    <row r="396" spans="4:19" ht="15.75" customHeight="1">
      <c r="D396" s="4"/>
      <c r="Q396" s="4"/>
      <c r="R396" s="4"/>
      <c r="S396" s="4"/>
    </row>
    <row r="397" spans="4:19" ht="15.75" customHeight="1">
      <c r="D397" s="4"/>
      <c r="Q397" s="4"/>
      <c r="R397" s="4"/>
      <c r="S397" s="4"/>
    </row>
    <row r="398" spans="4:19" ht="15.75" customHeight="1">
      <c r="D398" s="4"/>
      <c r="Q398" s="4"/>
      <c r="R398" s="4"/>
      <c r="S398" s="4"/>
    </row>
    <row r="399" spans="4:19" ht="15.75" customHeight="1">
      <c r="D399" s="4"/>
      <c r="Q399" s="4"/>
      <c r="R399" s="4"/>
      <c r="S399" s="4"/>
    </row>
    <row r="400" spans="4:19" ht="15.75" customHeight="1">
      <c r="D400" s="4"/>
      <c r="Q400" s="4"/>
      <c r="R400" s="4"/>
      <c r="S400" s="4"/>
    </row>
    <row r="401" spans="4:19" ht="15.75" customHeight="1">
      <c r="D401" s="4"/>
      <c r="Q401" s="4"/>
      <c r="R401" s="4"/>
      <c r="S401" s="4"/>
    </row>
    <row r="402" spans="4:19" ht="15.75" customHeight="1">
      <c r="D402" s="4"/>
      <c r="Q402" s="4"/>
      <c r="R402" s="4"/>
      <c r="S402" s="4"/>
    </row>
    <row r="403" spans="4:19" ht="15.75" customHeight="1">
      <c r="D403" s="4"/>
      <c r="Q403" s="4"/>
      <c r="R403" s="4"/>
      <c r="S403" s="4"/>
    </row>
    <row r="404" spans="4:19" ht="15.75" customHeight="1">
      <c r="D404" s="4"/>
      <c r="Q404" s="4"/>
      <c r="R404" s="4"/>
      <c r="S404" s="4"/>
    </row>
    <row r="405" spans="4:19" ht="15.75" customHeight="1">
      <c r="D405" s="4"/>
      <c r="Q405" s="4"/>
      <c r="R405" s="4"/>
      <c r="S405" s="4"/>
    </row>
    <row r="406" spans="4:19" ht="15.75" customHeight="1">
      <c r="D406" s="4"/>
      <c r="Q406" s="4"/>
      <c r="R406" s="4"/>
      <c r="S406" s="4"/>
    </row>
    <row r="407" spans="4:19" ht="15.75" customHeight="1">
      <c r="D407" s="4"/>
      <c r="Q407" s="4"/>
      <c r="R407" s="4"/>
      <c r="S407" s="4"/>
    </row>
    <row r="408" spans="4:19" ht="15.75" customHeight="1">
      <c r="D408" s="4"/>
      <c r="Q408" s="4"/>
      <c r="R408" s="4"/>
      <c r="S408" s="4"/>
    </row>
    <row r="409" spans="4:19" ht="15.75" customHeight="1">
      <c r="D409" s="4"/>
      <c r="Q409" s="4"/>
      <c r="R409" s="4"/>
      <c r="S409" s="4"/>
    </row>
    <row r="410" spans="4:19" ht="15.75" customHeight="1">
      <c r="D410" s="4"/>
      <c r="Q410" s="4"/>
      <c r="R410" s="4"/>
      <c r="S410" s="4"/>
    </row>
    <row r="411" spans="4:19" ht="15.75" customHeight="1">
      <c r="D411" s="4"/>
      <c r="Q411" s="4"/>
      <c r="R411" s="4"/>
      <c r="S411" s="4"/>
    </row>
    <row r="412" spans="4:19" ht="15.75" customHeight="1">
      <c r="D412" s="4"/>
      <c r="Q412" s="4"/>
      <c r="R412" s="4"/>
      <c r="S412" s="4"/>
    </row>
    <row r="413" spans="4:19" ht="15.75" customHeight="1">
      <c r="D413" s="4"/>
      <c r="Q413" s="4"/>
      <c r="R413" s="4"/>
      <c r="S413" s="4"/>
    </row>
    <row r="414" spans="4:19" ht="15.75" customHeight="1">
      <c r="D414" s="4"/>
      <c r="Q414" s="4"/>
      <c r="R414" s="4"/>
      <c r="S414" s="4"/>
    </row>
    <row r="415" spans="4:19" ht="15.75" customHeight="1">
      <c r="D415" s="4"/>
      <c r="Q415" s="4"/>
      <c r="R415" s="4"/>
      <c r="S415" s="4"/>
    </row>
    <row r="416" spans="4:19" ht="15.75" customHeight="1">
      <c r="D416" s="4"/>
      <c r="Q416" s="4"/>
      <c r="R416" s="4"/>
      <c r="S416" s="4"/>
    </row>
    <row r="417" spans="4:19" ht="15.75" customHeight="1">
      <c r="D417" s="4"/>
      <c r="Q417" s="4"/>
      <c r="R417" s="4"/>
      <c r="S417" s="4"/>
    </row>
    <row r="418" spans="4:19" ht="15.75" customHeight="1">
      <c r="D418" s="4"/>
      <c r="Q418" s="4"/>
      <c r="R418" s="4"/>
      <c r="S418" s="4"/>
    </row>
    <row r="419" spans="4:19" ht="15.75" customHeight="1">
      <c r="D419" s="4"/>
      <c r="Q419" s="4"/>
      <c r="R419" s="4"/>
      <c r="S419" s="4"/>
    </row>
    <row r="420" spans="4:19" ht="15.75" customHeight="1">
      <c r="D420" s="4"/>
      <c r="Q420" s="4"/>
      <c r="R420" s="4"/>
      <c r="S420" s="4"/>
    </row>
    <row r="421" spans="4:19" ht="15.75" customHeight="1">
      <c r="D421" s="4"/>
      <c r="Q421" s="4"/>
      <c r="R421" s="4"/>
      <c r="S421" s="4"/>
    </row>
    <row r="422" spans="4:19" ht="15.75" customHeight="1">
      <c r="D422" s="4"/>
      <c r="Q422" s="4"/>
      <c r="R422" s="4"/>
      <c r="S422" s="4"/>
    </row>
    <row r="423" spans="4:19" ht="15.75" customHeight="1">
      <c r="D423" s="4"/>
      <c r="Q423" s="4"/>
      <c r="R423" s="4"/>
      <c r="S423" s="4"/>
    </row>
    <row r="424" spans="4:19" ht="15.75" customHeight="1">
      <c r="D424" s="4"/>
      <c r="Q424" s="4"/>
      <c r="R424" s="4"/>
      <c r="S424" s="4"/>
    </row>
    <row r="425" spans="4:19" ht="15.75" customHeight="1">
      <c r="D425" s="4"/>
      <c r="Q425" s="4"/>
      <c r="R425" s="4"/>
      <c r="S425" s="4"/>
    </row>
    <row r="426" spans="4:19" ht="15.75" customHeight="1">
      <c r="D426" s="4"/>
      <c r="Q426" s="4"/>
      <c r="R426" s="4"/>
      <c r="S426" s="4"/>
    </row>
    <row r="427" spans="4:19" ht="15.75" customHeight="1">
      <c r="D427" s="4"/>
      <c r="Q427" s="4"/>
      <c r="R427" s="4"/>
      <c r="S427" s="4"/>
    </row>
    <row r="428" spans="4:19" ht="15.75" customHeight="1">
      <c r="D428" s="4"/>
      <c r="Q428" s="4"/>
      <c r="R428" s="4"/>
      <c r="S428" s="4"/>
    </row>
    <row r="429" spans="4:19" ht="15.75" customHeight="1">
      <c r="D429" s="4"/>
      <c r="Q429" s="4"/>
      <c r="R429" s="4"/>
      <c r="S429" s="4"/>
    </row>
    <row r="430" spans="4:19" ht="15.75" customHeight="1">
      <c r="D430" s="4"/>
      <c r="Q430" s="4"/>
      <c r="R430" s="4"/>
      <c r="S430" s="4"/>
    </row>
    <row r="431" spans="4:19" ht="15.75" customHeight="1">
      <c r="D431" s="4"/>
      <c r="Q431" s="4"/>
      <c r="R431" s="4"/>
      <c r="S431" s="4"/>
    </row>
    <row r="432" spans="4:19" ht="15.75" customHeight="1">
      <c r="D432" s="4"/>
      <c r="Q432" s="4"/>
      <c r="R432" s="4"/>
      <c r="S432" s="4"/>
    </row>
    <row r="433" spans="4:19" ht="15.75" customHeight="1">
      <c r="D433" s="4"/>
      <c r="Q433" s="4"/>
      <c r="R433" s="4"/>
      <c r="S433" s="4"/>
    </row>
    <row r="434" spans="4:19" ht="15.75" customHeight="1">
      <c r="D434" s="4"/>
      <c r="Q434" s="4"/>
      <c r="R434" s="4"/>
      <c r="S434" s="4"/>
    </row>
    <row r="435" spans="4:19" ht="15.75" customHeight="1">
      <c r="D435" s="4"/>
      <c r="Q435" s="4"/>
      <c r="R435" s="4"/>
      <c r="S435" s="4"/>
    </row>
    <row r="436" spans="4:19" ht="15.75" customHeight="1">
      <c r="D436" s="4"/>
      <c r="Q436" s="4"/>
      <c r="R436" s="4"/>
      <c r="S436" s="4"/>
    </row>
    <row r="437" spans="4:19" ht="15.75" customHeight="1">
      <c r="D437" s="4"/>
      <c r="Q437" s="4"/>
      <c r="R437" s="4"/>
      <c r="S437" s="4"/>
    </row>
    <row r="438" spans="4:19" ht="15.75" customHeight="1">
      <c r="D438" s="4"/>
      <c r="Q438" s="4"/>
      <c r="R438" s="4"/>
      <c r="S438" s="4"/>
    </row>
    <row r="439" spans="4:19" ht="15.75" customHeight="1">
      <c r="D439" s="4"/>
      <c r="Q439" s="4"/>
      <c r="R439" s="4"/>
      <c r="S439" s="4"/>
    </row>
    <row r="440" spans="4:19" ht="15.75" customHeight="1">
      <c r="D440" s="4"/>
      <c r="Q440" s="4"/>
      <c r="R440" s="4"/>
      <c r="S440" s="4"/>
    </row>
    <row r="441" spans="4:19" ht="15.75" customHeight="1">
      <c r="D441" s="4"/>
      <c r="Q441" s="4"/>
      <c r="R441" s="4"/>
      <c r="S441" s="4"/>
    </row>
    <row r="442" spans="4:19" ht="15.75" customHeight="1">
      <c r="D442" s="4"/>
      <c r="Q442" s="4"/>
      <c r="R442" s="4"/>
      <c r="S442" s="4"/>
    </row>
    <row r="443" spans="4:19" ht="15.75" customHeight="1">
      <c r="D443" s="4"/>
      <c r="Q443" s="4"/>
      <c r="R443" s="4"/>
      <c r="S443" s="4"/>
    </row>
    <row r="444" spans="4:19" ht="15.75" customHeight="1">
      <c r="D444" s="4"/>
      <c r="Q444" s="4"/>
      <c r="R444" s="4"/>
      <c r="S444" s="4"/>
    </row>
    <row r="445" spans="4:19" ht="15.75" customHeight="1">
      <c r="D445" s="4"/>
      <c r="Q445" s="4"/>
      <c r="R445" s="4"/>
      <c r="S445" s="4"/>
    </row>
    <row r="446" spans="4:19" ht="15.75" customHeight="1">
      <c r="D446" s="4"/>
      <c r="Q446" s="4"/>
      <c r="R446" s="4"/>
      <c r="S446" s="4"/>
    </row>
    <row r="447" spans="4:19" ht="15.75" customHeight="1">
      <c r="D447" s="4"/>
      <c r="Q447" s="4"/>
      <c r="R447" s="4"/>
      <c r="S447" s="4"/>
    </row>
    <row r="448" spans="4:19" ht="15.75" customHeight="1">
      <c r="D448" s="4"/>
      <c r="Q448" s="4"/>
      <c r="R448" s="4"/>
      <c r="S448" s="4"/>
    </row>
    <row r="449" spans="4:19" ht="15.75" customHeight="1">
      <c r="D449" s="4"/>
      <c r="Q449" s="4"/>
      <c r="R449" s="4"/>
      <c r="S449" s="4"/>
    </row>
    <row r="450" spans="4:19" ht="15.75" customHeight="1">
      <c r="D450" s="4"/>
      <c r="Q450" s="4"/>
      <c r="R450" s="4"/>
      <c r="S450" s="4"/>
    </row>
    <row r="451" spans="4:19" ht="15.75" customHeight="1">
      <c r="D451" s="4"/>
      <c r="Q451" s="4"/>
      <c r="R451" s="4"/>
      <c r="S451" s="4"/>
    </row>
    <row r="452" spans="4:19" ht="15.75" customHeight="1">
      <c r="D452" s="4"/>
      <c r="Q452" s="4"/>
      <c r="R452" s="4"/>
      <c r="S452" s="4"/>
    </row>
    <row r="453" spans="4:19" ht="15.75" customHeight="1">
      <c r="D453" s="4"/>
      <c r="Q453" s="4"/>
      <c r="R453" s="4"/>
      <c r="S453" s="4"/>
    </row>
    <row r="454" spans="4:19" ht="15.75" customHeight="1">
      <c r="D454" s="4"/>
      <c r="Q454" s="4"/>
      <c r="R454" s="4"/>
      <c r="S454" s="4"/>
    </row>
    <row r="455" spans="4:19" ht="15.75" customHeight="1">
      <c r="D455" s="4"/>
      <c r="Q455" s="4"/>
      <c r="R455" s="4"/>
      <c r="S455" s="4"/>
    </row>
    <row r="456" spans="4:19" ht="15.75" customHeight="1">
      <c r="D456" s="4"/>
      <c r="Q456" s="4"/>
      <c r="R456" s="4"/>
      <c r="S456" s="4"/>
    </row>
    <row r="457" spans="4:19" ht="15.75" customHeight="1">
      <c r="D457" s="4"/>
      <c r="Q457" s="4"/>
      <c r="R457" s="4"/>
      <c r="S457" s="4"/>
    </row>
    <row r="458" spans="4:19" ht="15.75" customHeight="1">
      <c r="D458" s="4"/>
      <c r="Q458" s="4"/>
      <c r="R458" s="4"/>
      <c r="S458" s="4"/>
    </row>
    <row r="459" spans="4:19" ht="15.75" customHeight="1">
      <c r="D459" s="4"/>
      <c r="Q459" s="4"/>
      <c r="R459" s="4"/>
      <c r="S459" s="4"/>
    </row>
    <row r="460" spans="4:19" ht="15.75" customHeight="1">
      <c r="D460" s="4"/>
      <c r="Q460" s="4"/>
      <c r="R460" s="4"/>
      <c r="S460" s="4"/>
    </row>
    <row r="461" spans="4:19" ht="15.75" customHeight="1">
      <c r="D461" s="4"/>
      <c r="Q461" s="4"/>
      <c r="R461" s="4"/>
      <c r="S461" s="4"/>
    </row>
    <row r="462" spans="4:19" ht="15.75" customHeight="1">
      <c r="D462" s="4"/>
      <c r="Q462" s="4"/>
      <c r="R462" s="4"/>
      <c r="S462" s="4"/>
    </row>
    <row r="463" spans="4:19" ht="15.75" customHeight="1">
      <c r="D463" s="4"/>
      <c r="Q463" s="4"/>
      <c r="R463" s="4"/>
      <c r="S463" s="4"/>
    </row>
    <row r="464" spans="4:19" ht="15.75" customHeight="1">
      <c r="D464" s="4"/>
      <c r="Q464" s="4"/>
      <c r="R464" s="4"/>
      <c r="S464" s="4"/>
    </row>
    <row r="465" spans="4:19" ht="15.75" customHeight="1">
      <c r="D465" s="4"/>
      <c r="Q465" s="4"/>
      <c r="R465" s="4"/>
      <c r="S465" s="4"/>
    </row>
    <row r="466" spans="4:19" ht="15.75" customHeight="1">
      <c r="D466" s="4"/>
      <c r="Q466" s="4"/>
      <c r="R466" s="4"/>
      <c r="S466" s="4"/>
    </row>
    <row r="467" spans="4:19" ht="15.75" customHeight="1">
      <c r="D467" s="4"/>
      <c r="Q467" s="4"/>
      <c r="R467" s="4"/>
      <c r="S467" s="4"/>
    </row>
    <row r="468" spans="4:19" ht="15.75" customHeight="1">
      <c r="D468" s="4"/>
      <c r="Q468" s="4"/>
      <c r="R468" s="4"/>
      <c r="S468" s="4"/>
    </row>
    <row r="469" spans="4:19" ht="15.75" customHeight="1">
      <c r="D469" s="4"/>
      <c r="Q469" s="4"/>
      <c r="R469" s="4"/>
      <c r="S469" s="4"/>
    </row>
    <row r="470" spans="4:19" ht="15.75" customHeight="1">
      <c r="D470" s="4"/>
      <c r="Q470" s="4"/>
      <c r="R470" s="4"/>
      <c r="S470" s="4"/>
    </row>
    <row r="471" spans="4:19" ht="15.75" customHeight="1">
      <c r="D471" s="4"/>
      <c r="Q471" s="4"/>
      <c r="R471" s="4"/>
      <c r="S471" s="4"/>
    </row>
    <row r="472" spans="4:19" ht="15.75" customHeight="1">
      <c r="D472" s="4"/>
      <c r="Q472" s="4"/>
      <c r="R472" s="4"/>
      <c r="S472" s="4"/>
    </row>
    <row r="473" spans="4:19" ht="15.75" customHeight="1">
      <c r="D473" s="4"/>
      <c r="Q473" s="4"/>
      <c r="R473" s="4"/>
      <c r="S473" s="4"/>
    </row>
    <row r="474" spans="4:19" ht="15.75" customHeight="1">
      <c r="D474" s="4"/>
      <c r="Q474" s="4"/>
      <c r="R474" s="4"/>
      <c r="S474" s="4"/>
    </row>
    <row r="475" spans="4:19" ht="15.75" customHeight="1">
      <c r="D475" s="4"/>
      <c r="Q475" s="4"/>
      <c r="R475" s="4"/>
      <c r="S475" s="4"/>
    </row>
    <row r="476" spans="4:19" ht="15.75" customHeight="1">
      <c r="D476" s="4"/>
      <c r="Q476" s="4"/>
      <c r="R476" s="4"/>
      <c r="S476" s="4"/>
    </row>
    <row r="477" spans="4:19" ht="15.75" customHeight="1">
      <c r="D477" s="4"/>
      <c r="Q477" s="4"/>
      <c r="R477" s="4"/>
      <c r="S477" s="4"/>
    </row>
    <row r="478" spans="4:19" ht="15.75" customHeight="1">
      <c r="D478" s="4"/>
      <c r="Q478" s="4"/>
      <c r="R478" s="4"/>
      <c r="S478" s="4"/>
    </row>
    <row r="479" spans="4:19" ht="15.75" customHeight="1">
      <c r="D479" s="4"/>
      <c r="Q479" s="4"/>
      <c r="R479" s="4"/>
      <c r="S479" s="4"/>
    </row>
    <row r="480" spans="4:19" ht="15.75" customHeight="1">
      <c r="D480" s="4"/>
      <c r="Q480" s="4"/>
      <c r="R480" s="4"/>
      <c r="S480" s="4"/>
    </row>
    <row r="481" spans="4:19" ht="15.75" customHeight="1">
      <c r="D481" s="4"/>
      <c r="Q481" s="4"/>
      <c r="R481" s="4"/>
      <c r="S481" s="4"/>
    </row>
    <row r="482" spans="4:19" ht="15.75" customHeight="1">
      <c r="D482" s="4"/>
      <c r="Q482" s="4"/>
      <c r="R482" s="4"/>
      <c r="S482" s="4"/>
    </row>
    <row r="483" spans="4:19" ht="15.75" customHeight="1">
      <c r="D483" s="4"/>
      <c r="Q483" s="4"/>
      <c r="R483" s="4"/>
      <c r="S483" s="4"/>
    </row>
    <row r="484" spans="4:19" ht="15.75" customHeight="1">
      <c r="D484" s="4"/>
      <c r="Q484" s="4"/>
      <c r="R484" s="4"/>
      <c r="S484" s="4"/>
    </row>
    <row r="485" spans="4:19" ht="15.75" customHeight="1">
      <c r="D485" s="4"/>
      <c r="Q485" s="4"/>
      <c r="R485" s="4"/>
      <c r="S485" s="4"/>
    </row>
    <row r="486" spans="4:19" ht="15.75" customHeight="1">
      <c r="D486" s="4"/>
      <c r="Q486" s="4"/>
      <c r="R486" s="4"/>
      <c r="S486" s="4"/>
    </row>
    <row r="487" spans="4:19" ht="15.75" customHeight="1">
      <c r="D487" s="4"/>
      <c r="Q487" s="4"/>
      <c r="R487" s="4"/>
      <c r="S487" s="4"/>
    </row>
    <row r="488" spans="4:19" ht="15.75" customHeight="1">
      <c r="D488" s="4"/>
      <c r="Q488" s="4"/>
      <c r="R488" s="4"/>
      <c r="S488" s="4"/>
    </row>
    <row r="489" spans="4:19" ht="15.75" customHeight="1">
      <c r="D489" s="4"/>
      <c r="Q489" s="4"/>
      <c r="R489" s="4"/>
      <c r="S489" s="4"/>
    </row>
    <row r="490" spans="4:19" ht="15.75" customHeight="1">
      <c r="D490" s="4"/>
      <c r="Q490" s="4"/>
      <c r="R490" s="4"/>
      <c r="S490" s="4"/>
    </row>
    <row r="491" spans="4:19" ht="15.75" customHeight="1">
      <c r="D491" s="4"/>
      <c r="Q491" s="4"/>
      <c r="R491" s="4"/>
      <c r="S491" s="4"/>
    </row>
    <row r="492" spans="4:19" ht="15.75" customHeight="1">
      <c r="D492" s="4"/>
      <c r="Q492" s="4"/>
      <c r="R492" s="4"/>
      <c r="S492" s="4"/>
    </row>
    <row r="493" spans="4:19" ht="15.75" customHeight="1">
      <c r="D493" s="4"/>
      <c r="Q493" s="4"/>
      <c r="R493" s="4"/>
      <c r="S493" s="4"/>
    </row>
    <row r="494" spans="4:19" ht="15.75" customHeight="1">
      <c r="D494" s="4"/>
      <c r="Q494" s="4"/>
      <c r="R494" s="4"/>
      <c r="S494" s="4"/>
    </row>
    <row r="495" spans="4:19" ht="15.75" customHeight="1">
      <c r="D495" s="4"/>
      <c r="Q495" s="4"/>
      <c r="R495" s="4"/>
      <c r="S495" s="4"/>
    </row>
    <row r="496" spans="4:19" ht="15.75" customHeight="1">
      <c r="D496" s="4"/>
      <c r="Q496" s="4"/>
      <c r="R496" s="4"/>
      <c r="S496" s="4"/>
    </row>
    <row r="497" spans="4:19" ht="15.75" customHeight="1">
      <c r="D497" s="4"/>
      <c r="Q497" s="4"/>
      <c r="R497" s="4"/>
      <c r="S497" s="4"/>
    </row>
    <row r="498" spans="4:19" ht="15.75" customHeight="1">
      <c r="D498" s="4"/>
      <c r="Q498" s="4"/>
      <c r="R498" s="4"/>
      <c r="S498" s="4"/>
    </row>
    <row r="499" spans="4:19" ht="15.75" customHeight="1">
      <c r="D499" s="4"/>
      <c r="Q499" s="4"/>
      <c r="R499" s="4"/>
      <c r="S499" s="4"/>
    </row>
    <row r="500" spans="4:19" ht="15.75" customHeight="1">
      <c r="D500" s="4"/>
      <c r="Q500" s="4"/>
      <c r="R500" s="4"/>
      <c r="S500" s="4"/>
    </row>
    <row r="501" spans="4:19" ht="15.75" customHeight="1">
      <c r="D501" s="4"/>
      <c r="Q501" s="4"/>
      <c r="R501" s="4"/>
      <c r="S501" s="4"/>
    </row>
    <row r="502" spans="4:19" ht="15.75" customHeight="1">
      <c r="D502" s="4"/>
      <c r="Q502" s="4"/>
      <c r="R502" s="4"/>
      <c r="S502" s="4"/>
    </row>
    <row r="503" spans="4:19" ht="15.75" customHeight="1">
      <c r="D503" s="4"/>
      <c r="Q503" s="4"/>
      <c r="R503" s="4"/>
      <c r="S503" s="4"/>
    </row>
    <row r="504" spans="4:19" ht="15.75" customHeight="1">
      <c r="D504" s="4"/>
      <c r="Q504" s="4"/>
      <c r="R504" s="4"/>
      <c r="S504" s="4"/>
    </row>
    <row r="505" spans="4:19" ht="15.75" customHeight="1">
      <c r="D505" s="4"/>
      <c r="Q505" s="4"/>
      <c r="R505" s="4"/>
      <c r="S505" s="4"/>
    </row>
    <row r="506" spans="4:19" ht="15.75" customHeight="1">
      <c r="D506" s="4"/>
      <c r="Q506" s="4"/>
      <c r="R506" s="4"/>
      <c r="S506" s="4"/>
    </row>
    <row r="507" spans="4:19" ht="15.75" customHeight="1">
      <c r="D507" s="4"/>
      <c r="Q507" s="4"/>
      <c r="R507" s="4"/>
      <c r="S507" s="4"/>
    </row>
    <row r="508" spans="4:19" ht="15.75" customHeight="1">
      <c r="D508" s="4"/>
      <c r="Q508" s="4"/>
      <c r="R508" s="4"/>
      <c r="S508" s="4"/>
    </row>
    <row r="509" spans="4:19" ht="15.75" customHeight="1">
      <c r="D509" s="4"/>
      <c r="Q509" s="4"/>
      <c r="R509" s="4"/>
      <c r="S509" s="4"/>
    </row>
    <row r="510" spans="4:19" ht="15.75" customHeight="1">
      <c r="D510" s="4"/>
      <c r="Q510" s="4"/>
      <c r="R510" s="4"/>
      <c r="S510" s="4"/>
    </row>
    <row r="511" spans="4:19" ht="15.75" customHeight="1">
      <c r="D511" s="4"/>
      <c r="Q511" s="4"/>
      <c r="R511" s="4"/>
      <c r="S511" s="4"/>
    </row>
    <row r="512" spans="4:19" ht="15.75" customHeight="1">
      <c r="D512" s="4"/>
      <c r="Q512" s="4"/>
      <c r="R512" s="4"/>
      <c r="S512" s="4"/>
    </row>
    <row r="513" spans="4:19" ht="15.75" customHeight="1">
      <c r="D513" s="4"/>
      <c r="Q513" s="4"/>
      <c r="R513" s="4"/>
      <c r="S513" s="4"/>
    </row>
    <row r="514" spans="4:19" ht="15.75" customHeight="1">
      <c r="D514" s="4"/>
      <c r="Q514" s="4"/>
      <c r="R514" s="4"/>
      <c r="S514" s="4"/>
    </row>
    <row r="515" spans="4:19" ht="15.75" customHeight="1">
      <c r="D515" s="4"/>
      <c r="Q515" s="4"/>
      <c r="R515" s="4"/>
      <c r="S515" s="4"/>
    </row>
    <row r="516" spans="4:19" ht="15.75" customHeight="1">
      <c r="D516" s="4"/>
      <c r="Q516" s="4"/>
      <c r="R516" s="4"/>
      <c r="S516" s="4"/>
    </row>
    <row r="517" spans="4:19" ht="15.75" customHeight="1">
      <c r="D517" s="4"/>
      <c r="Q517" s="4"/>
      <c r="R517" s="4"/>
      <c r="S517" s="4"/>
    </row>
    <row r="518" spans="4:19" ht="15.75" customHeight="1">
      <c r="D518" s="4"/>
      <c r="Q518" s="4"/>
      <c r="R518" s="4"/>
      <c r="S518" s="4"/>
    </row>
    <row r="519" spans="4:19" ht="15.75" customHeight="1">
      <c r="D519" s="4"/>
      <c r="Q519" s="4"/>
      <c r="R519" s="4"/>
      <c r="S519" s="4"/>
    </row>
    <row r="520" spans="4:19" ht="15.75" customHeight="1">
      <c r="D520" s="4"/>
      <c r="Q520" s="4"/>
      <c r="R520" s="4"/>
      <c r="S520" s="4"/>
    </row>
    <row r="521" spans="4:19" ht="15.75" customHeight="1">
      <c r="D521" s="4"/>
      <c r="Q521" s="4"/>
      <c r="R521" s="4"/>
      <c r="S521" s="4"/>
    </row>
    <row r="522" spans="4:19" ht="15.75" customHeight="1">
      <c r="D522" s="4"/>
      <c r="Q522" s="4"/>
      <c r="R522" s="4"/>
      <c r="S522" s="4"/>
    </row>
    <row r="523" spans="4:19" ht="15.75" customHeight="1">
      <c r="D523" s="4"/>
      <c r="Q523" s="4"/>
      <c r="R523" s="4"/>
      <c r="S523" s="4"/>
    </row>
    <row r="524" spans="4:19" ht="15.75" customHeight="1">
      <c r="D524" s="4"/>
      <c r="Q524" s="4"/>
      <c r="R524" s="4"/>
      <c r="S524" s="4"/>
    </row>
    <row r="525" spans="4:19" ht="15.75" customHeight="1">
      <c r="D525" s="4"/>
      <c r="Q525" s="4"/>
      <c r="R525" s="4"/>
      <c r="S525" s="4"/>
    </row>
    <row r="526" spans="4:19" ht="15.75" customHeight="1">
      <c r="D526" s="4"/>
      <c r="Q526" s="4"/>
      <c r="R526" s="4"/>
      <c r="S526" s="4"/>
    </row>
    <row r="527" spans="4:19" ht="15.75" customHeight="1">
      <c r="D527" s="4"/>
      <c r="Q527" s="4"/>
      <c r="R527" s="4"/>
      <c r="S527" s="4"/>
    </row>
    <row r="528" spans="4:19" ht="15.75" customHeight="1">
      <c r="D528" s="4"/>
      <c r="Q528" s="4"/>
      <c r="R528" s="4"/>
      <c r="S528" s="4"/>
    </row>
    <row r="529" spans="4:19" ht="15.75" customHeight="1">
      <c r="D529" s="4"/>
      <c r="Q529" s="4"/>
      <c r="R529" s="4"/>
      <c r="S529" s="4"/>
    </row>
    <row r="530" spans="4:19" ht="15.75" customHeight="1">
      <c r="D530" s="4"/>
      <c r="Q530" s="4"/>
      <c r="R530" s="4"/>
      <c r="S530" s="4"/>
    </row>
    <row r="531" spans="4:19" ht="15.75" customHeight="1">
      <c r="D531" s="4"/>
      <c r="Q531" s="4"/>
      <c r="R531" s="4"/>
      <c r="S531" s="4"/>
    </row>
    <row r="532" spans="4:19" ht="15.75" customHeight="1">
      <c r="D532" s="4"/>
      <c r="Q532" s="4"/>
      <c r="R532" s="4"/>
      <c r="S532" s="4"/>
    </row>
    <row r="533" spans="4:19" ht="15.75" customHeight="1">
      <c r="D533" s="4"/>
      <c r="Q533" s="4"/>
      <c r="R533" s="4"/>
      <c r="S533" s="4"/>
    </row>
    <row r="534" spans="4:19" ht="15.75" customHeight="1">
      <c r="D534" s="4"/>
      <c r="Q534" s="4"/>
      <c r="R534" s="4"/>
      <c r="S534" s="4"/>
    </row>
    <row r="535" spans="4:19" ht="15.75" customHeight="1">
      <c r="D535" s="4"/>
      <c r="Q535" s="4"/>
      <c r="R535" s="4"/>
      <c r="S535" s="4"/>
    </row>
    <row r="536" spans="4:19" ht="15.75" customHeight="1">
      <c r="D536" s="4"/>
      <c r="Q536" s="4"/>
      <c r="R536" s="4"/>
      <c r="S536" s="4"/>
    </row>
    <row r="537" spans="4:19" ht="15.75" customHeight="1">
      <c r="D537" s="4"/>
      <c r="Q537" s="4"/>
      <c r="R537" s="4"/>
      <c r="S537" s="4"/>
    </row>
    <row r="538" spans="4:19" ht="15.75" customHeight="1">
      <c r="D538" s="4"/>
      <c r="Q538" s="4"/>
      <c r="R538" s="4"/>
      <c r="S538" s="4"/>
    </row>
    <row r="539" spans="4:19" ht="15.75" customHeight="1">
      <c r="D539" s="4"/>
      <c r="Q539" s="4"/>
      <c r="R539" s="4"/>
      <c r="S539" s="4"/>
    </row>
    <row r="540" spans="4:19" ht="15.75" customHeight="1">
      <c r="D540" s="4"/>
      <c r="Q540" s="4"/>
      <c r="R540" s="4"/>
      <c r="S540" s="4"/>
    </row>
    <row r="541" spans="4:19" ht="15.75" customHeight="1">
      <c r="D541" s="4"/>
      <c r="Q541" s="4"/>
      <c r="R541" s="4"/>
      <c r="S541" s="4"/>
    </row>
    <row r="542" spans="4:19" ht="15.75" customHeight="1">
      <c r="D542" s="4"/>
      <c r="Q542" s="4"/>
      <c r="R542" s="4"/>
      <c r="S542" s="4"/>
    </row>
    <row r="543" spans="4:19" ht="15.75" customHeight="1">
      <c r="D543" s="4"/>
      <c r="Q543" s="4"/>
      <c r="R543" s="4"/>
      <c r="S543" s="4"/>
    </row>
    <row r="544" spans="4:19" ht="15.75" customHeight="1">
      <c r="D544" s="4"/>
      <c r="Q544" s="4"/>
      <c r="R544" s="4"/>
      <c r="S544" s="4"/>
    </row>
    <row r="545" spans="4:19" ht="15.75" customHeight="1">
      <c r="D545" s="4"/>
      <c r="Q545" s="4"/>
      <c r="R545" s="4"/>
      <c r="S545" s="4"/>
    </row>
    <row r="546" spans="4:19" ht="15.75" customHeight="1">
      <c r="D546" s="4"/>
      <c r="Q546" s="4"/>
      <c r="R546" s="4"/>
      <c r="S546" s="4"/>
    </row>
    <row r="547" spans="4:19" ht="15.75" customHeight="1">
      <c r="D547" s="4"/>
      <c r="Q547" s="4"/>
      <c r="R547" s="4"/>
      <c r="S547" s="4"/>
    </row>
    <row r="548" spans="4:19" ht="15.75" customHeight="1">
      <c r="D548" s="4"/>
      <c r="Q548" s="4"/>
      <c r="R548" s="4"/>
      <c r="S548" s="4"/>
    </row>
    <row r="549" spans="4:19" ht="15.75" customHeight="1">
      <c r="D549" s="4"/>
      <c r="Q549" s="4"/>
      <c r="R549" s="4"/>
      <c r="S549" s="4"/>
    </row>
    <row r="550" spans="4:19" ht="15.75" customHeight="1">
      <c r="D550" s="4"/>
      <c r="Q550" s="4"/>
      <c r="R550" s="4"/>
      <c r="S550" s="4"/>
    </row>
    <row r="551" spans="4:19" ht="15.75" customHeight="1">
      <c r="D551" s="4"/>
      <c r="Q551" s="4"/>
      <c r="R551" s="4"/>
      <c r="S551" s="4"/>
    </row>
    <row r="552" spans="4:19" ht="15.75" customHeight="1">
      <c r="D552" s="4"/>
      <c r="Q552" s="4"/>
      <c r="R552" s="4"/>
      <c r="S552" s="4"/>
    </row>
    <row r="553" spans="4:19" ht="15.75" customHeight="1">
      <c r="D553" s="4"/>
      <c r="Q553" s="4"/>
      <c r="R553" s="4"/>
      <c r="S553" s="4"/>
    </row>
    <row r="554" spans="4:19" ht="15.75" customHeight="1">
      <c r="D554" s="4"/>
      <c r="Q554" s="4"/>
      <c r="R554" s="4"/>
      <c r="S554" s="4"/>
    </row>
    <row r="555" spans="4:19" ht="15.75" customHeight="1">
      <c r="D555" s="4"/>
      <c r="Q555" s="4"/>
      <c r="R555" s="4"/>
      <c r="S555" s="4"/>
    </row>
    <row r="556" spans="4:19" ht="15.75" customHeight="1">
      <c r="D556" s="4"/>
      <c r="Q556" s="4"/>
      <c r="R556" s="4"/>
      <c r="S556" s="4"/>
    </row>
    <row r="557" spans="4:19" ht="15.75" customHeight="1">
      <c r="D557" s="4"/>
      <c r="Q557" s="4"/>
      <c r="R557" s="4"/>
      <c r="S557" s="4"/>
    </row>
    <row r="558" spans="4:19" ht="15.75" customHeight="1">
      <c r="D558" s="4"/>
      <c r="Q558" s="4"/>
      <c r="R558" s="4"/>
      <c r="S558" s="4"/>
    </row>
    <row r="559" spans="4:19" ht="15.75" customHeight="1">
      <c r="D559" s="4"/>
      <c r="Q559" s="4"/>
      <c r="R559" s="4"/>
      <c r="S559" s="4"/>
    </row>
    <row r="560" spans="4:19" ht="15.75" customHeight="1">
      <c r="D560" s="4"/>
      <c r="Q560" s="4"/>
      <c r="R560" s="4"/>
      <c r="S560" s="4"/>
    </row>
    <row r="561" spans="4:19" ht="15.75" customHeight="1">
      <c r="D561" s="4"/>
      <c r="Q561" s="4"/>
      <c r="R561" s="4"/>
      <c r="S561" s="4"/>
    </row>
    <row r="562" spans="4:19" ht="15.75" customHeight="1">
      <c r="D562" s="4"/>
      <c r="Q562" s="4"/>
      <c r="R562" s="4"/>
      <c r="S562" s="4"/>
    </row>
    <row r="563" spans="4:19" ht="15.75" customHeight="1">
      <c r="D563" s="4"/>
      <c r="Q563" s="4"/>
      <c r="R563" s="4"/>
      <c r="S563" s="4"/>
    </row>
    <row r="564" spans="4:19" ht="15.75" customHeight="1">
      <c r="D564" s="4"/>
      <c r="Q564" s="4"/>
      <c r="R564" s="4"/>
      <c r="S564" s="4"/>
    </row>
    <row r="565" spans="4:19" ht="15.75" customHeight="1">
      <c r="D565" s="4"/>
      <c r="Q565" s="4"/>
      <c r="R565" s="4"/>
      <c r="S565" s="4"/>
    </row>
    <row r="566" spans="4:19" ht="15.75" customHeight="1">
      <c r="D566" s="4"/>
      <c r="Q566" s="4"/>
      <c r="R566" s="4"/>
      <c r="S566" s="4"/>
    </row>
    <row r="567" spans="4:19" ht="15.75" customHeight="1">
      <c r="D567" s="4"/>
      <c r="Q567" s="4"/>
      <c r="R567" s="4"/>
      <c r="S567" s="4"/>
    </row>
    <row r="568" spans="4:19" ht="15.75" customHeight="1">
      <c r="D568" s="4"/>
      <c r="Q568" s="4"/>
      <c r="R568" s="4"/>
      <c r="S568" s="4"/>
    </row>
    <row r="569" spans="4:19" ht="15.75" customHeight="1">
      <c r="D569" s="4"/>
      <c r="Q569" s="4"/>
      <c r="R569" s="4"/>
      <c r="S569" s="4"/>
    </row>
    <row r="570" spans="4:19" ht="15.75" customHeight="1">
      <c r="D570" s="4"/>
      <c r="Q570" s="4"/>
      <c r="R570" s="4"/>
      <c r="S570" s="4"/>
    </row>
    <row r="571" spans="4:19" ht="15.75" customHeight="1">
      <c r="D571" s="4"/>
      <c r="Q571" s="4"/>
      <c r="R571" s="4"/>
      <c r="S571" s="4"/>
    </row>
    <row r="572" spans="4:19" ht="15.75" customHeight="1">
      <c r="D572" s="4"/>
      <c r="Q572" s="4"/>
      <c r="R572" s="4"/>
      <c r="S572" s="4"/>
    </row>
    <row r="573" spans="4:19" ht="15.75" customHeight="1">
      <c r="D573" s="4"/>
      <c r="Q573" s="4"/>
      <c r="R573" s="4"/>
      <c r="S573" s="4"/>
    </row>
    <row r="574" spans="4:19" ht="15.75" customHeight="1">
      <c r="D574" s="4"/>
      <c r="Q574" s="4"/>
      <c r="R574" s="4"/>
      <c r="S574" s="4"/>
    </row>
    <row r="575" spans="4:19" ht="15.75" customHeight="1">
      <c r="D575" s="4"/>
      <c r="Q575" s="4"/>
      <c r="R575" s="4"/>
      <c r="S575" s="4"/>
    </row>
    <row r="576" spans="4:19" ht="15.75" customHeight="1">
      <c r="D576" s="4"/>
      <c r="Q576" s="4"/>
      <c r="R576" s="4"/>
      <c r="S576" s="4"/>
    </row>
    <row r="577" spans="4:19" ht="15.75" customHeight="1">
      <c r="D577" s="4"/>
      <c r="Q577" s="4"/>
      <c r="R577" s="4"/>
      <c r="S577" s="4"/>
    </row>
    <row r="578" spans="4:19" ht="15.75" customHeight="1">
      <c r="D578" s="4"/>
      <c r="Q578" s="4"/>
      <c r="R578" s="4"/>
      <c r="S578" s="4"/>
    </row>
    <row r="579" spans="4:19" ht="15.75" customHeight="1">
      <c r="D579" s="4"/>
      <c r="Q579" s="4"/>
      <c r="R579" s="4"/>
      <c r="S579" s="4"/>
    </row>
    <row r="580" spans="4:19" ht="15.75" customHeight="1">
      <c r="D580" s="4"/>
      <c r="Q580" s="4"/>
      <c r="R580" s="4"/>
      <c r="S580" s="4"/>
    </row>
    <row r="581" spans="4:19" ht="15.75" customHeight="1">
      <c r="D581" s="4"/>
      <c r="Q581" s="4"/>
      <c r="R581" s="4"/>
      <c r="S581" s="4"/>
    </row>
    <row r="582" spans="4:19" ht="15.75" customHeight="1">
      <c r="D582" s="4"/>
      <c r="Q582" s="4"/>
      <c r="R582" s="4"/>
      <c r="S582" s="4"/>
    </row>
    <row r="583" spans="4:19" ht="15.75" customHeight="1">
      <c r="D583" s="4"/>
      <c r="Q583" s="4"/>
      <c r="R583" s="4"/>
      <c r="S583" s="4"/>
    </row>
    <row r="584" spans="4:19" ht="15.75" customHeight="1">
      <c r="D584" s="4"/>
      <c r="Q584" s="4"/>
      <c r="R584" s="4"/>
      <c r="S584" s="4"/>
    </row>
    <row r="585" spans="4:19" ht="15.75" customHeight="1">
      <c r="D585" s="4"/>
      <c r="Q585" s="4"/>
      <c r="R585" s="4"/>
      <c r="S585" s="4"/>
    </row>
    <row r="586" spans="4:19" ht="15.75" customHeight="1">
      <c r="D586" s="4"/>
      <c r="Q586" s="4"/>
      <c r="R586" s="4"/>
      <c r="S586" s="4"/>
    </row>
    <row r="587" spans="4:19" ht="15.75" customHeight="1">
      <c r="D587" s="4"/>
      <c r="Q587" s="4"/>
      <c r="R587" s="4"/>
      <c r="S587" s="4"/>
    </row>
    <row r="588" spans="4:19" ht="15.75" customHeight="1">
      <c r="D588" s="4"/>
      <c r="Q588" s="4"/>
      <c r="R588" s="4"/>
      <c r="S588" s="4"/>
    </row>
    <row r="589" spans="4:19" ht="15.75" customHeight="1">
      <c r="D589" s="4"/>
      <c r="Q589" s="4"/>
      <c r="R589" s="4"/>
      <c r="S589" s="4"/>
    </row>
    <row r="590" spans="4:19" ht="15.75" customHeight="1">
      <c r="D590" s="4"/>
      <c r="Q590" s="4"/>
      <c r="R590" s="4"/>
      <c r="S590" s="4"/>
    </row>
    <row r="591" spans="4:19" ht="15.75" customHeight="1">
      <c r="D591" s="4"/>
      <c r="Q591" s="4"/>
      <c r="R591" s="4"/>
      <c r="S591" s="4"/>
    </row>
    <row r="592" spans="4:19" ht="15.75" customHeight="1">
      <c r="D592" s="4"/>
      <c r="Q592" s="4"/>
      <c r="R592" s="4"/>
      <c r="S592" s="4"/>
    </row>
    <row r="593" spans="4:19" ht="15.75" customHeight="1">
      <c r="D593" s="4"/>
      <c r="Q593" s="4"/>
      <c r="R593" s="4"/>
      <c r="S593" s="4"/>
    </row>
    <row r="594" spans="4:19" ht="15.75" customHeight="1">
      <c r="D594" s="4"/>
      <c r="Q594" s="4"/>
      <c r="R594" s="4"/>
      <c r="S594" s="4"/>
    </row>
    <row r="595" spans="4:19" ht="15.75" customHeight="1">
      <c r="D595" s="4"/>
      <c r="Q595" s="4"/>
      <c r="R595" s="4"/>
      <c r="S595" s="4"/>
    </row>
    <row r="596" spans="4:19" ht="15.75" customHeight="1">
      <c r="D596" s="4"/>
      <c r="Q596" s="4"/>
      <c r="R596" s="4"/>
      <c r="S596" s="4"/>
    </row>
    <row r="597" spans="4:19" ht="15.75" customHeight="1">
      <c r="D597" s="4"/>
      <c r="Q597" s="4"/>
      <c r="R597" s="4"/>
      <c r="S597" s="4"/>
    </row>
    <row r="598" spans="4:19" ht="15.75" customHeight="1">
      <c r="D598" s="4"/>
      <c r="Q598" s="4"/>
      <c r="R598" s="4"/>
      <c r="S598" s="4"/>
    </row>
    <row r="599" spans="4:19" ht="15.75" customHeight="1">
      <c r="D599" s="4"/>
      <c r="Q599" s="4"/>
      <c r="R599" s="4"/>
      <c r="S599" s="4"/>
    </row>
    <row r="600" spans="4:19" ht="15.75" customHeight="1">
      <c r="D600" s="4"/>
      <c r="Q600" s="4"/>
      <c r="R600" s="4"/>
      <c r="S600" s="4"/>
    </row>
    <row r="601" spans="4:19" ht="15.75" customHeight="1">
      <c r="D601" s="4"/>
      <c r="Q601" s="4"/>
      <c r="R601" s="4"/>
      <c r="S601" s="4"/>
    </row>
    <row r="602" spans="4:19" ht="15.75" customHeight="1">
      <c r="D602" s="4"/>
      <c r="Q602" s="4"/>
      <c r="R602" s="4"/>
      <c r="S602" s="4"/>
    </row>
    <row r="603" spans="4:19" ht="15.75" customHeight="1">
      <c r="D603" s="4"/>
      <c r="Q603" s="4"/>
      <c r="R603" s="4"/>
      <c r="S603" s="4"/>
    </row>
    <row r="604" spans="4:19" ht="15.75" customHeight="1">
      <c r="D604" s="4"/>
      <c r="Q604" s="4"/>
      <c r="R604" s="4"/>
      <c r="S604" s="4"/>
    </row>
    <row r="605" spans="4:19" ht="15.75" customHeight="1">
      <c r="D605" s="4"/>
      <c r="Q605" s="4"/>
      <c r="R605" s="4"/>
      <c r="S605" s="4"/>
    </row>
    <row r="606" spans="4:19" ht="15.75" customHeight="1">
      <c r="D606" s="4"/>
      <c r="Q606" s="4"/>
      <c r="R606" s="4"/>
      <c r="S606" s="4"/>
    </row>
    <row r="607" spans="4:19" ht="15.75" customHeight="1">
      <c r="D607" s="4"/>
      <c r="Q607" s="4"/>
      <c r="R607" s="4"/>
      <c r="S607" s="4"/>
    </row>
    <row r="608" spans="4:19" ht="15.75" customHeight="1">
      <c r="D608" s="4"/>
      <c r="Q608" s="4"/>
      <c r="R608" s="4"/>
      <c r="S608" s="4"/>
    </row>
    <row r="609" spans="4:19" ht="15.75" customHeight="1">
      <c r="D609" s="4"/>
      <c r="Q609" s="4"/>
      <c r="R609" s="4"/>
      <c r="S609" s="4"/>
    </row>
    <row r="610" spans="4:19" ht="15.75" customHeight="1">
      <c r="D610" s="4"/>
      <c r="Q610" s="4"/>
      <c r="R610" s="4"/>
      <c r="S610" s="4"/>
    </row>
    <row r="611" spans="4:19" ht="15.75" customHeight="1">
      <c r="D611" s="4"/>
      <c r="Q611" s="4"/>
      <c r="R611" s="4"/>
      <c r="S611" s="4"/>
    </row>
    <row r="612" spans="4:19" ht="15.75" customHeight="1">
      <c r="D612" s="4"/>
      <c r="Q612" s="4"/>
      <c r="R612" s="4"/>
      <c r="S612" s="4"/>
    </row>
    <row r="613" spans="4:19" ht="15.75" customHeight="1">
      <c r="D613" s="4"/>
      <c r="Q613" s="4"/>
      <c r="R613" s="4"/>
      <c r="S613" s="4"/>
    </row>
    <row r="614" spans="4:19" ht="15.75" customHeight="1">
      <c r="D614" s="4"/>
      <c r="Q614" s="4"/>
      <c r="R614" s="4"/>
      <c r="S614" s="4"/>
    </row>
    <row r="615" spans="4:19" ht="15.75" customHeight="1">
      <c r="D615" s="4"/>
      <c r="Q615" s="4"/>
      <c r="R615" s="4"/>
      <c r="S615" s="4"/>
    </row>
    <row r="616" spans="4:19" ht="15.75" customHeight="1">
      <c r="D616" s="4"/>
      <c r="Q616" s="4"/>
      <c r="R616" s="4"/>
      <c r="S616" s="4"/>
    </row>
    <row r="617" spans="4:19" ht="15.75" customHeight="1">
      <c r="D617" s="4"/>
      <c r="Q617" s="4"/>
      <c r="R617" s="4"/>
      <c r="S617" s="4"/>
    </row>
    <row r="618" spans="4:19" ht="15.75" customHeight="1">
      <c r="D618" s="4"/>
      <c r="Q618" s="4"/>
      <c r="R618" s="4"/>
      <c r="S618" s="4"/>
    </row>
    <row r="619" spans="4:19" ht="15.75" customHeight="1">
      <c r="D619" s="4"/>
      <c r="Q619" s="4"/>
      <c r="R619" s="4"/>
      <c r="S619" s="4"/>
    </row>
    <row r="620" spans="4:19" ht="15.75" customHeight="1">
      <c r="D620" s="4"/>
      <c r="Q620" s="4"/>
      <c r="R620" s="4"/>
      <c r="S620" s="4"/>
    </row>
    <row r="621" spans="4:19" ht="15.75" customHeight="1">
      <c r="D621" s="4"/>
      <c r="Q621" s="4"/>
      <c r="R621" s="4"/>
      <c r="S621" s="4"/>
    </row>
    <row r="622" spans="4:19" ht="15.75" customHeight="1">
      <c r="D622" s="4"/>
      <c r="Q622" s="4"/>
      <c r="R622" s="4"/>
      <c r="S622" s="4"/>
    </row>
    <row r="623" spans="4:19" ht="15.75" customHeight="1">
      <c r="D623" s="4"/>
      <c r="Q623" s="4"/>
      <c r="R623" s="4"/>
      <c r="S623" s="4"/>
    </row>
    <row r="624" spans="4:19" ht="15.75" customHeight="1">
      <c r="D624" s="4"/>
      <c r="Q624" s="4"/>
      <c r="R624" s="4"/>
      <c r="S624" s="4"/>
    </row>
    <row r="625" spans="4:19" ht="15.75" customHeight="1">
      <c r="D625" s="4"/>
      <c r="Q625" s="4"/>
      <c r="R625" s="4"/>
      <c r="S625" s="4"/>
    </row>
    <row r="626" spans="4:19" ht="15.75" customHeight="1">
      <c r="D626" s="4"/>
      <c r="Q626" s="4"/>
      <c r="R626" s="4"/>
      <c r="S626" s="4"/>
    </row>
    <row r="627" spans="4:19" ht="15.75" customHeight="1">
      <c r="D627" s="4"/>
      <c r="Q627" s="4"/>
      <c r="R627" s="4"/>
      <c r="S627" s="4"/>
    </row>
    <row r="628" spans="4:19" ht="15.75" customHeight="1">
      <c r="D628" s="4"/>
      <c r="Q628" s="4"/>
      <c r="R628" s="4"/>
      <c r="S628" s="4"/>
    </row>
    <row r="629" spans="4:19" ht="15.75" customHeight="1">
      <c r="D629" s="4"/>
      <c r="Q629" s="4"/>
      <c r="R629" s="4"/>
      <c r="S629" s="4"/>
    </row>
    <row r="630" spans="4:19" ht="15.75" customHeight="1">
      <c r="D630" s="4"/>
      <c r="Q630" s="4"/>
      <c r="R630" s="4"/>
      <c r="S630" s="4"/>
    </row>
    <row r="631" spans="4:19" ht="15.75" customHeight="1">
      <c r="D631" s="4"/>
      <c r="Q631" s="4"/>
      <c r="R631" s="4"/>
      <c r="S631" s="4"/>
    </row>
    <row r="632" spans="4:19" ht="15.75" customHeight="1">
      <c r="D632" s="4"/>
      <c r="Q632" s="4"/>
      <c r="R632" s="4"/>
      <c r="S632" s="4"/>
    </row>
    <row r="633" spans="4:19" ht="15.75" customHeight="1">
      <c r="D633" s="4"/>
      <c r="Q633" s="4"/>
      <c r="R633" s="4"/>
      <c r="S633" s="4"/>
    </row>
    <row r="634" spans="4:19" ht="15.75" customHeight="1">
      <c r="D634" s="4"/>
      <c r="Q634" s="4"/>
      <c r="R634" s="4"/>
      <c r="S634" s="4"/>
    </row>
    <row r="635" spans="4:19" ht="15.75" customHeight="1">
      <c r="D635" s="4"/>
      <c r="Q635" s="4"/>
      <c r="R635" s="4"/>
      <c r="S635" s="4"/>
    </row>
    <row r="636" spans="4:19" ht="15.75" customHeight="1">
      <c r="D636" s="4"/>
      <c r="Q636" s="4"/>
      <c r="R636" s="4"/>
      <c r="S636" s="4"/>
    </row>
    <row r="637" spans="4:19" ht="15.75" customHeight="1">
      <c r="D637" s="4"/>
      <c r="Q637" s="4"/>
      <c r="R637" s="4"/>
      <c r="S637" s="4"/>
    </row>
    <row r="638" spans="4:19" ht="15.75" customHeight="1">
      <c r="D638" s="4"/>
      <c r="Q638" s="4"/>
      <c r="R638" s="4"/>
      <c r="S638" s="4"/>
    </row>
    <row r="639" spans="4:19" ht="15.75" customHeight="1">
      <c r="D639" s="4"/>
      <c r="Q639" s="4"/>
      <c r="R639" s="4"/>
      <c r="S639" s="4"/>
    </row>
    <row r="640" spans="4:19" ht="15.75" customHeight="1">
      <c r="D640" s="4"/>
      <c r="Q640" s="4"/>
      <c r="R640" s="4"/>
      <c r="S640" s="4"/>
    </row>
    <row r="641" spans="4:19" ht="15.75" customHeight="1">
      <c r="D641" s="4"/>
      <c r="Q641" s="4"/>
      <c r="R641" s="4"/>
      <c r="S641" s="4"/>
    </row>
    <row r="642" spans="4:19" ht="15.75" customHeight="1">
      <c r="D642" s="4"/>
      <c r="Q642" s="4"/>
      <c r="R642" s="4"/>
      <c r="S642" s="4"/>
    </row>
    <row r="643" spans="4:19" ht="15.75" customHeight="1">
      <c r="D643" s="4"/>
      <c r="Q643" s="4"/>
      <c r="R643" s="4"/>
      <c r="S643" s="4"/>
    </row>
    <row r="644" spans="4:19" ht="15.75" customHeight="1">
      <c r="D644" s="4"/>
      <c r="Q644" s="4"/>
      <c r="R644" s="4"/>
      <c r="S644" s="4"/>
    </row>
    <row r="645" spans="4:19" ht="15.75" customHeight="1">
      <c r="D645" s="4"/>
      <c r="Q645" s="4"/>
      <c r="R645" s="4"/>
      <c r="S645" s="4"/>
    </row>
    <row r="646" spans="4:19" ht="15.75" customHeight="1">
      <c r="D646" s="4"/>
      <c r="Q646" s="4"/>
      <c r="R646" s="4"/>
      <c r="S646" s="4"/>
    </row>
    <row r="647" spans="4:19" ht="15.75" customHeight="1">
      <c r="D647" s="4"/>
      <c r="Q647" s="4"/>
      <c r="R647" s="4"/>
      <c r="S647" s="4"/>
    </row>
    <row r="648" spans="4:19" ht="15.75" customHeight="1">
      <c r="D648" s="4"/>
      <c r="Q648" s="4"/>
      <c r="R648" s="4"/>
      <c r="S648" s="4"/>
    </row>
    <row r="649" spans="4:19" ht="15.75" customHeight="1">
      <c r="D649" s="4"/>
      <c r="Q649" s="4"/>
      <c r="R649" s="4"/>
      <c r="S649" s="4"/>
    </row>
    <row r="650" spans="4:19" ht="15.75" customHeight="1">
      <c r="D650" s="4"/>
      <c r="Q650" s="4"/>
      <c r="R650" s="4"/>
      <c r="S650" s="4"/>
    </row>
    <row r="651" spans="4:19" ht="15.75" customHeight="1">
      <c r="D651" s="4"/>
      <c r="Q651" s="4"/>
      <c r="R651" s="4"/>
      <c r="S651" s="4"/>
    </row>
    <row r="652" spans="4:19" ht="15.75" customHeight="1">
      <c r="D652" s="4"/>
      <c r="Q652" s="4"/>
      <c r="R652" s="4"/>
      <c r="S652" s="4"/>
    </row>
    <row r="653" spans="4:19" ht="15.75" customHeight="1">
      <c r="D653" s="4"/>
      <c r="Q653" s="4"/>
      <c r="R653" s="4"/>
      <c r="S653" s="4"/>
    </row>
    <row r="654" spans="4:19" ht="15.75" customHeight="1">
      <c r="D654" s="4"/>
      <c r="Q654" s="4"/>
      <c r="R654" s="4"/>
      <c r="S654" s="4"/>
    </row>
    <row r="655" spans="4:19" ht="15.75" customHeight="1">
      <c r="D655" s="4"/>
      <c r="Q655" s="4"/>
      <c r="R655" s="4"/>
      <c r="S655" s="4"/>
    </row>
    <row r="656" spans="4:19" ht="15.75" customHeight="1">
      <c r="D656" s="4"/>
      <c r="Q656" s="4"/>
      <c r="R656" s="4"/>
      <c r="S656" s="4"/>
    </row>
    <row r="657" spans="4:19" ht="15.75" customHeight="1">
      <c r="D657" s="4"/>
      <c r="Q657" s="4"/>
      <c r="R657" s="4"/>
      <c r="S657" s="4"/>
    </row>
    <row r="658" spans="4:19" ht="15.75" customHeight="1">
      <c r="D658" s="4"/>
      <c r="Q658" s="4"/>
      <c r="R658" s="4"/>
      <c r="S658" s="4"/>
    </row>
    <row r="659" spans="4:19" ht="15.75" customHeight="1">
      <c r="D659" s="4"/>
      <c r="Q659" s="4"/>
      <c r="R659" s="4"/>
      <c r="S659" s="4"/>
    </row>
    <row r="660" spans="4:19" ht="15.75" customHeight="1">
      <c r="D660" s="4"/>
      <c r="Q660" s="4"/>
      <c r="R660" s="4"/>
      <c r="S660" s="4"/>
    </row>
    <row r="661" spans="4:19" ht="15.75" customHeight="1">
      <c r="D661" s="4"/>
      <c r="Q661" s="4"/>
      <c r="R661" s="4"/>
      <c r="S661" s="4"/>
    </row>
    <row r="662" spans="4:19" ht="15.75" customHeight="1">
      <c r="D662" s="4"/>
      <c r="Q662" s="4"/>
      <c r="R662" s="4"/>
      <c r="S662" s="4"/>
    </row>
    <row r="663" spans="4:19" ht="15.75" customHeight="1">
      <c r="D663" s="4"/>
      <c r="Q663" s="4"/>
      <c r="R663" s="4"/>
      <c r="S663" s="4"/>
    </row>
    <row r="664" spans="4:19" ht="15.75" customHeight="1">
      <c r="D664" s="4"/>
      <c r="Q664" s="4"/>
      <c r="R664" s="4"/>
      <c r="S664" s="4"/>
    </row>
    <row r="665" spans="4:19" ht="15.75" customHeight="1">
      <c r="D665" s="4"/>
      <c r="Q665" s="4"/>
      <c r="R665" s="4"/>
      <c r="S665" s="4"/>
    </row>
    <row r="666" spans="4:19" ht="15.75" customHeight="1">
      <c r="D666" s="4"/>
      <c r="Q666" s="4"/>
      <c r="R666" s="4"/>
      <c r="S666" s="4"/>
    </row>
    <row r="667" spans="4:19" ht="15.75" customHeight="1">
      <c r="D667" s="4"/>
      <c r="Q667" s="4"/>
      <c r="R667" s="4"/>
      <c r="S667" s="4"/>
    </row>
    <row r="668" spans="4:19" ht="15.75" customHeight="1">
      <c r="D668" s="4"/>
      <c r="Q668" s="4"/>
      <c r="R668" s="4"/>
      <c r="S668" s="4"/>
    </row>
    <row r="669" spans="4:19" ht="15.75" customHeight="1">
      <c r="D669" s="4"/>
      <c r="Q669" s="4"/>
      <c r="R669" s="4"/>
      <c r="S669" s="4"/>
    </row>
    <row r="670" spans="4:19" ht="15.75" customHeight="1">
      <c r="D670" s="4"/>
      <c r="Q670" s="4"/>
      <c r="R670" s="4"/>
      <c r="S670" s="4"/>
    </row>
    <row r="671" spans="4:19" ht="15.75" customHeight="1">
      <c r="D671" s="4"/>
      <c r="Q671" s="4"/>
      <c r="R671" s="4"/>
      <c r="S671" s="4"/>
    </row>
    <row r="672" spans="4:19" ht="15.75" customHeight="1">
      <c r="D672" s="4"/>
      <c r="Q672" s="4"/>
      <c r="R672" s="4"/>
      <c r="S672" s="4"/>
    </row>
    <row r="673" spans="4:19" ht="15.75" customHeight="1">
      <c r="D673" s="4"/>
      <c r="Q673" s="4"/>
      <c r="R673" s="4"/>
      <c r="S673" s="4"/>
    </row>
    <row r="674" spans="4:19" ht="15.75" customHeight="1">
      <c r="D674" s="4"/>
      <c r="Q674" s="4"/>
      <c r="R674" s="4"/>
      <c r="S674" s="4"/>
    </row>
    <row r="675" spans="4:19" ht="15.75" customHeight="1">
      <c r="D675" s="4"/>
      <c r="Q675" s="4"/>
      <c r="R675" s="4"/>
      <c r="S675" s="4"/>
    </row>
    <row r="676" spans="4:19" ht="15.75" customHeight="1">
      <c r="D676" s="4"/>
      <c r="Q676" s="4"/>
      <c r="R676" s="4"/>
      <c r="S676" s="4"/>
    </row>
    <row r="677" spans="4:19" ht="15.75" customHeight="1">
      <c r="D677" s="4"/>
      <c r="Q677" s="4"/>
      <c r="R677" s="4"/>
      <c r="S677" s="4"/>
    </row>
    <row r="678" spans="4:19" ht="15.75" customHeight="1">
      <c r="D678" s="4"/>
      <c r="Q678" s="4"/>
      <c r="R678" s="4"/>
      <c r="S678" s="4"/>
    </row>
    <row r="679" spans="4:19" ht="15.75" customHeight="1">
      <c r="D679" s="4"/>
      <c r="Q679" s="4"/>
      <c r="R679" s="4"/>
      <c r="S679" s="4"/>
    </row>
    <row r="680" spans="4:19" ht="15.75" customHeight="1">
      <c r="D680" s="4"/>
      <c r="Q680" s="4"/>
      <c r="R680" s="4"/>
      <c r="S680" s="4"/>
    </row>
    <row r="681" spans="4:19" ht="15.75" customHeight="1">
      <c r="D681" s="4"/>
      <c r="Q681" s="4"/>
      <c r="R681" s="4"/>
      <c r="S681" s="4"/>
    </row>
    <row r="682" spans="4:19" ht="15.75" customHeight="1">
      <c r="D682" s="4"/>
      <c r="Q682" s="4"/>
      <c r="R682" s="4"/>
      <c r="S682" s="4"/>
    </row>
    <row r="683" spans="4:19" ht="15.75" customHeight="1">
      <c r="D683" s="4"/>
      <c r="Q683" s="4"/>
      <c r="R683" s="4"/>
      <c r="S683" s="4"/>
    </row>
    <row r="684" spans="4:19" ht="15.75" customHeight="1">
      <c r="D684" s="4"/>
      <c r="Q684" s="4"/>
      <c r="R684" s="4"/>
      <c r="S684" s="4"/>
    </row>
    <row r="685" spans="4:19" ht="15.75" customHeight="1">
      <c r="D685" s="4"/>
      <c r="Q685" s="4"/>
      <c r="R685" s="4"/>
      <c r="S685" s="4"/>
    </row>
    <row r="686" spans="4:19" ht="15.75" customHeight="1">
      <c r="D686" s="4"/>
      <c r="Q686" s="4"/>
      <c r="R686" s="4"/>
      <c r="S686" s="4"/>
    </row>
    <row r="687" spans="4:19" ht="15.75" customHeight="1">
      <c r="D687" s="4"/>
      <c r="Q687" s="4"/>
      <c r="R687" s="4"/>
      <c r="S687" s="4"/>
    </row>
    <row r="688" spans="4:19" ht="15.75" customHeight="1">
      <c r="D688" s="4"/>
      <c r="Q688" s="4"/>
      <c r="R688" s="4"/>
      <c r="S688" s="4"/>
    </row>
    <row r="689" spans="4:19" ht="15.75" customHeight="1">
      <c r="D689" s="4"/>
      <c r="Q689" s="4"/>
      <c r="R689" s="4"/>
      <c r="S689" s="4"/>
    </row>
    <row r="690" spans="4:19" ht="15.75" customHeight="1">
      <c r="D690" s="4"/>
      <c r="Q690" s="4"/>
      <c r="R690" s="4"/>
      <c r="S690" s="4"/>
    </row>
    <row r="691" spans="4:19" ht="15.75" customHeight="1">
      <c r="D691" s="4"/>
      <c r="Q691" s="4"/>
      <c r="R691" s="4"/>
      <c r="S691" s="4"/>
    </row>
    <row r="692" spans="4:19" ht="15.75" customHeight="1">
      <c r="D692" s="4"/>
      <c r="Q692" s="4"/>
      <c r="R692" s="4"/>
      <c r="S692" s="4"/>
    </row>
    <row r="693" spans="4:19" ht="15.75" customHeight="1">
      <c r="D693" s="4"/>
      <c r="Q693" s="4"/>
      <c r="R693" s="4"/>
      <c r="S693" s="4"/>
    </row>
    <row r="694" spans="4:19" ht="15.75" customHeight="1">
      <c r="D694" s="4"/>
      <c r="Q694" s="4"/>
      <c r="R694" s="4"/>
      <c r="S694" s="4"/>
    </row>
    <row r="695" spans="4:19" ht="15.75" customHeight="1">
      <c r="D695" s="4"/>
      <c r="Q695" s="4"/>
      <c r="R695" s="4"/>
      <c r="S695" s="4"/>
    </row>
    <row r="696" spans="4:19" ht="15.75" customHeight="1">
      <c r="D696" s="4"/>
      <c r="Q696" s="4"/>
      <c r="R696" s="4"/>
      <c r="S696" s="4"/>
    </row>
    <row r="697" spans="4:19" ht="15.75" customHeight="1">
      <c r="D697" s="4"/>
      <c r="Q697" s="4"/>
      <c r="R697" s="4"/>
      <c r="S697" s="4"/>
    </row>
    <row r="698" spans="4:19" ht="15.75" customHeight="1">
      <c r="D698" s="4"/>
      <c r="Q698" s="4"/>
      <c r="R698" s="4"/>
      <c r="S698" s="4"/>
    </row>
    <row r="699" spans="4:19" ht="15.75" customHeight="1">
      <c r="D699" s="4"/>
      <c r="Q699" s="4"/>
      <c r="R699" s="4"/>
      <c r="S699" s="4"/>
    </row>
    <row r="700" spans="4:19" ht="15.75" customHeight="1">
      <c r="D700" s="4"/>
      <c r="Q700" s="4"/>
      <c r="R700" s="4"/>
      <c r="S700" s="4"/>
    </row>
    <row r="701" spans="4:19" ht="15.75" customHeight="1">
      <c r="D701" s="4"/>
      <c r="Q701" s="4"/>
      <c r="R701" s="4"/>
      <c r="S701" s="4"/>
    </row>
    <row r="702" spans="4:19" ht="15.75" customHeight="1">
      <c r="D702" s="4"/>
      <c r="Q702" s="4"/>
      <c r="R702" s="4"/>
      <c r="S702" s="4"/>
    </row>
    <row r="703" spans="4:19" ht="15.75" customHeight="1">
      <c r="D703" s="4"/>
      <c r="Q703" s="4"/>
      <c r="R703" s="4"/>
      <c r="S703" s="4"/>
    </row>
    <row r="704" spans="4:19" ht="15.75" customHeight="1">
      <c r="D704" s="4"/>
      <c r="Q704" s="4"/>
      <c r="R704" s="4"/>
      <c r="S704" s="4"/>
    </row>
    <row r="705" spans="4:19" ht="15.75" customHeight="1">
      <c r="D705" s="4"/>
      <c r="Q705" s="4"/>
      <c r="R705" s="4"/>
      <c r="S705" s="4"/>
    </row>
    <row r="706" spans="4:19" ht="15.75" customHeight="1">
      <c r="D706" s="4"/>
      <c r="Q706" s="4"/>
      <c r="R706" s="4"/>
      <c r="S706" s="4"/>
    </row>
    <row r="707" spans="4:19" ht="15.75" customHeight="1">
      <c r="D707" s="4"/>
      <c r="Q707" s="4"/>
      <c r="R707" s="4"/>
      <c r="S707" s="4"/>
    </row>
    <row r="708" spans="4:19" ht="15.75" customHeight="1">
      <c r="D708" s="4"/>
      <c r="Q708" s="4"/>
      <c r="R708" s="4"/>
      <c r="S708" s="4"/>
    </row>
    <row r="709" spans="4:19" ht="15.75" customHeight="1">
      <c r="D709" s="4"/>
      <c r="Q709" s="4"/>
      <c r="R709" s="4"/>
      <c r="S709" s="4"/>
    </row>
    <row r="710" spans="4:19" ht="15.75" customHeight="1">
      <c r="D710" s="4"/>
      <c r="Q710" s="4"/>
      <c r="R710" s="4"/>
      <c r="S710" s="4"/>
    </row>
    <row r="711" spans="4:19" ht="15.75" customHeight="1">
      <c r="D711" s="4"/>
      <c r="Q711" s="4"/>
      <c r="R711" s="4"/>
      <c r="S711" s="4"/>
    </row>
    <row r="712" spans="4:19" ht="15.75" customHeight="1">
      <c r="D712" s="4"/>
      <c r="Q712" s="4"/>
      <c r="R712" s="4"/>
      <c r="S712" s="4"/>
    </row>
    <row r="713" spans="4:19" ht="15.75" customHeight="1">
      <c r="D713" s="4"/>
      <c r="Q713" s="4"/>
      <c r="R713" s="4"/>
      <c r="S713" s="4"/>
    </row>
    <row r="714" spans="4:19" ht="15.75" customHeight="1">
      <c r="D714" s="4"/>
      <c r="Q714" s="4"/>
      <c r="R714" s="4"/>
      <c r="S714" s="4"/>
    </row>
    <row r="715" spans="4:19" ht="15.75" customHeight="1">
      <c r="D715" s="4"/>
      <c r="Q715" s="4"/>
      <c r="R715" s="4"/>
      <c r="S715" s="4"/>
    </row>
    <row r="716" spans="4:19" ht="15.75" customHeight="1">
      <c r="D716" s="4"/>
      <c r="Q716" s="4"/>
      <c r="R716" s="4"/>
      <c r="S716" s="4"/>
    </row>
    <row r="717" spans="4:19" ht="15.75" customHeight="1">
      <c r="D717" s="4"/>
      <c r="Q717" s="4"/>
      <c r="R717" s="4"/>
      <c r="S717" s="4"/>
    </row>
    <row r="718" spans="4:19" ht="15.75" customHeight="1">
      <c r="D718" s="4"/>
      <c r="Q718" s="4"/>
      <c r="R718" s="4"/>
      <c r="S718" s="4"/>
    </row>
    <row r="719" spans="4:19" ht="15.75" customHeight="1">
      <c r="D719" s="4"/>
      <c r="Q719" s="4"/>
      <c r="R719" s="4"/>
      <c r="S719" s="4"/>
    </row>
    <row r="720" spans="4:19" ht="15.75" customHeight="1">
      <c r="D720" s="4"/>
      <c r="Q720" s="4"/>
      <c r="R720" s="4"/>
      <c r="S720" s="4"/>
    </row>
    <row r="721" spans="4:19" ht="15.75" customHeight="1">
      <c r="D721" s="4"/>
      <c r="Q721" s="4"/>
      <c r="R721" s="4"/>
      <c r="S721" s="4"/>
    </row>
    <row r="722" spans="4:19" ht="15.75" customHeight="1">
      <c r="D722" s="4"/>
      <c r="Q722" s="4"/>
      <c r="R722" s="4"/>
      <c r="S722" s="4"/>
    </row>
    <row r="723" spans="4:19" ht="15.75" customHeight="1">
      <c r="D723" s="4"/>
      <c r="Q723" s="4"/>
      <c r="R723" s="4"/>
      <c r="S723" s="4"/>
    </row>
    <row r="724" spans="4:19" ht="15.75" customHeight="1">
      <c r="D724" s="4"/>
      <c r="Q724" s="4"/>
      <c r="R724" s="4"/>
      <c r="S724" s="4"/>
    </row>
    <row r="725" spans="4:19" ht="15.75" customHeight="1">
      <c r="D725" s="4"/>
      <c r="Q725" s="4"/>
      <c r="R725" s="4"/>
      <c r="S725" s="4"/>
    </row>
    <row r="726" spans="4:19" ht="15.75" customHeight="1">
      <c r="D726" s="4"/>
      <c r="Q726" s="4"/>
      <c r="R726" s="4"/>
      <c r="S726" s="4"/>
    </row>
    <row r="727" spans="4:19" ht="15.75" customHeight="1">
      <c r="D727" s="4"/>
      <c r="Q727" s="4"/>
      <c r="R727" s="4"/>
      <c r="S727" s="4"/>
    </row>
    <row r="728" spans="4:19" ht="15.75" customHeight="1">
      <c r="D728" s="4"/>
      <c r="Q728" s="4"/>
      <c r="R728" s="4"/>
      <c r="S728" s="4"/>
    </row>
    <row r="729" spans="4:19" ht="15.75" customHeight="1">
      <c r="D729" s="4"/>
      <c r="Q729" s="4"/>
      <c r="R729" s="4"/>
      <c r="S729" s="4"/>
    </row>
    <row r="730" spans="4:19" ht="15.75" customHeight="1">
      <c r="D730" s="4"/>
      <c r="Q730" s="4"/>
      <c r="R730" s="4"/>
      <c r="S730" s="4"/>
    </row>
    <row r="731" spans="4:19" ht="15.75" customHeight="1">
      <c r="D731" s="4"/>
      <c r="Q731" s="4"/>
      <c r="R731" s="4"/>
      <c r="S731" s="4"/>
    </row>
    <row r="732" spans="4:19" ht="15.75" customHeight="1">
      <c r="D732" s="4"/>
      <c r="Q732" s="4"/>
      <c r="R732" s="4"/>
      <c r="S732" s="4"/>
    </row>
    <row r="733" spans="4:19" ht="15.75" customHeight="1">
      <c r="D733" s="4"/>
      <c r="Q733" s="4"/>
      <c r="R733" s="4"/>
      <c r="S733" s="4"/>
    </row>
    <row r="734" spans="4:19" ht="15.75" customHeight="1">
      <c r="D734" s="4"/>
      <c r="Q734" s="4"/>
      <c r="R734" s="4"/>
      <c r="S734" s="4"/>
    </row>
    <row r="735" spans="4:19" ht="15.75" customHeight="1">
      <c r="D735" s="4"/>
      <c r="Q735" s="4"/>
      <c r="R735" s="4"/>
      <c r="S735" s="4"/>
    </row>
    <row r="736" spans="4:19" ht="15.75" customHeight="1">
      <c r="D736" s="4"/>
      <c r="Q736" s="4"/>
      <c r="R736" s="4"/>
      <c r="S736" s="4"/>
    </row>
    <row r="737" spans="4:19" ht="15.75" customHeight="1">
      <c r="D737" s="4"/>
      <c r="Q737" s="4"/>
      <c r="R737" s="4"/>
      <c r="S737" s="4"/>
    </row>
    <row r="738" spans="4:19" ht="15.75" customHeight="1">
      <c r="D738" s="4"/>
      <c r="Q738" s="4"/>
      <c r="R738" s="4"/>
      <c r="S738" s="4"/>
    </row>
    <row r="739" spans="4:19" ht="15.75" customHeight="1">
      <c r="D739" s="4"/>
      <c r="Q739" s="4"/>
      <c r="R739" s="4"/>
      <c r="S739" s="4"/>
    </row>
    <row r="740" spans="4:19" ht="15.75" customHeight="1">
      <c r="D740" s="4"/>
      <c r="Q740" s="4"/>
      <c r="R740" s="4"/>
      <c r="S740" s="4"/>
    </row>
    <row r="741" spans="4:19" ht="15.75" customHeight="1">
      <c r="D741" s="4"/>
      <c r="Q741" s="4"/>
      <c r="R741" s="4"/>
      <c r="S741" s="4"/>
    </row>
    <row r="742" spans="4:19" ht="15.75" customHeight="1">
      <c r="D742" s="4"/>
      <c r="Q742" s="4"/>
      <c r="R742" s="4"/>
      <c r="S742" s="4"/>
    </row>
    <row r="743" spans="4:19" ht="15.75" customHeight="1">
      <c r="D743" s="4"/>
      <c r="Q743" s="4"/>
      <c r="R743" s="4"/>
      <c r="S743" s="4"/>
    </row>
    <row r="744" spans="4:19" ht="15.75" customHeight="1">
      <c r="D744" s="4"/>
      <c r="Q744" s="4"/>
      <c r="R744" s="4"/>
      <c r="S744" s="4"/>
    </row>
    <row r="745" spans="4:19" ht="15.75" customHeight="1">
      <c r="D745" s="4"/>
      <c r="Q745" s="4"/>
      <c r="R745" s="4"/>
      <c r="S745" s="4"/>
    </row>
    <row r="746" spans="4:19" ht="15.75" customHeight="1">
      <c r="D746" s="4"/>
      <c r="Q746" s="4"/>
      <c r="R746" s="4"/>
      <c r="S746" s="4"/>
    </row>
    <row r="747" spans="4:19" ht="15.75" customHeight="1">
      <c r="D747" s="4"/>
      <c r="Q747" s="4"/>
      <c r="R747" s="4"/>
      <c r="S747" s="4"/>
    </row>
    <row r="748" spans="4:19" ht="15.75" customHeight="1">
      <c r="D748" s="4"/>
      <c r="Q748" s="4"/>
      <c r="R748" s="4"/>
      <c r="S748" s="4"/>
    </row>
    <row r="749" spans="4:19" ht="15.75" customHeight="1">
      <c r="D749" s="4"/>
      <c r="Q749" s="4"/>
      <c r="R749" s="4"/>
      <c r="S749" s="4"/>
    </row>
    <row r="750" spans="4:19" ht="15.75" customHeight="1">
      <c r="D750" s="4"/>
      <c r="Q750" s="4"/>
      <c r="R750" s="4"/>
      <c r="S750" s="4"/>
    </row>
    <row r="751" spans="4:19" ht="15.75" customHeight="1">
      <c r="D751" s="4"/>
      <c r="Q751" s="4"/>
      <c r="R751" s="4"/>
      <c r="S751" s="4"/>
    </row>
    <row r="752" spans="4:19" ht="15.75" customHeight="1">
      <c r="D752" s="4"/>
      <c r="Q752" s="4"/>
      <c r="R752" s="4"/>
      <c r="S752" s="4"/>
    </row>
    <row r="753" spans="4:19" ht="15.75" customHeight="1">
      <c r="D753" s="4"/>
      <c r="Q753" s="4"/>
      <c r="R753" s="4"/>
      <c r="S753" s="4"/>
    </row>
    <row r="754" spans="4:19" ht="15.75" customHeight="1">
      <c r="D754" s="4"/>
      <c r="Q754" s="4"/>
      <c r="R754" s="4"/>
      <c r="S754" s="4"/>
    </row>
    <row r="755" spans="4:19" ht="15.75" customHeight="1">
      <c r="D755" s="4"/>
      <c r="Q755" s="4"/>
      <c r="R755" s="4"/>
      <c r="S755" s="4"/>
    </row>
    <row r="756" spans="4:19" ht="15.75" customHeight="1">
      <c r="D756" s="4"/>
      <c r="Q756" s="4"/>
      <c r="R756" s="4"/>
      <c r="S756" s="4"/>
    </row>
    <row r="757" spans="4:19" ht="15.75" customHeight="1">
      <c r="D757" s="4"/>
      <c r="Q757" s="4"/>
      <c r="R757" s="4"/>
      <c r="S757" s="4"/>
    </row>
    <row r="758" spans="4:19" ht="15.75" customHeight="1">
      <c r="D758" s="4"/>
      <c r="Q758" s="4"/>
      <c r="R758" s="4"/>
      <c r="S758" s="4"/>
    </row>
    <row r="759" spans="4:19" ht="15.75" customHeight="1">
      <c r="D759" s="4"/>
      <c r="Q759" s="4"/>
      <c r="R759" s="4"/>
      <c r="S759" s="4"/>
    </row>
    <row r="760" spans="4:19" ht="15.75" customHeight="1">
      <c r="D760" s="4"/>
      <c r="Q760" s="4"/>
      <c r="R760" s="4"/>
      <c r="S760" s="4"/>
    </row>
    <row r="761" spans="4:19" ht="15.75" customHeight="1">
      <c r="D761" s="4"/>
      <c r="Q761" s="4"/>
      <c r="R761" s="4"/>
      <c r="S761" s="4"/>
    </row>
    <row r="762" spans="4:19" ht="15.75" customHeight="1">
      <c r="D762" s="4"/>
      <c r="Q762" s="4"/>
      <c r="R762" s="4"/>
      <c r="S762" s="4"/>
    </row>
    <row r="763" spans="4:19" ht="15.75" customHeight="1">
      <c r="D763" s="4"/>
      <c r="Q763" s="4"/>
      <c r="R763" s="4"/>
      <c r="S763" s="4"/>
    </row>
    <row r="764" spans="4:19" ht="15.75" customHeight="1">
      <c r="D764" s="4"/>
      <c r="Q764" s="4"/>
      <c r="R764" s="4"/>
      <c r="S764" s="4"/>
    </row>
    <row r="765" spans="4:19" ht="15.75" customHeight="1">
      <c r="D765" s="4"/>
      <c r="Q765" s="4"/>
      <c r="R765" s="4"/>
      <c r="S765" s="4"/>
    </row>
    <row r="766" spans="4:19" ht="15.75" customHeight="1">
      <c r="D766" s="4"/>
      <c r="Q766" s="4"/>
      <c r="R766" s="4"/>
      <c r="S766" s="4"/>
    </row>
    <row r="767" spans="4:19" ht="15.75" customHeight="1">
      <c r="D767" s="4"/>
      <c r="Q767" s="4"/>
      <c r="R767" s="4"/>
      <c r="S767" s="4"/>
    </row>
    <row r="768" spans="4:19" ht="15.75" customHeight="1">
      <c r="D768" s="4"/>
      <c r="Q768" s="4"/>
      <c r="R768" s="4"/>
      <c r="S768" s="4"/>
    </row>
    <row r="769" spans="4:19" ht="15.75" customHeight="1">
      <c r="D769" s="4"/>
      <c r="Q769" s="4"/>
      <c r="R769" s="4"/>
      <c r="S769" s="4"/>
    </row>
    <row r="770" spans="4:19" ht="15.75" customHeight="1">
      <c r="D770" s="4"/>
      <c r="Q770" s="4"/>
      <c r="R770" s="4"/>
      <c r="S770" s="4"/>
    </row>
    <row r="771" spans="4:19" ht="15.75" customHeight="1">
      <c r="D771" s="4"/>
      <c r="Q771" s="4"/>
      <c r="R771" s="4"/>
      <c r="S771" s="4"/>
    </row>
    <row r="772" spans="4:19" ht="15.75" customHeight="1">
      <c r="D772" s="4"/>
      <c r="Q772" s="4"/>
      <c r="R772" s="4"/>
      <c r="S772" s="4"/>
    </row>
    <row r="773" spans="4:19" ht="15.75" customHeight="1">
      <c r="D773" s="4"/>
      <c r="Q773" s="4"/>
      <c r="R773" s="4"/>
      <c r="S773" s="4"/>
    </row>
    <row r="774" spans="4:19" ht="15.75" customHeight="1">
      <c r="D774" s="4"/>
      <c r="Q774" s="4"/>
      <c r="R774" s="4"/>
      <c r="S774" s="4"/>
    </row>
    <row r="775" spans="4:19" ht="15.75" customHeight="1">
      <c r="D775" s="4"/>
      <c r="Q775" s="4"/>
      <c r="R775" s="4"/>
      <c r="S775" s="4"/>
    </row>
    <row r="776" spans="4:19" ht="15.75" customHeight="1">
      <c r="D776" s="4"/>
      <c r="Q776" s="4"/>
      <c r="R776" s="4"/>
      <c r="S776" s="4"/>
    </row>
    <row r="777" spans="4:19" ht="15.75" customHeight="1">
      <c r="D777" s="4"/>
      <c r="Q777" s="4"/>
      <c r="R777" s="4"/>
      <c r="S777" s="4"/>
    </row>
    <row r="778" spans="4:19" ht="15.75" customHeight="1">
      <c r="D778" s="4"/>
      <c r="Q778" s="4"/>
      <c r="R778" s="4"/>
      <c r="S778" s="4"/>
    </row>
    <row r="779" spans="4:19" ht="15.75" customHeight="1">
      <c r="D779" s="4"/>
      <c r="Q779" s="4"/>
      <c r="R779" s="4"/>
      <c r="S779" s="4"/>
    </row>
    <row r="780" spans="4:19" ht="15.75" customHeight="1">
      <c r="D780" s="4"/>
      <c r="Q780" s="4"/>
      <c r="R780" s="4"/>
      <c r="S780" s="4"/>
    </row>
    <row r="781" spans="4:19" ht="15.75" customHeight="1">
      <c r="D781" s="4"/>
      <c r="Q781" s="4"/>
      <c r="R781" s="4"/>
      <c r="S781" s="4"/>
    </row>
    <row r="782" spans="4:19" ht="15.75" customHeight="1">
      <c r="D782" s="4"/>
      <c r="Q782" s="4"/>
      <c r="R782" s="4"/>
      <c r="S782" s="4"/>
    </row>
    <row r="783" spans="4:19" ht="15.75" customHeight="1">
      <c r="D783" s="4"/>
      <c r="Q783" s="4"/>
      <c r="R783" s="4"/>
      <c r="S783" s="4"/>
    </row>
    <row r="784" spans="4:19" ht="15.75" customHeight="1">
      <c r="D784" s="4"/>
      <c r="Q784" s="4"/>
      <c r="R784" s="4"/>
      <c r="S784" s="4"/>
    </row>
    <row r="785" spans="4:19" ht="15.75" customHeight="1">
      <c r="D785" s="4"/>
      <c r="Q785" s="4"/>
      <c r="R785" s="4"/>
      <c r="S785" s="4"/>
    </row>
    <row r="786" spans="4:19" ht="15.75" customHeight="1">
      <c r="D786" s="4"/>
      <c r="Q786" s="4"/>
      <c r="R786" s="4"/>
      <c r="S786" s="4"/>
    </row>
    <row r="787" spans="4:19" ht="15.75" customHeight="1">
      <c r="D787" s="4"/>
      <c r="Q787" s="4"/>
      <c r="R787" s="4"/>
      <c r="S787" s="4"/>
    </row>
    <row r="788" spans="4:19" ht="15.75" customHeight="1">
      <c r="D788" s="4"/>
      <c r="Q788" s="4"/>
      <c r="R788" s="4"/>
      <c r="S788" s="4"/>
    </row>
    <row r="789" spans="4:19" ht="15.75" customHeight="1">
      <c r="D789" s="4"/>
      <c r="Q789" s="4"/>
      <c r="R789" s="4"/>
      <c r="S789" s="4"/>
    </row>
    <row r="790" spans="4:19" ht="15.75" customHeight="1">
      <c r="D790" s="4"/>
      <c r="Q790" s="4"/>
      <c r="R790" s="4"/>
      <c r="S790" s="4"/>
    </row>
    <row r="791" spans="4:19" ht="15.75" customHeight="1">
      <c r="D791" s="4"/>
      <c r="Q791" s="4"/>
      <c r="R791" s="4"/>
      <c r="S791" s="4"/>
    </row>
    <row r="792" spans="4:19" ht="15.75" customHeight="1">
      <c r="D792" s="4"/>
      <c r="Q792" s="4"/>
      <c r="R792" s="4"/>
      <c r="S792" s="4"/>
    </row>
    <row r="793" spans="4:19" ht="15.75" customHeight="1">
      <c r="D793" s="4"/>
      <c r="Q793" s="4"/>
      <c r="R793" s="4"/>
      <c r="S793" s="4"/>
    </row>
    <row r="794" spans="4:19" ht="15.75" customHeight="1">
      <c r="D794" s="4"/>
      <c r="Q794" s="4"/>
      <c r="R794" s="4"/>
      <c r="S794" s="4"/>
    </row>
    <row r="795" spans="4:19" ht="15.75" customHeight="1">
      <c r="D795" s="4"/>
      <c r="Q795" s="4"/>
      <c r="R795" s="4"/>
      <c r="S795" s="4"/>
    </row>
    <row r="796" spans="4:19" ht="15.75" customHeight="1">
      <c r="D796" s="4"/>
      <c r="Q796" s="4"/>
      <c r="R796" s="4"/>
      <c r="S796" s="4"/>
    </row>
    <row r="797" spans="4:19" ht="15.75" customHeight="1">
      <c r="D797" s="4"/>
      <c r="Q797" s="4"/>
      <c r="R797" s="4"/>
      <c r="S797" s="4"/>
    </row>
    <row r="798" spans="4:19" ht="15.75" customHeight="1">
      <c r="D798" s="4"/>
      <c r="Q798" s="4"/>
      <c r="R798" s="4"/>
      <c r="S798" s="4"/>
    </row>
    <row r="799" spans="4:19" ht="15.75" customHeight="1">
      <c r="D799" s="4"/>
      <c r="Q799" s="4"/>
      <c r="R799" s="4"/>
      <c r="S799" s="4"/>
    </row>
    <row r="800" spans="4:19" ht="15.75" customHeight="1">
      <c r="D800" s="4"/>
      <c r="Q800" s="4"/>
      <c r="R800" s="4"/>
      <c r="S800" s="4"/>
    </row>
    <row r="801" spans="4:19" ht="15.75" customHeight="1">
      <c r="D801" s="4"/>
      <c r="Q801" s="4"/>
      <c r="R801" s="4"/>
      <c r="S801" s="4"/>
    </row>
    <row r="802" spans="4:19" ht="15.75" customHeight="1">
      <c r="D802" s="4"/>
      <c r="Q802" s="4"/>
      <c r="R802" s="4"/>
      <c r="S802" s="4"/>
    </row>
    <row r="803" spans="4:19" ht="15.75" customHeight="1">
      <c r="D803" s="4"/>
      <c r="Q803" s="4"/>
      <c r="R803" s="4"/>
      <c r="S803" s="4"/>
    </row>
    <row r="804" spans="4:19" ht="15.75" customHeight="1">
      <c r="D804" s="4"/>
      <c r="Q804" s="4"/>
      <c r="R804" s="4"/>
      <c r="S804" s="4"/>
    </row>
    <row r="805" spans="4:19" ht="15.75" customHeight="1">
      <c r="D805" s="4"/>
      <c r="Q805" s="4"/>
      <c r="R805" s="4"/>
      <c r="S805" s="4"/>
    </row>
    <row r="806" spans="4:19" ht="15.75" customHeight="1">
      <c r="D806" s="4"/>
      <c r="Q806" s="4"/>
      <c r="R806" s="4"/>
      <c r="S806" s="4"/>
    </row>
    <row r="807" spans="4:19" ht="15.75" customHeight="1">
      <c r="D807" s="4"/>
      <c r="Q807" s="4"/>
      <c r="R807" s="4"/>
      <c r="S807" s="4"/>
    </row>
    <row r="808" spans="4:19" ht="15.75" customHeight="1">
      <c r="D808" s="4"/>
      <c r="Q808" s="4"/>
      <c r="R808" s="4"/>
      <c r="S808" s="4"/>
    </row>
    <row r="809" spans="4:19" ht="15.75" customHeight="1">
      <c r="D809" s="4"/>
      <c r="Q809" s="4"/>
      <c r="R809" s="4"/>
      <c r="S809" s="4"/>
    </row>
    <row r="810" spans="4:19" ht="15.75" customHeight="1">
      <c r="D810" s="4"/>
      <c r="Q810" s="4"/>
      <c r="R810" s="4"/>
      <c r="S810" s="4"/>
    </row>
    <row r="811" spans="4:19" ht="15.75" customHeight="1">
      <c r="D811" s="4"/>
      <c r="Q811" s="4"/>
      <c r="R811" s="4"/>
      <c r="S811" s="4"/>
    </row>
    <row r="812" spans="4:19" ht="15.75" customHeight="1">
      <c r="D812" s="4"/>
      <c r="Q812" s="4"/>
      <c r="R812" s="4"/>
      <c r="S812" s="4"/>
    </row>
    <row r="813" spans="4:19" ht="15.75" customHeight="1">
      <c r="D813" s="4"/>
      <c r="Q813" s="4"/>
      <c r="R813" s="4"/>
      <c r="S813" s="4"/>
    </row>
    <row r="814" spans="4:19" ht="15.75" customHeight="1">
      <c r="D814" s="4"/>
      <c r="Q814" s="4"/>
      <c r="R814" s="4"/>
      <c r="S814" s="4"/>
    </row>
    <row r="815" spans="4:19" ht="15.75" customHeight="1">
      <c r="D815" s="4"/>
      <c r="Q815" s="4"/>
      <c r="R815" s="4"/>
      <c r="S815" s="4"/>
    </row>
    <row r="816" spans="4:19" ht="15.75" customHeight="1">
      <c r="D816" s="4"/>
      <c r="Q816" s="4"/>
      <c r="R816" s="4"/>
      <c r="S816" s="4"/>
    </row>
    <row r="817" spans="4:19" ht="15.75" customHeight="1">
      <c r="D817" s="4"/>
      <c r="Q817" s="4"/>
      <c r="R817" s="4"/>
      <c r="S817" s="4"/>
    </row>
    <row r="818" spans="4:19" ht="15.75" customHeight="1">
      <c r="D818" s="4"/>
      <c r="Q818" s="4"/>
      <c r="R818" s="4"/>
      <c r="S818" s="4"/>
    </row>
    <row r="819" spans="4:19" ht="15.75" customHeight="1">
      <c r="D819" s="4"/>
      <c r="Q819" s="4"/>
      <c r="R819" s="4"/>
      <c r="S819" s="4"/>
    </row>
    <row r="820" spans="4:19" ht="15.75" customHeight="1">
      <c r="D820" s="4"/>
      <c r="Q820" s="4"/>
      <c r="R820" s="4"/>
      <c r="S820" s="4"/>
    </row>
    <row r="821" spans="4:19" ht="15.75" customHeight="1">
      <c r="D821" s="4"/>
      <c r="Q821" s="4"/>
      <c r="R821" s="4"/>
      <c r="S821" s="4"/>
    </row>
    <row r="822" spans="4:19" ht="15.75" customHeight="1">
      <c r="D822" s="4"/>
      <c r="Q822" s="4"/>
      <c r="R822" s="4"/>
      <c r="S822" s="4"/>
    </row>
    <row r="823" spans="4:19" ht="15.75" customHeight="1">
      <c r="D823" s="4"/>
      <c r="Q823" s="4"/>
      <c r="R823" s="4"/>
      <c r="S823" s="4"/>
    </row>
    <row r="824" spans="4:19" ht="15.75" customHeight="1">
      <c r="D824" s="4"/>
      <c r="Q824" s="4"/>
      <c r="R824" s="4"/>
      <c r="S824" s="4"/>
    </row>
    <row r="825" spans="4:19" ht="15.75" customHeight="1">
      <c r="D825" s="4"/>
      <c r="Q825" s="4"/>
      <c r="R825" s="4"/>
      <c r="S825" s="4"/>
    </row>
    <row r="826" spans="4:19" ht="15.75" customHeight="1">
      <c r="D826" s="4"/>
      <c r="Q826" s="4"/>
      <c r="R826" s="4"/>
      <c r="S826" s="4"/>
    </row>
    <row r="827" spans="4:19" ht="15.75" customHeight="1">
      <c r="D827" s="4"/>
      <c r="Q827" s="4"/>
      <c r="R827" s="4"/>
      <c r="S827" s="4"/>
    </row>
    <row r="828" spans="4:19" ht="15.75" customHeight="1">
      <c r="D828" s="4"/>
      <c r="Q828" s="4"/>
      <c r="R828" s="4"/>
      <c r="S828" s="4"/>
    </row>
    <row r="829" spans="4:19" ht="15.75" customHeight="1">
      <c r="D829" s="4"/>
      <c r="Q829" s="4"/>
      <c r="R829" s="4"/>
      <c r="S829" s="4"/>
    </row>
    <row r="830" spans="4:19" ht="15.75" customHeight="1">
      <c r="D830" s="4"/>
      <c r="Q830" s="4"/>
      <c r="R830" s="4"/>
      <c r="S830" s="4"/>
    </row>
    <row r="831" spans="4:19" ht="15.75" customHeight="1">
      <c r="D831" s="4"/>
      <c r="Q831" s="4"/>
      <c r="R831" s="4"/>
      <c r="S831" s="4"/>
    </row>
    <row r="832" spans="4:19" ht="15.75" customHeight="1">
      <c r="D832" s="4"/>
      <c r="Q832" s="4"/>
      <c r="R832" s="4"/>
      <c r="S832" s="4"/>
    </row>
    <row r="833" spans="4:19" ht="15.75" customHeight="1">
      <c r="D833" s="4"/>
      <c r="Q833" s="4"/>
      <c r="R833" s="4"/>
      <c r="S833" s="4"/>
    </row>
    <row r="834" spans="4:19" ht="15.75" customHeight="1">
      <c r="D834" s="4"/>
      <c r="Q834" s="4"/>
      <c r="R834" s="4"/>
      <c r="S834" s="4"/>
    </row>
    <row r="835" spans="4:19" ht="15.75" customHeight="1">
      <c r="D835" s="4"/>
      <c r="Q835" s="4"/>
      <c r="R835" s="4"/>
      <c r="S835" s="4"/>
    </row>
    <row r="836" spans="4:19" ht="15.75" customHeight="1">
      <c r="D836" s="4"/>
      <c r="Q836" s="4"/>
      <c r="R836" s="4"/>
      <c r="S836" s="4"/>
    </row>
    <row r="837" spans="4:19" ht="15.75" customHeight="1">
      <c r="D837" s="4"/>
      <c r="Q837" s="4"/>
      <c r="R837" s="4"/>
      <c r="S837" s="4"/>
    </row>
    <row r="838" spans="4:19" ht="15.75" customHeight="1">
      <c r="D838" s="4"/>
      <c r="Q838" s="4"/>
      <c r="R838" s="4"/>
      <c r="S838" s="4"/>
    </row>
    <row r="839" spans="4:19" ht="15.75" customHeight="1">
      <c r="D839" s="4"/>
      <c r="Q839" s="4"/>
      <c r="R839" s="4"/>
      <c r="S839" s="4"/>
    </row>
    <row r="840" spans="4:19" ht="15.75" customHeight="1">
      <c r="D840" s="4"/>
      <c r="Q840" s="4"/>
      <c r="R840" s="4"/>
      <c r="S840" s="4"/>
    </row>
    <row r="841" spans="4:19" ht="15.75" customHeight="1">
      <c r="D841" s="4"/>
      <c r="Q841" s="4"/>
      <c r="R841" s="4"/>
      <c r="S841" s="4"/>
    </row>
    <row r="842" spans="4:19" ht="15.75" customHeight="1">
      <c r="D842" s="4"/>
      <c r="Q842" s="4"/>
      <c r="R842" s="4"/>
      <c r="S842" s="4"/>
    </row>
    <row r="843" spans="4:19" ht="15.75" customHeight="1">
      <c r="D843" s="4"/>
      <c r="Q843" s="4"/>
      <c r="R843" s="4"/>
      <c r="S843" s="4"/>
    </row>
    <row r="844" spans="4:19" ht="15.75" customHeight="1">
      <c r="D844" s="4"/>
      <c r="Q844" s="4"/>
      <c r="R844" s="4"/>
      <c r="S844" s="4"/>
    </row>
    <row r="845" spans="4:19" ht="15.75" customHeight="1">
      <c r="D845" s="4"/>
      <c r="Q845" s="4"/>
      <c r="R845" s="4"/>
      <c r="S845" s="4"/>
    </row>
    <row r="846" spans="4:19" ht="15.75" customHeight="1">
      <c r="D846" s="4"/>
      <c r="Q846" s="4"/>
      <c r="R846" s="4"/>
      <c r="S846" s="4"/>
    </row>
    <row r="847" spans="4:19" ht="15.75" customHeight="1">
      <c r="D847" s="4"/>
      <c r="Q847" s="4"/>
      <c r="R847" s="4"/>
      <c r="S847" s="4"/>
    </row>
    <row r="848" spans="4:19" ht="15.75" customHeight="1">
      <c r="D848" s="4"/>
      <c r="Q848" s="4"/>
      <c r="R848" s="4"/>
      <c r="S848" s="4"/>
    </row>
    <row r="849" spans="4:19" ht="15.75" customHeight="1">
      <c r="D849" s="4"/>
      <c r="Q849" s="4"/>
      <c r="R849" s="4"/>
      <c r="S849" s="4"/>
    </row>
    <row r="850" spans="4:19" ht="15.75" customHeight="1">
      <c r="D850" s="4"/>
      <c r="Q850" s="4"/>
      <c r="R850" s="4"/>
      <c r="S850" s="4"/>
    </row>
    <row r="851" spans="4:19" ht="15.75" customHeight="1">
      <c r="D851" s="4"/>
      <c r="Q851" s="4"/>
      <c r="R851" s="4"/>
      <c r="S851" s="4"/>
    </row>
    <row r="852" spans="4:19" ht="15.75" customHeight="1">
      <c r="D852" s="4"/>
      <c r="Q852" s="4"/>
      <c r="R852" s="4"/>
      <c r="S852" s="4"/>
    </row>
    <row r="853" spans="4:19" ht="15.75" customHeight="1">
      <c r="D853" s="4"/>
      <c r="Q853" s="4"/>
      <c r="R853" s="4"/>
      <c r="S853" s="4"/>
    </row>
    <row r="854" spans="4:19" ht="15.75" customHeight="1">
      <c r="D854" s="4"/>
      <c r="Q854" s="4"/>
      <c r="R854" s="4"/>
      <c r="S854" s="4"/>
    </row>
    <row r="855" spans="4:19" ht="15.75" customHeight="1">
      <c r="D855" s="4"/>
      <c r="Q855" s="4"/>
      <c r="R855" s="4"/>
      <c r="S855" s="4"/>
    </row>
    <row r="856" spans="4:19" ht="15.75" customHeight="1">
      <c r="D856" s="4"/>
      <c r="Q856" s="4"/>
      <c r="R856" s="4"/>
      <c r="S856" s="4"/>
    </row>
    <row r="857" spans="4:19" ht="15.75" customHeight="1">
      <c r="D857" s="4"/>
      <c r="Q857" s="4"/>
      <c r="R857" s="4"/>
      <c r="S857" s="4"/>
    </row>
    <row r="858" spans="4:19" ht="15.75" customHeight="1">
      <c r="D858" s="4"/>
      <c r="Q858" s="4"/>
      <c r="R858" s="4"/>
      <c r="S858" s="4"/>
    </row>
    <row r="859" spans="4:19" ht="15.75" customHeight="1">
      <c r="D859" s="4"/>
      <c r="Q859" s="4"/>
      <c r="R859" s="4"/>
      <c r="S859" s="4"/>
    </row>
    <row r="860" spans="4:19" ht="15.75" customHeight="1">
      <c r="D860" s="4"/>
      <c r="Q860" s="4"/>
      <c r="R860" s="4"/>
      <c r="S860" s="4"/>
    </row>
    <row r="861" spans="4:19" ht="15.75" customHeight="1">
      <c r="D861" s="4"/>
      <c r="Q861" s="4"/>
      <c r="R861" s="4"/>
      <c r="S861" s="4"/>
    </row>
    <row r="862" spans="4:19" ht="15.75" customHeight="1">
      <c r="D862" s="4"/>
      <c r="Q862" s="4"/>
      <c r="R862" s="4"/>
      <c r="S862" s="4"/>
    </row>
    <row r="863" spans="4:19" ht="15.75" customHeight="1">
      <c r="D863" s="4"/>
      <c r="Q863" s="4"/>
      <c r="R863" s="4"/>
      <c r="S863" s="4"/>
    </row>
    <row r="864" spans="4:19" ht="15.75" customHeight="1">
      <c r="D864" s="4"/>
      <c r="Q864" s="4"/>
      <c r="R864" s="4"/>
      <c r="S864" s="4"/>
    </row>
    <row r="865" spans="4:19" ht="15.75" customHeight="1">
      <c r="D865" s="4"/>
      <c r="Q865" s="4"/>
      <c r="R865" s="4"/>
      <c r="S865" s="4"/>
    </row>
    <row r="866" spans="4:19" ht="15.75" customHeight="1">
      <c r="D866" s="4"/>
      <c r="Q866" s="4"/>
      <c r="R866" s="4"/>
      <c r="S866" s="4"/>
    </row>
    <row r="867" spans="4:19" ht="15.75" customHeight="1">
      <c r="D867" s="4"/>
      <c r="Q867" s="4"/>
      <c r="R867" s="4"/>
      <c r="S867" s="4"/>
    </row>
    <row r="868" spans="4:19" ht="15.75" customHeight="1">
      <c r="D868" s="4"/>
      <c r="Q868" s="4"/>
      <c r="R868" s="4"/>
      <c r="S868" s="4"/>
    </row>
    <row r="869" spans="4:19" ht="15.75" customHeight="1">
      <c r="D869" s="4"/>
      <c r="Q869" s="4"/>
      <c r="R869" s="4"/>
      <c r="S869" s="4"/>
    </row>
    <row r="870" spans="4:19" ht="15.75" customHeight="1">
      <c r="D870" s="4"/>
      <c r="Q870" s="4"/>
      <c r="R870" s="4"/>
      <c r="S870" s="4"/>
    </row>
    <row r="871" spans="4:19" ht="15.75" customHeight="1">
      <c r="D871" s="4"/>
      <c r="Q871" s="4"/>
      <c r="R871" s="4"/>
      <c r="S871" s="4"/>
    </row>
    <row r="872" spans="4:19" ht="15.75" customHeight="1">
      <c r="D872" s="4"/>
      <c r="Q872" s="4"/>
      <c r="R872" s="4"/>
      <c r="S872" s="4"/>
    </row>
    <row r="873" spans="4:19" ht="15.75" customHeight="1">
      <c r="D873" s="4"/>
      <c r="Q873" s="4"/>
      <c r="R873" s="4"/>
      <c r="S873" s="4"/>
    </row>
    <row r="874" spans="4:19" ht="15.75" customHeight="1">
      <c r="D874" s="4"/>
      <c r="Q874" s="4"/>
      <c r="R874" s="4"/>
      <c r="S874" s="4"/>
    </row>
    <row r="875" spans="4:19" ht="15.75" customHeight="1">
      <c r="D875" s="4"/>
      <c r="Q875" s="4"/>
      <c r="R875" s="4"/>
      <c r="S875" s="4"/>
    </row>
    <row r="876" spans="4:19" ht="15.75" customHeight="1">
      <c r="D876" s="4"/>
      <c r="Q876" s="4"/>
      <c r="R876" s="4"/>
      <c r="S876" s="4"/>
    </row>
    <row r="877" spans="4:19" ht="15.75" customHeight="1">
      <c r="D877" s="4"/>
      <c r="Q877" s="4"/>
      <c r="R877" s="4"/>
      <c r="S877" s="4"/>
    </row>
    <row r="878" spans="4:19" ht="15.75" customHeight="1">
      <c r="D878" s="4"/>
      <c r="Q878" s="4"/>
      <c r="R878" s="4"/>
      <c r="S878" s="4"/>
    </row>
    <row r="879" spans="4:19" ht="15.75" customHeight="1">
      <c r="D879" s="4"/>
      <c r="Q879" s="4"/>
      <c r="R879" s="4"/>
      <c r="S879" s="4"/>
    </row>
    <row r="880" spans="4:19" ht="15.75" customHeight="1">
      <c r="D880" s="4"/>
      <c r="Q880" s="4"/>
      <c r="R880" s="4"/>
      <c r="S880" s="4"/>
    </row>
    <row r="881" spans="4:19" ht="15.75" customHeight="1">
      <c r="D881" s="4"/>
      <c r="Q881" s="4"/>
      <c r="R881" s="4"/>
      <c r="S881" s="4"/>
    </row>
    <row r="882" spans="4:19" ht="15.75" customHeight="1">
      <c r="D882" s="4"/>
      <c r="Q882" s="4"/>
      <c r="R882" s="4"/>
      <c r="S882" s="4"/>
    </row>
    <row r="883" spans="4:19" ht="15.75" customHeight="1">
      <c r="D883" s="4"/>
      <c r="Q883" s="4"/>
      <c r="R883" s="4"/>
      <c r="S883" s="4"/>
    </row>
    <row r="884" spans="4:19" ht="15.75" customHeight="1">
      <c r="D884" s="4"/>
      <c r="Q884" s="4"/>
      <c r="R884" s="4"/>
      <c r="S884" s="4"/>
    </row>
    <row r="885" spans="4:19" ht="15.75" customHeight="1">
      <c r="D885" s="4"/>
      <c r="Q885" s="4"/>
      <c r="R885" s="4"/>
      <c r="S885" s="4"/>
    </row>
    <row r="886" spans="4:19" ht="15.75" customHeight="1">
      <c r="D886" s="4"/>
      <c r="Q886" s="4"/>
      <c r="R886" s="4"/>
      <c r="S886" s="4"/>
    </row>
    <row r="887" spans="4:19" ht="15.75" customHeight="1">
      <c r="D887" s="4"/>
      <c r="Q887" s="4"/>
      <c r="R887" s="4"/>
      <c r="S887" s="4"/>
    </row>
    <row r="888" spans="4:19" ht="15.75" customHeight="1">
      <c r="D888" s="4"/>
      <c r="Q888" s="4"/>
      <c r="R888" s="4"/>
      <c r="S888" s="4"/>
    </row>
    <row r="889" spans="4:19" ht="15.75" customHeight="1">
      <c r="D889" s="4"/>
      <c r="Q889" s="4"/>
      <c r="R889" s="4"/>
      <c r="S889" s="4"/>
    </row>
    <row r="890" spans="4:19" ht="15.75" customHeight="1">
      <c r="D890" s="4"/>
      <c r="Q890" s="4"/>
      <c r="R890" s="4"/>
      <c r="S890" s="4"/>
    </row>
    <row r="891" spans="4:19" ht="15.75" customHeight="1">
      <c r="D891" s="4"/>
      <c r="Q891" s="4"/>
      <c r="R891" s="4"/>
      <c r="S891" s="4"/>
    </row>
    <row r="892" spans="4:19" ht="15.75" customHeight="1">
      <c r="D892" s="4"/>
      <c r="Q892" s="4"/>
      <c r="R892" s="4"/>
      <c r="S892" s="4"/>
    </row>
    <row r="893" spans="4:19" ht="15.75" customHeight="1">
      <c r="D893" s="4"/>
      <c r="Q893" s="4"/>
      <c r="R893" s="4"/>
      <c r="S893" s="4"/>
    </row>
    <row r="894" spans="4:19" ht="15.75" customHeight="1">
      <c r="D894" s="4"/>
      <c r="Q894" s="4"/>
      <c r="R894" s="4"/>
      <c r="S894" s="4"/>
    </row>
    <row r="895" spans="4:19" ht="15.75" customHeight="1">
      <c r="D895" s="4"/>
      <c r="Q895" s="4"/>
      <c r="R895" s="4"/>
      <c r="S895" s="4"/>
    </row>
    <row r="896" spans="4:19" ht="15.75" customHeight="1">
      <c r="D896" s="4"/>
      <c r="Q896" s="4"/>
      <c r="R896" s="4"/>
      <c r="S896" s="4"/>
    </row>
    <row r="897" spans="4:19" ht="15.75" customHeight="1">
      <c r="D897" s="4"/>
      <c r="Q897" s="4"/>
      <c r="R897" s="4"/>
      <c r="S897" s="4"/>
    </row>
    <row r="898" spans="4:19" ht="15.75" customHeight="1">
      <c r="D898" s="4"/>
      <c r="Q898" s="4"/>
      <c r="R898" s="4"/>
      <c r="S898" s="4"/>
    </row>
    <row r="899" spans="4:19" ht="15.75" customHeight="1">
      <c r="D899" s="4"/>
      <c r="Q899" s="4"/>
      <c r="R899" s="4"/>
      <c r="S899" s="4"/>
    </row>
    <row r="900" spans="4:19" ht="15.75" customHeight="1">
      <c r="D900" s="4"/>
      <c r="Q900" s="4"/>
      <c r="R900" s="4"/>
      <c r="S900" s="4"/>
    </row>
    <row r="901" spans="4:19" ht="15.75" customHeight="1">
      <c r="D901" s="4"/>
      <c r="Q901" s="4"/>
      <c r="R901" s="4"/>
      <c r="S901" s="4"/>
    </row>
    <row r="902" spans="4:19" ht="15.75" customHeight="1">
      <c r="D902" s="4"/>
      <c r="Q902" s="4"/>
      <c r="R902" s="4"/>
      <c r="S902" s="4"/>
    </row>
    <row r="903" spans="4:19" ht="15.75" customHeight="1">
      <c r="D903" s="4"/>
      <c r="Q903" s="4"/>
      <c r="R903" s="4"/>
      <c r="S903" s="4"/>
    </row>
    <row r="904" spans="4:19" ht="15.75" customHeight="1">
      <c r="D904" s="4"/>
      <c r="Q904" s="4"/>
      <c r="R904" s="4"/>
      <c r="S904" s="4"/>
    </row>
    <row r="905" spans="4:19" ht="15.75" customHeight="1">
      <c r="D905" s="4"/>
      <c r="Q905" s="4"/>
      <c r="R905" s="4"/>
      <c r="S905" s="4"/>
    </row>
    <row r="906" spans="4:19" ht="15.75" customHeight="1">
      <c r="D906" s="4"/>
      <c r="Q906" s="4"/>
      <c r="R906" s="4"/>
      <c r="S906" s="4"/>
    </row>
    <row r="907" spans="4:19" ht="15.75" customHeight="1">
      <c r="D907" s="4"/>
      <c r="Q907" s="4"/>
      <c r="R907" s="4"/>
      <c r="S907" s="4"/>
    </row>
    <row r="908" spans="4:19" ht="15.75" customHeight="1">
      <c r="D908" s="4"/>
      <c r="Q908" s="4"/>
      <c r="R908" s="4"/>
      <c r="S908" s="4"/>
    </row>
    <row r="909" spans="4:19" ht="15.75" customHeight="1">
      <c r="D909" s="4"/>
      <c r="Q909" s="4"/>
      <c r="R909" s="4"/>
      <c r="S909" s="4"/>
    </row>
    <row r="910" spans="4:19" ht="15.75" customHeight="1">
      <c r="D910" s="4"/>
      <c r="Q910" s="4"/>
      <c r="R910" s="4"/>
      <c r="S910" s="4"/>
    </row>
    <row r="911" spans="4:19" ht="15.75" customHeight="1">
      <c r="D911" s="4"/>
      <c r="Q911" s="4"/>
      <c r="R911" s="4"/>
      <c r="S911" s="4"/>
    </row>
    <row r="912" spans="4:19" ht="15.75" customHeight="1">
      <c r="D912" s="4"/>
      <c r="Q912" s="4"/>
      <c r="R912" s="4"/>
      <c r="S912" s="4"/>
    </row>
    <row r="913" spans="4:19" ht="15.75" customHeight="1">
      <c r="D913" s="4"/>
      <c r="Q913" s="4"/>
      <c r="R913" s="4"/>
      <c r="S913" s="4"/>
    </row>
    <row r="914" spans="4:19" ht="15.75" customHeight="1">
      <c r="D914" s="4"/>
      <c r="Q914" s="4"/>
      <c r="R914" s="4"/>
      <c r="S914" s="4"/>
    </row>
    <row r="915" spans="4:19" ht="15.75" customHeight="1">
      <c r="D915" s="4"/>
      <c r="Q915" s="4"/>
      <c r="R915" s="4"/>
      <c r="S915" s="4"/>
    </row>
    <row r="916" spans="4:19" ht="15.75" customHeight="1">
      <c r="D916" s="4"/>
      <c r="Q916" s="4"/>
      <c r="R916" s="4"/>
      <c r="S916" s="4"/>
    </row>
    <row r="917" spans="4:19" ht="15.75" customHeight="1">
      <c r="D917" s="4"/>
      <c r="Q917" s="4"/>
      <c r="R917" s="4"/>
      <c r="S917" s="4"/>
    </row>
    <row r="918" spans="4:19" ht="15.75" customHeight="1">
      <c r="D918" s="4"/>
      <c r="Q918" s="4"/>
      <c r="R918" s="4"/>
      <c r="S918" s="4"/>
    </row>
    <row r="919" spans="4:19" ht="15.75" customHeight="1">
      <c r="D919" s="4"/>
      <c r="Q919" s="4"/>
      <c r="R919" s="4"/>
      <c r="S919" s="4"/>
    </row>
    <row r="920" spans="4:19" ht="15.75" customHeight="1">
      <c r="D920" s="4"/>
      <c r="Q920" s="4"/>
      <c r="R920" s="4"/>
      <c r="S920" s="4"/>
    </row>
    <row r="921" spans="4:19" ht="15.75" customHeight="1">
      <c r="D921" s="4"/>
      <c r="Q921" s="4"/>
      <c r="R921" s="4"/>
      <c r="S921" s="4"/>
    </row>
    <row r="922" spans="4:19" ht="15.75" customHeight="1">
      <c r="D922" s="4"/>
      <c r="Q922" s="4"/>
      <c r="R922" s="4"/>
      <c r="S922" s="4"/>
    </row>
    <row r="923" spans="4:19" ht="15.75" customHeight="1">
      <c r="D923" s="4"/>
      <c r="Q923" s="4"/>
      <c r="R923" s="4"/>
      <c r="S923" s="4"/>
    </row>
    <row r="924" spans="4:19" ht="15.75" customHeight="1">
      <c r="D924" s="4"/>
      <c r="Q924" s="4"/>
      <c r="R924" s="4"/>
      <c r="S924" s="4"/>
    </row>
    <row r="925" spans="4:19" ht="15.75" customHeight="1">
      <c r="D925" s="4"/>
      <c r="Q925" s="4"/>
      <c r="R925" s="4"/>
      <c r="S925" s="4"/>
    </row>
    <row r="926" spans="4:19" ht="15.75" customHeight="1">
      <c r="D926" s="4"/>
      <c r="Q926" s="4"/>
      <c r="R926" s="4"/>
      <c r="S926" s="4"/>
    </row>
    <row r="927" spans="4:19" ht="15.75" customHeight="1">
      <c r="D927" s="4"/>
      <c r="Q927" s="4"/>
      <c r="R927" s="4"/>
      <c r="S927" s="4"/>
    </row>
    <row r="928" spans="4:19" ht="15.75" customHeight="1">
      <c r="D928" s="4"/>
      <c r="Q928" s="4"/>
      <c r="R928" s="4"/>
      <c r="S928" s="4"/>
    </row>
    <row r="929" spans="4:19" ht="15.75" customHeight="1">
      <c r="D929" s="4"/>
      <c r="Q929" s="4"/>
      <c r="R929" s="4"/>
      <c r="S929" s="4"/>
    </row>
    <row r="930" spans="4:19" ht="15.75" customHeight="1">
      <c r="D930" s="4"/>
      <c r="Q930" s="4"/>
      <c r="R930" s="4"/>
      <c r="S930" s="4"/>
    </row>
    <row r="931" spans="4:19" ht="15.75" customHeight="1">
      <c r="D931" s="4"/>
      <c r="Q931" s="4"/>
      <c r="R931" s="4"/>
      <c r="S931" s="4"/>
    </row>
    <row r="932" spans="4:19" ht="15.75" customHeight="1">
      <c r="D932" s="4"/>
      <c r="Q932" s="4"/>
      <c r="R932" s="4"/>
      <c r="S932" s="4"/>
    </row>
    <row r="933" spans="4:19" ht="15.75" customHeight="1">
      <c r="D933" s="4"/>
      <c r="Q933" s="4"/>
      <c r="R933" s="4"/>
      <c r="S933" s="4"/>
    </row>
    <row r="934" spans="4:19" ht="15.75" customHeight="1">
      <c r="D934" s="4"/>
      <c r="Q934" s="4"/>
      <c r="R934" s="4"/>
      <c r="S934" s="4"/>
    </row>
    <row r="935" spans="4:19" ht="15.75" customHeight="1">
      <c r="D935" s="4"/>
      <c r="Q935" s="4"/>
      <c r="R935" s="4"/>
      <c r="S935" s="4"/>
    </row>
    <row r="936" spans="4:19" ht="15.75" customHeight="1">
      <c r="D936" s="4"/>
      <c r="Q936" s="4"/>
      <c r="R936" s="4"/>
      <c r="S936" s="4"/>
    </row>
    <row r="937" spans="4:19" ht="15.75" customHeight="1">
      <c r="D937" s="4"/>
      <c r="Q937" s="4"/>
      <c r="R937" s="4"/>
      <c r="S937" s="4"/>
    </row>
    <row r="938" spans="4:19" ht="15.75" customHeight="1">
      <c r="D938" s="4"/>
      <c r="Q938" s="4"/>
      <c r="R938" s="4"/>
      <c r="S938" s="4"/>
    </row>
    <row r="939" spans="4:19" ht="15.75" customHeight="1">
      <c r="D939" s="4"/>
      <c r="Q939" s="4"/>
      <c r="R939" s="4"/>
      <c r="S939" s="4"/>
    </row>
    <row r="940" spans="4:19" ht="15.75" customHeight="1">
      <c r="D940" s="4"/>
      <c r="Q940" s="4"/>
      <c r="R940" s="4"/>
      <c r="S940" s="4"/>
    </row>
    <row r="941" spans="4:19" ht="15.75" customHeight="1">
      <c r="D941" s="4"/>
      <c r="Q941" s="4"/>
      <c r="R941" s="4"/>
      <c r="S941" s="4"/>
    </row>
    <row r="942" spans="4:19" ht="15.75" customHeight="1">
      <c r="D942" s="4"/>
      <c r="Q942" s="4"/>
      <c r="R942" s="4"/>
      <c r="S942" s="4"/>
    </row>
    <row r="943" spans="4:19" ht="15.75" customHeight="1">
      <c r="D943" s="4"/>
      <c r="Q943" s="4"/>
      <c r="R943" s="4"/>
      <c r="S943" s="4"/>
    </row>
    <row r="944" spans="4:19" ht="15.75" customHeight="1">
      <c r="D944" s="4"/>
      <c r="Q944" s="4"/>
      <c r="R944" s="4"/>
      <c r="S944" s="4"/>
    </row>
    <row r="945" spans="4:19" ht="15.75" customHeight="1">
      <c r="D945" s="4"/>
      <c r="Q945" s="4"/>
      <c r="R945" s="4"/>
      <c r="S945" s="4"/>
    </row>
    <row r="946" spans="4:19" ht="15.75" customHeight="1">
      <c r="D946" s="4"/>
      <c r="Q946" s="4"/>
      <c r="R946" s="4"/>
      <c r="S946" s="4"/>
    </row>
    <row r="947" spans="4:19" ht="15.75" customHeight="1">
      <c r="D947" s="4"/>
      <c r="Q947" s="4"/>
      <c r="R947" s="4"/>
      <c r="S947" s="4"/>
    </row>
    <row r="948" spans="4:19" ht="15.75" customHeight="1">
      <c r="D948" s="4"/>
      <c r="Q948" s="4"/>
      <c r="R948" s="4"/>
      <c r="S948" s="4"/>
    </row>
    <row r="949" spans="4:19" ht="15.75" customHeight="1">
      <c r="D949" s="4"/>
      <c r="Q949" s="4"/>
      <c r="R949" s="4"/>
      <c r="S949" s="4"/>
    </row>
    <row r="950" spans="4:19" ht="15.75" customHeight="1">
      <c r="D950" s="4"/>
      <c r="Q950" s="4"/>
      <c r="R950" s="4"/>
      <c r="S950" s="4"/>
    </row>
    <row r="951" spans="4:19" ht="15.75" customHeight="1">
      <c r="D951" s="4"/>
      <c r="Q951" s="4"/>
      <c r="R951" s="4"/>
      <c r="S951" s="4"/>
    </row>
    <row r="952" spans="4:19" ht="15.75" customHeight="1">
      <c r="D952" s="4"/>
      <c r="Q952" s="4"/>
      <c r="R952" s="4"/>
      <c r="S952" s="4"/>
    </row>
    <row r="953" spans="4:19" ht="15.75" customHeight="1">
      <c r="D953" s="4"/>
      <c r="Q953" s="4"/>
      <c r="R953" s="4"/>
      <c r="S953" s="4"/>
    </row>
    <row r="954" spans="4:19" ht="15.75" customHeight="1">
      <c r="D954" s="4"/>
      <c r="Q954" s="4"/>
      <c r="R954" s="4"/>
      <c r="S954" s="4"/>
    </row>
    <row r="955" spans="4:19" ht="15.75" customHeight="1">
      <c r="D955" s="4"/>
      <c r="Q955" s="4"/>
      <c r="R955" s="4"/>
      <c r="S955" s="4"/>
    </row>
    <row r="956" spans="4:19" ht="15.75" customHeight="1">
      <c r="D956" s="4"/>
      <c r="Q956" s="4"/>
      <c r="R956" s="4"/>
      <c r="S956" s="4"/>
    </row>
    <row r="957" spans="4:19" ht="15.75" customHeight="1">
      <c r="D957" s="4"/>
      <c r="Q957" s="4"/>
      <c r="R957" s="4"/>
      <c r="S957" s="4"/>
    </row>
    <row r="958" spans="4:19" ht="15.75" customHeight="1">
      <c r="D958" s="4"/>
      <c r="Q958" s="4"/>
      <c r="R958" s="4"/>
      <c r="S958" s="4"/>
    </row>
    <row r="959" spans="4:19" ht="15.75" customHeight="1">
      <c r="D959" s="4"/>
      <c r="Q959" s="4"/>
      <c r="R959" s="4"/>
      <c r="S959" s="4"/>
    </row>
    <row r="960" spans="4:19" ht="15.75" customHeight="1">
      <c r="D960" s="4"/>
      <c r="Q960" s="4"/>
      <c r="R960" s="4"/>
      <c r="S960" s="4"/>
    </row>
    <row r="961" spans="4:19" ht="15.75" customHeight="1">
      <c r="D961" s="4"/>
      <c r="Q961" s="4"/>
      <c r="R961" s="4"/>
      <c r="S961" s="4"/>
    </row>
    <row r="962" spans="4:19" ht="15.75" customHeight="1">
      <c r="D962" s="4"/>
      <c r="Q962" s="4"/>
      <c r="R962" s="4"/>
      <c r="S962" s="4"/>
    </row>
    <row r="963" spans="4:19" ht="15.75" customHeight="1">
      <c r="D963" s="4"/>
      <c r="Q963" s="4"/>
      <c r="R963" s="4"/>
      <c r="S963" s="4"/>
    </row>
    <row r="964" spans="4:19" ht="15.75" customHeight="1">
      <c r="D964" s="4"/>
      <c r="Q964" s="4"/>
      <c r="R964" s="4"/>
      <c r="S964" s="4"/>
    </row>
    <row r="965" spans="4:19" ht="15.75" customHeight="1">
      <c r="D965" s="4"/>
      <c r="Q965" s="4"/>
      <c r="R965" s="4"/>
      <c r="S965" s="4"/>
    </row>
    <row r="966" spans="4:19" ht="15.75" customHeight="1">
      <c r="D966" s="4"/>
      <c r="Q966" s="4"/>
      <c r="R966" s="4"/>
      <c r="S966" s="4"/>
    </row>
    <row r="967" spans="4:19" ht="15.75" customHeight="1">
      <c r="D967" s="4"/>
      <c r="Q967" s="4"/>
      <c r="R967" s="4"/>
      <c r="S967" s="4"/>
    </row>
    <row r="968" spans="4:19" ht="15.75" customHeight="1">
      <c r="D968" s="4"/>
      <c r="Q968" s="4"/>
      <c r="R968" s="4"/>
      <c r="S968" s="4"/>
    </row>
    <row r="969" spans="4:19" ht="15.75" customHeight="1">
      <c r="D969" s="4"/>
      <c r="Q969" s="4"/>
      <c r="R969" s="4"/>
      <c r="S969" s="4"/>
    </row>
    <row r="970" spans="4:19" ht="15.75" customHeight="1">
      <c r="D970" s="4"/>
      <c r="Q970" s="4"/>
      <c r="R970" s="4"/>
      <c r="S970" s="4"/>
    </row>
    <row r="971" spans="4:19" ht="15.75" customHeight="1">
      <c r="D971" s="4"/>
      <c r="Q971" s="4"/>
      <c r="R971" s="4"/>
      <c r="S971" s="4"/>
    </row>
    <row r="972" spans="4:19" ht="15.75" customHeight="1">
      <c r="D972" s="4"/>
      <c r="Q972" s="4"/>
      <c r="R972" s="4"/>
      <c r="S972" s="4"/>
    </row>
    <row r="973" spans="4:19" ht="15.75" customHeight="1">
      <c r="D973" s="4"/>
      <c r="Q973" s="4"/>
      <c r="R973" s="4"/>
      <c r="S973" s="4"/>
    </row>
    <row r="974" spans="4:19" ht="15.75" customHeight="1">
      <c r="D974" s="4"/>
      <c r="Q974" s="4"/>
      <c r="R974" s="4"/>
      <c r="S974" s="4"/>
    </row>
    <row r="975" spans="4:19" ht="15.75" customHeight="1">
      <c r="D975" s="4"/>
      <c r="Q975" s="4"/>
      <c r="R975" s="4"/>
      <c r="S975" s="4"/>
    </row>
    <row r="976" spans="4:19" ht="15.75" customHeight="1">
      <c r="D976" s="4"/>
      <c r="Q976" s="4"/>
      <c r="R976" s="4"/>
      <c r="S976" s="4"/>
    </row>
    <row r="977" spans="4:19" ht="15.75" customHeight="1">
      <c r="D977" s="4"/>
      <c r="Q977" s="4"/>
      <c r="R977" s="4"/>
      <c r="S977" s="4"/>
    </row>
    <row r="978" spans="4:19" ht="15.75" customHeight="1">
      <c r="D978" s="4"/>
      <c r="Q978" s="4"/>
      <c r="R978" s="4"/>
      <c r="S978" s="4"/>
    </row>
    <row r="979" spans="4:19" ht="15.75" customHeight="1">
      <c r="D979" s="4"/>
      <c r="Q979" s="4"/>
      <c r="R979" s="4"/>
      <c r="S979" s="4"/>
    </row>
    <row r="980" spans="4:19" ht="15.75" customHeight="1">
      <c r="D980" s="4"/>
      <c r="Q980" s="4"/>
      <c r="R980" s="4"/>
      <c r="S980" s="4"/>
    </row>
    <row r="981" spans="4:19" ht="15.75" customHeight="1">
      <c r="D981" s="4"/>
      <c r="Q981" s="4"/>
      <c r="R981" s="4"/>
      <c r="S981" s="4"/>
    </row>
    <row r="982" spans="4:19" ht="15.75" customHeight="1">
      <c r="D982" s="4"/>
      <c r="Q982" s="4"/>
      <c r="R982" s="4"/>
      <c r="S982" s="4"/>
    </row>
    <row r="983" spans="4:19" ht="15.75" customHeight="1">
      <c r="D983" s="4"/>
      <c r="Q983" s="4"/>
      <c r="R983" s="4"/>
      <c r="S983" s="4"/>
    </row>
    <row r="984" spans="4:19" ht="15.75" customHeight="1">
      <c r="D984" s="4"/>
      <c r="Q984" s="4"/>
      <c r="R984" s="4"/>
      <c r="S984" s="4"/>
    </row>
    <row r="985" spans="4:19" ht="15.75" customHeight="1">
      <c r="D985" s="4"/>
      <c r="Q985" s="4"/>
      <c r="R985" s="4"/>
      <c r="S985" s="4"/>
    </row>
    <row r="986" spans="4:19" ht="15.75" customHeight="1">
      <c r="D986" s="4"/>
      <c r="Q986" s="4"/>
      <c r="R986" s="4"/>
      <c r="S986" s="4"/>
    </row>
    <row r="987" spans="4:19" ht="15.75" customHeight="1">
      <c r="D987" s="4"/>
      <c r="Q987" s="4"/>
      <c r="R987" s="4"/>
      <c r="S987" s="4"/>
    </row>
    <row r="988" spans="4:19" ht="15.75" customHeight="1">
      <c r="D988" s="4"/>
      <c r="Q988" s="4"/>
      <c r="R988" s="4"/>
      <c r="S988" s="4"/>
    </row>
    <row r="989" spans="4:19" ht="15.75" customHeight="1">
      <c r="D989" s="4"/>
      <c r="Q989" s="4"/>
      <c r="R989" s="4"/>
      <c r="S989" s="4"/>
    </row>
    <row r="990" spans="4:19" ht="15.75" customHeight="1">
      <c r="D990" s="4"/>
      <c r="Q990" s="4"/>
      <c r="R990" s="4"/>
      <c r="S990" s="4"/>
    </row>
    <row r="991" spans="4:19" ht="15.75" customHeight="1">
      <c r="D991" s="4"/>
      <c r="Q991" s="4"/>
      <c r="R991" s="4"/>
      <c r="S991" s="4"/>
    </row>
    <row r="992" spans="4:19" ht="15.75" customHeight="1">
      <c r="D992" s="4"/>
      <c r="Q992" s="4"/>
      <c r="R992" s="4"/>
      <c r="S992" s="4"/>
    </row>
    <row r="993" spans="4:19" ht="15.75" customHeight="1">
      <c r="D993" s="4"/>
      <c r="Q993" s="4"/>
      <c r="R993" s="4"/>
      <c r="S993" s="4"/>
    </row>
    <row r="994" spans="4:19" ht="15.75" customHeight="1">
      <c r="D994" s="4"/>
      <c r="Q994" s="4"/>
      <c r="R994" s="4"/>
      <c r="S994" s="4"/>
    </row>
    <row r="995" spans="4:19" ht="15.75" customHeight="1">
      <c r="D995" s="4"/>
      <c r="Q995" s="4"/>
      <c r="R995" s="4"/>
      <c r="S995" s="4"/>
    </row>
    <row r="996" spans="4:19" ht="15.75" customHeight="1">
      <c r="D996" s="4"/>
      <c r="Q996" s="4"/>
      <c r="R996" s="4"/>
      <c r="S996" s="4"/>
    </row>
    <row r="997" spans="4:19" ht="15.75" customHeight="1">
      <c r="D997" s="4"/>
      <c r="Q997" s="4"/>
      <c r="R997" s="4"/>
      <c r="S997" s="4"/>
    </row>
    <row r="998" spans="4:19" ht="15.75" customHeight="1">
      <c r="D998" s="4"/>
      <c r="Q998" s="4"/>
      <c r="R998" s="4"/>
      <c r="S998" s="4"/>
    </row>
  </sheetData>
  <autoFilter ref="A1:V1">
    <sortState ref="A2:S99">
      <sortCondition ref="A1"/>
    </sortState>
  </autoFilter>
  <sortState ref="A2:V1000">
    <sortCondition ref="J2:J1000"/>
    <sortCondition ref="K2:K1000"/>
    <sortCondition ref="L2:L1000"/>
  </sortState>
  <conditionalFormatting sqref="E1:H998">
    <cfRule type="cellIs" dxfId="153" priority="1" operator="equal">
      <formula>"KO"</formula>
    </cfRule>
  </conditionalFormatting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Y1000"/>
  <sheetViews>
    <sheetView tabSelected="1" workbookViewId="0">
      <pane ySplit="1" topLeftCell="A14" activePane="bottomLeft" state="frozen"/>
      <selection pane="bottomLeft" activeCell="C42" sqref="C42"/>
    </sheetView>
  </sheetViews>
  <sheetFormatPr baseColWidth="10" defaultColWidth="14.44140625" defaultRowHeight="15" customHeight="1"/>
  <cols>
    <col min="1" max="3" width="13.109375" customWidth="1"/>
    <col min="4" max="4" width="7.109375" customWidth="1"/>
    <col min="5" max="5" width="19.33203125" customWidth="1"/>
    <col min="6" max="6" width="16.6640625" customWidth="1"/>
    <col min="7" max="7" width="18.6640625" customWidth="1"/>
    <col min="8" max="8" width="10.6640625" customWidth="1"/>
    <col min="9" max="9" width="32.44140625" customWidth="1"/>
    <col min="10" max="11" width="10.33203125" customWidth="1"/>
    <col min="12" max="14" width="12" customWidth="1"/>
    <col min="15" max="15" width="4.88671875" bestFit="1" customWidth="1"/>
    <col min="16" max="25" width="10.6640625" customWidth="1"/>
  </cols>
  <sheetData>
    <row r="1" spans="1:25" ht="14.4">
      <c r="A1" s="1" t="s">
        <v>292</v>
      </c>
      <c r="B1" s="1" t="s">
        <v>3</v>
      </c>
      <c r="C1" s="1" t="s">
        <v>291</v>
      </c>
      <c r="D1" s="1" t="s">
        <v>293</v>
      </c>
      <c r="E1" s="1" t="s">
        <v>6</v>
      </c>
      <c r="F1" s="1" t="s">
        <v>7</v>
      </c>
      <c r="G1" s="1" t="s">
        <v>8</v>
      </c>
      <c r="H1" s="1" t="s">
        <v>294</v>
      </c>
      <c r="I1" s="1" t="s">
        <v>11</v>
      </c>
      <c r="J1" s="27" t="s">
        <v>295</v>
      </c>
      <c r="K1" s="28" t="s">
        <v>296</v>
      </c>
      <c r="L1" s="89" t="s">
        <v>297</v>
      </c>
      <c r="M1" s="91" t="s">
        <v>617</v>
      </c>
      <c r="N1" s="92" t="s">
        <v>618</v>
      </c>
      <c r="O1" s="29" t="s">
        <v>298</v>
      </c>
      <c r="P1" s="30" t="s">
        <v>299</v>
      </c>
      <c r="Q1" s="31"/>
      <c r="R1" s="30" t="s">
        <v>300</v>
      </c>
      <c r="S1" s="31"/>
      <c r="T1" s="30" t="s">
        <v>301</v>
      </c>
      <c r="U1" s="31"/>
      <c r="V1" s="30" t="s">
        <v>302</v>
      </c>
      <c r="W1" s="31"/>
      <c r="X1" s="30" t="s">
        <v>303</v>
      </c>
      <c r="Y1" s="31"/>
    </row>
    <row r="2" spans="1:25" ht="14.4">
      <c r="A2" s="33">
        <v>44731</v>
      </c>
      <c r="B2" s="33" t="str">
        <f>quitarAcentos(UPPER(CONCATENATE(caracterDer(LEFT(SUBSTITUTE(F2," ",""),3),3,"*"),caracterDer(LEFT(SUBSTITUTE(E2," ",""),3),3,"*"))))</f>
        <v>SANPAB</v>
      </c>
      <c r="C2" s="32" t="s">
        <v>304</v>
      </c>
      <c r="D2" s="34">
        <v>1</v>
      </c>
      <c r="E2" s="33" t="s">
        <v>61</v>
      </c>
      <c r="F2" s="35" t="s">
        <v>62</v>
      </c>
      <c r="G2" s="2" t="s">
        <v>63</v>
      </c>
      <c r="H2" s="2"/>
      <c r="I2" s="2" t="s">
        <v>64</v>
      </c>
      <c r="J2" s="36" t="s">
        <v>305</v>
      </c>
      <c r="K2" s="36" t="s">
        <v>305</v>
      </c>
      <c r="L2" s="90" t="str">
        <f>IF(AND(J2="OK",K2="OK",OR(M2="",M2="OK"),OR(N2="",N2="OK")),"SI","NO")</f>
        <v>NO</v>
      </c>
      <c r="M2" s="93" t="s">
        <v>305</v>
      </c>
      <c r="N2" s="93" t="s">
        <v>305</v>
      </c>
      <c r="O2" s="37"/>
      <c r="P2" s="38" t="s">
        <v>306</v>
      </c>
      <c r="Q2" s="31" t="s">
        <v>307</v>
      </c>
      <c r="R2" s="31"/>
      <c r="S2" s="31"/>
      <c r="T2" s="31"/>
      <c r="U2" s="31"/>
      <c r="V2" s="31"/>
      <c r="W2" s="31"/>
      <c r="X2" s="31"/>
      <c r="Y2" s="31"/>
    </row>
    <row r="3" spans="1:25" ht="14.4">
      <c r="A3" s="33">
        <v>44731</v>
      </c>
      <c r="B3" s="33" t="str">
        <f>quitarAcentos(UPPER(CONCATENATE(caracterDer(LEFT(SUBSTITUTE(F3," ",""),3),3,"*"),caracterDer(LEFT(SUBSTITUTE(E3," ",""),3),3,"*"))))</f>
        <v>MARSUS</v>
      </c>
      <c r="C3" s="32" t="s">
        <v>304</v>
      </c>
      <c r="D3" s="34">
        <v>2</v>
      </c>
      <c r="E3" s="2" t="s">
        <v>66</v>
      </c>
      <c r="F3" s="39" t="s">
        <v>67</v>
      </c>
      <c r="G3" s="2" t="s">
        <v>68</v>
      </c>
      <c r="H3" s="2"/>
      <c r="I3" s="2" t="s">
        <v>69</v>
      </c>
      <c r="J3" s="36" t="s">
        <v>305</v>
      </c>
      <c r="K3" s="36" t="s">
        <v>305</v>
      </c>
      <c r="L3" s="90" t="str">
        <f t="shared" ref="L3:L65" si="0">IF(AND(J3="OK",K3="OK",OR(M3="",M3="OK"),OR(N3="",N3="OK")),"SI","NO")</f>
        <v>NO</v>
      </c>
      <c r="M3" s="93" t="s">
        <v>305</v>
      </c>
      <c r="N3" s="93" t="s">
        <v>305</v>
      </c>
      <c r="O3" s="37"/>
      <c r="P3" s="38" t="s">
        <v>306</v>
      </c>
      <c r="Q3" s="31" t="s">
        <v>307</v>
      </c>
      <c r="R3" s="40" t="s">
        <v>308</v>
      </c>
      <c r="S3" s="31" t="s">
        <v>307</v>
      </c>
      <c r="T3" s="41" t="s">
        <v>309</v>
      </c>
      <c r="U3" s="31" t="s">
        <v>307</v>
      </c>
      <c r="V3" s="42" t="s">
        <v>310</v>
      </c>
      <c r="W3" s="31" t="s">
        <v>307</v>
      </c>
      <c r="X3" s="43" t="s">
        <v>311</v>
      </c>
      <c r="Y3" s="31" t="s">
        <v>307</v>
      </c>
    </row>
    <row r="4" spans="1:25" ht="14.4">
      <c r="A4" s="33">
        <v>44731</v>
      </c>
      <c r="B4" s="33" t="str">
        <f>quitarAcentos(UPPER(CONCATENATE(caracterDer(LEFT(SUBSTITUTE(F4," ",""),3),3,"*"),caracterDer(LEFT(SUBSTITUTE(E4," ",""),3),3,"*"))))</f>
        <v>FREJOS</v>
      </c>
      <c r="C4" s="32" t="s">
        <v>304</v>
      </c>
      <c r="D4" s="34">
        <v>3</v>
      </c>
      <c r="E4" s="74" t="s">
        <v>70</v>
      </c>
      <c r="F4" s="39" t="s">
        <v>71</v>
      </c>
      <c r="G4" s="2" t="s">
        <v>72</v>
      </c>
      <c r="H4" s="2"/>
      <c r="I4" s="2" t="s">
        <v>73</v>
      </c>
      <c r="J4" s="36" t="s">
        <v>77</v>
      </c>
      <c r="K4" s="36" t="s">
        <v>77</v>
      </c>
      <c r="L4" s="90" t="str">
        <f t="shared" si="0"/>
        <v>NO</v>
      </c>
      <c r="M4" s="93" t="s">
        <v>77</v>
      </c>
      <c r="N4" s="93" t="s">
        <v>305</v>
      </c>
      <c r="O4" s="37" t="s">
        <v>312</v>
      </c>
      <c r="P4" s="38" t="s">
        <v>306</v>
      </c>
      <c r="Q4" s="31" t="s">
        <v>307</v>
      </c>
      <c r="R4" s="40" t="s">
        <v>308</v>
      </c>
      <c r="S4" s="31" t="s">
        <v>307</v>
      </c>
      <c r="T4" s="41" t="s">
        <v>309</v>
      </c>
      <c r="U4" s="31"/>
      <c r="V4" s="31"/>
      <c r="W4" s="31"/>
      <c r="X4" s="31"/>
      <c r="Y4" s="31"/>
    </row>
    <row r="5" spans="1:25" ht="14.4">
      <c r="A5" s="33">
        <v>44731</v>
      </c>
      <c r="B5" s="33" t="str">
        <f>quitarAcentos(UPPER(CONCATENATE(caracterDer(LEFT(SUBSTITUTE(F5," ",""),3),3,"*"),caracterDer(LEFT(SUBSTITUTE(E5," ",""),3),3,"*"))))</f>
        <v>MAROSC</v>
      </c>
      <c r="C5" s="32" t="s">
        <v>304</v>
      </c>
      <c r="D5" s="34">
        <v>4</v>
      </c>
      <c r="E5" s="74" t="s">
        <v>75</v>
      </c>
      <c r="F5" s="39" t="s">
        <v>67</v>
      </c>
      <c r="G5" s="2" t="s">
        <v>68</v>
      </c>
      <c r="H5" s="2"/>
      <c r="I5" s="2" t="s">
        <v>76</v>
      </c>
      <c r="J5" s="36" t="s">
        <v>77</v>
      </c>
      <c r="K5" s="36" t="s">
        <v>305</v>
      </c>
      <c r="L5" s="90" t="str">
        <f t="shared" si="0"/>
        <v>NO</v>
      </c>
      <c r="M5" s="93" t="s">
        <v>305</v>
      </c>
      <c r="N5" s="93" t="s">
        <v>305</v>
      </c>
      <c r="O5" s="37"/>
      <c r="P5" s="38" t="s">
        <v>306</v>
      </c>
      <c r="Q5" s="31" t="s">
        <v>307</v>
      </c>
      <c r="R5" s="43" t="s">
        <v>311</v>
      </c>
      <c r="S5" s="31" t="s">
        <v>307</v>
      </c>
      <c r="T5" s="41" t="s">
        <v>309</v>
      </c>
      <c r="U5" s="31" t="s">
        <v>307</v>
      </c>
      <c r="V5" s="31"/>
      <c r="W5" s="31"/>
      <c r="X5" s="31"/>
      <c r="Y5" s="31"/>
    </row>
    <row r="6" spans="1:25" ht="14.4">
      <c r="A6" s="33">
        <v>44731</v>
      </c>
      <c r="B6" s="33" t="str">
        <f>quitarAcentos(UPPER(CONCATENATE(caracterDer(LEFT(SUBSTITUTE(F6," ",""),3),3,"*"),caracterDer(LEFT(SUBSTITUTE(E6," ",""),3),3,"*"))))</f>
        <v>GONFRA</v>
      </c>
      <c r="C6" s="32" t="s">
        <v>304</v>
      </c>
      <c r="D6" s="34">
        <v>5</v>
      </c>
      <c r="E6" s="74" t="s">
        <v>313</v>
      </c>
      <c r="F6" s="39" t="s">
        <v>80</v>
      </c>
      <c r="G6" s="2" t="s">
        <v>81</v>
      </c>
      <c r="H6" s="2" t="s">
        <v>78</v>
      </c>
      <c r="I6" s="2" t="s">
        <v>82</v>
      </c>
      <c r="J6" s="36" t="s">
        <v>77</v>
      </c>
      <c r="K6" s="36" t="s">
        <v>77</v>
      </c>
      <c r="L6" s="90" t="str">
        <f t="shared" si="0"/>
        <v>SI</v>
      </c>
      <c r="M6" s="93"/>
      <c r="N6" s="93"/>
      <c r="O6" s="37"/>
      <c r="P6" s="38" t="s">
        <v>306</v>
      </c>
      <c r="Q6" s="31" t="s">
        <v>307</v>
      </c>
      <c r="R6" s="31"/>
      <c r="S6" s="31"/>
      <c r="T6" s="31"/>
      <c r="U6" s="31"/>
      <c r="V6" s="31"/>
      <c r="W6" s="31"/>
      <c r="X6" s="31"/>
      <c r="Y6" s="31"/>
    </row>
    <row r="7" spans="1:25" ht="14.4">
      <c r="A7" s="33">
        <v>44731</v>
      </c>
      <c r="B7" s="33" t="str">
        <f>quitarAcentos(UPPER(CONCATENATE(caracterDer(LEFT(SUBSTITUTE(F7," ",""),3),3,"*"),caracterDer(LEFT(SUBSTITUTE(E7," ",""),3),3,"*"))))</f>
        <v>JIMJUL</v>
      </c>
      <c r="C7" s="32" t="s">
        <v>304</v>
      </c>
      <c r="D7" s="34">
        <v>6</v>
      </c>
      <c r="E7" s="74" t="s">
        <v>314</v>
      </c>
      <c r="F7" s="39" t="s">
        <v>315</v>
      </c>
      <c r="G7" s="2" t="s">
        <v>91</v>
      </c>
      <c r="H7" s="2" t="s">
        <v>88</v>
      </c>
      <c r="I7" s="2" t="s">
        <v>92</v>
      </c>
      <c r="J7" s="36" t="s">
        <v>77</v>
      </c>
      <c r="K7" s="36" t="s">
        <v>77</v>
      </c>
      <c r="L7" s="90" t="str">
        <f t="shared" si="0"/>
        <v>SI</v>
      </c>
      <c r="M7" s="93"/>
      <c r="N7" s="93"/>
      <c r="O7" s="37"/>
      <c r="P7" s="40" t="s">
        <v>308</v>
      </c>
      <c r="Q7" s="31" t="s">
        <v>307</v>
      </c>
      <c r="R7" s="31"/>
      <c r="S7" s="31"/>
      <c r="T7" s="31"/>
      <c r="U7" s="31"/>
      <c r="V7" s="31"/>
      <c r="W7" s="31"/>
      <c r="X7" s="31"/>
      <c r="Y7" s="31"/>
    </row>
    <row r="8" spans="1:25" ht="14.4">
      <c r="A8" s="33">
        <v>44731</v>
      </c>
      <c r="B8" s="33" t="str">
        <f>quitarAcentos(UPPER(CONCATENATE(caracterDer(LEFT(SUBSTITUTE(F8," ",""),3),3,"*"),caracterDer(LEFT(SUBSTITUTE(E8," ",""),3),3,"*"))))</f>
        <v>SANELO</v>
      </c>
      <c r="C8" s="32" t="s">
        <v>304</v>
      </c>
      <c r="D8" s="34">
        <v>7</v>
      </c>
      <c r="E8" s="74" t="s">
        <v>316</v>
      </c>
      <c r="F8" s="39" t="s">
        <v>97</v>
      </c>
      <c r="G8" s="2" t="s">
        <v>98</v>
      </c>
      <c r="H8" s="2" t="s">
        <v>95</v>
      </c>
      <c r="I8" s="2" t="s">
        <v>317</v>
      </c>
      <c r="J8" s="36" t="s">
        <v>77</v>
      </c>
      <c r="K8" s="36" t="s">
        <v>77</v>
      </c>
      <c r="L8" s="90" t="str">
        <f t="shared" si="0"/>
        <v>SI</v>
      </c>
      <c r="M8" s="93"/>
      <c r="N8" s="93"/>
      <c r="O8" s="37"/>
      <c r="P8" s="40" t="s">
        <v>308</v>
      </c>
      <c r="Q8" s="31" t="s">
        <v>307</v>
      </c>
      <c r="R8" s="31"/>
      <c r="S8" s="31"/>
      <c r="T8" s="31"/>
      <c r="U8" s="31"/>
      <c r="V8" s="31"/>
      <c r="W8" s="31"/>
      <c r="X8" s="31"/>
      <c r="Y8" s="31"/>
    </row>
    <row r="9" spans="1:25" ht="14.4">
      <c r="A9" s="33">
        <v>44731</v>
      </c>
      <c r="B9" s="33" t="str">
        <f>quitarAcentos(UPPER(CONCATENATE(caracterDer(LEFT(SUBSTITUTE(F9," ",""),3),3,"*"),caracterDer(LEFT(SUBSTITUTE(E9," ",""),3),3,"*"))))</f>
        <v>NAVPAC</v>
      </c>
      <c r="C9" s="32" t="s">
        <v>304</v>
      </c>
      <c r="D9" s="34">
        <v>8</v>
      </c>
      <c r="E9" s="74" t="s">
        <v>104</v>
      </c>
      <c r="F9" s="39" t="s">
        <v>105</v>
      </c>
      <c r="G9" s="2" t="s">
        <v>106</v>
      </c>
      <c r="H9" s="2"/>
      <c r="I9" s="2" t="s">
        <v>107</v>
      </c>
      <c r="J9" s="36" t="s">
        <v>77</v>
      </c>
      <c r="K9" s="36" t="s">
        <v>305</v>
      </c>
      <c r="L9" s="90" t="str">
        <f t="shared" si="0"/>
        <v>NO</v>
      </c>
      <c r="M9" s="93" t="s">
        <v>305</v>
      </c>
      <c r="N9" s="93" t="s">
        <v>305</v>
      </c>
      <c r="O9" s="37"/>
      <c r="P9" s="40" t="s">
        <v>308</v>
      </c>
      <c r="Q9" s="31" t="s">
        <v>307</v>
      </c>
      <c r="R9" s="38" t="s">
        <v>306</v>
      </c>
      <c r="S9" s="31" t="s">
        <v>307</v>
      </c>
      <c r="T9" s="43" t="s">
        <v>311</v>
      </c>
      <c r="U9" s="31" t="s">
        <v>307</v>
      </c>
      <c r="V9" s="31"/>
      <c r="W9" s="31"/>
      <c r="X9" s="31"/>
      <c r="Y9" s="31"/>
    </row>
    <row r="10" spans="1:25" ht="14.4">
      <c r="A10" s="33">
        <v>44731</v>
      </c>
      <c r="B10" s="33" t="str">
        <f>quitarAcentos(UPPER(CONCATENATE(caracterDer(LEFT(SUBSTITUTE(F10," ",""),3),3,"*"),caracterDer(LEFT(SUBSTITUTE(E10," ",""),3),3,"*"))))</f>
        <v>MORJOS</v>
      </c>
      <c r="C10" s="32" t="s">
        <v>304</v>
      </c>
      <c r="D10" s="34">
        <v>9</v>
      </c>
      <c r="E10" s="74" t="s">
        <v>108</v>
      </c>
      <c r="F10" s="39" t="s">
        <v>109</v>
      </c>
      <c r="G10" s="2" t="s">
        <v>110</v>
      </c>
      <c r="H10" s="2"/>
      <c r="I10" s="54" t="s">
        <v>111</v>
      </c>
      <c r="J10" s="36" t="s">
        <v>77</v>
      </c>
      <c r="K10" s="36" t="s">
        <v>305</v>
      </c>
      <c r="L10" s="90" t="str">
        <f t="shared" si="0"/>
        <v>NO</v>
      </c>
      <c r="M10" s="93" t="s">
        <v>305</v>
      </c>
      <c r="N10" s="93" t="s">
        <v>305</v>
      </c>
      <c r="O10" s="37"/>
      <c r="P10" s="40" t="s">
        <v>308</v>
      </c>
      <c r="Q10" s="31" t="s">
        <v>307</v>
      </c>
      <c r="R10" s="38" t="s">
        <v>306</v>
      </c>
      <c r="S10" s="31" t="s">
        <v>307</v>
      </c>
      <c r="T10" s="43" t="s">
        <v>311</v>
      </c>
      <c r="U10" s="31" t="s">
        <v>307</v>
      </c>
      <c r="V10" s="41" t="s">
        <v>309</v>
      </c>
      <c r="W10" s="31" t="s">
        <v>307</v>
      </c>
      <c r="X10" s="31"/>
      <c r="Y10" s="31"/>
    </row>
    <row r="11" spans="1:25" ht="14.4">
      <c r="A11" s="33">
        <v>44731</v>
      </c>
      <c r="B11" s="33" t="str">
        <f>quitarAcentos(UPPER(CONCATENATE(caracterDer(LEFT(SUBSTITUTE(F11," ",""),3),3,"*"),caracterDer(LEFT(SUBSTITUTE(E11," ",""),3),3,"*"))))</f>
        <v>PERMER</v>
      </c>
      <c r="C11" s="32" t="s">
        <v>304</v>
      </c>
      <c r="D11" s="34">
        <v>10</v>
      </c>
      <c r="E11" s="2" t="s">
        <v>113</v>
      </c>
      <c r="F11" s="39" t="s">
        <v>114</v>
      </c>
      <c r="G11" s="2" t="s">
        <v>115</v>
      </c>
      <c r="H11" s="4"/>
      <c r="I11" s="83" t="s">
        <v>116</v>
      </c>
      <c r="J11" s="82" t="s">
        <v>305</v>
      </c>
      <c r="K11" s="36" t="s">
        <v>305</v>
      </c>
      <c r="L11" s="90" t="str">
        <f t="shared" si="0"/>
        <v>NO</v>
      </c>
      <c r="M11" s="93" t="s">
        <v>305</v>
      </c>
      <c r="N11" s="93" t="s">
        <v>305</v>
      </c>
      <c r="O11" s="37" t="s">
        <v>318</v>
      </c>
      <c r="P11" s="40" t="s">
        <v>308</v>
      </c>
      <c r="Q11" s="31" t="s">
        <v>307</v>
      </c>
      <c r="R11" s="43" t="s">
        <v>311</v>
      </c>
      <c r="S11" s="31" t="s">
        <v>307</v>
      </c>
      <c r="T11" s="41" t="s">
        <v>309</v>
      </c>
      <c r="U11" s="31"/>
      <c r="V11" s="31"/>
      <c r="W11" s="31"/>
      <c r="X11" s="31"/>
      <c r="Y11" s="31"/>
    </row>
    <row r="12" spans="1:25" ht="14.4">
      <c r="A12" s="33">
        <v>44731</v>
      </c>
      <c r="B12" s="33" t="str">
        <f>quitarAcentos(UPPER(CONCATENATE(caracterDer(LEFT(SUBSTITUTE(F12," ",""),3),3,"*"),caracterDer(LEFT(SUBSTITUTE(E12," ",""),3),3,"*"))))</f>
        <v>PERROB</v>
      </c>
      <c r="C12" s="32" t="s">
        <v>304</v>
      </c>
      <c r="D12" s="34">
        <v>11</v>
      </c>
      <c r="E12" s="74" t="s">
        <v>118</v>
      </c>
      <c r="F12" s="44" t="s">
        <v>119</v>
      </c>
      <c r="G12" s="2" t="s">
        <v>120</v>
      </c>
      <c r="H12" s="2"/>
      <c r="I12" s="59" t="s">
        <v>121</v>
      </c>
      <c r="J12" s="36" t="s">
        <v>77</v>
      </c>
      <c r="K12" s="36" t="s">
        <v>77</v>
      </c>
      <c r="L12" s="90" t="s">
        <v>77</v>
      </c>
      <c r="M12" s="93" t="s">
        <v>305</v>
      </c>
      <c r="N12" s="93" t="s">
        <v>305</v>
      </c>
      <c r="O12" s="37"/>
      <c r="P12" s="41" t="s">
        <v>309</v>
      </c>
      <c r="Q12" s="31" t="s">
        <v>307</v>
      </c>
      <c r="R12" s="38" t="s">
        <v>306</v>
      </c>
      <c r="S12" s="31" t="s">
        <v>307</v>
      </c>
      <c r="T12" s="42" t="s">
        <v>310</v>
      </c>
      <c r="U12" s="31" t="s">
        <v>307</v>
      </c>
      <c r="V12" s="31"/>
      <c r="W12" s="31"/>
      <c r="X12" s="31"/>
      <c r="Y12" s="31"/>
    </row>
    <row r="13" spans="1:25" ht="14.4">
      <c r="A13" s="33">
        <v>44731</v>
      </c>
      <c r="B13" s="33" t="str">
        <f>quitarAcentos(UPPER(CONCATENATE(caracterDer(LEFT(SUBSTITUTE(F13," ",""),3),3,"*"),caracterDer(LEFT(SUBSTITUTE(E13," ",""),3),3,"*"))))</f>
        <v>SERPIL</v>
      </c>
      <c r="C13" s="32" t="s">
        <v>304</v>
      </c>
      <c r="D13" s="34">
        <v>12</v>
      </c>
      <c r="E13" s="74" t="s">
        <v>319</v>
      </c>
      <c r="F13" s="45" t="s">
        <v>125</v>
      </c>
      <c r="G13" s="2" t="s">
        <v>126</v>
      </c>
      <c r="H13" s="2" t="s">
        <v>123</v>
      </c>
      <c r="I13" s="2" t="s">
        <v>127</v>
      </c>
      <c r="J13" s="36" t="s">
        <v>77</v>
      </c>
      <c r="K13" s="36" t="s">
        <v>77</v>
      </c>
      <c r="L13" s="90" t="str">
        <f t="shared" si="0"/>
        <v>SI</v>
      </c>
      <c r="M13" s="93"/>
      <c r="N13" s="93"/>
      <c r="O13" s="37"/>
      <c r="P13" s="41" t="s">
        <v>309</v>
      </c>
      <c r="Q13" s="31" t="s">
        <v>307</v>
      </c>
      <c r="R13" s="38" t="s">
        <v>306</v>
      </c>
      <c r="S13" s="31" t="s">
        <v>307</v>
      </c>
      <c r="T13" s="42" t="s">
        <v>310</v>
      </c>
      <c r="U13" s="31" t="s">
        <v>307</v>
      </c>
      <c r="V13" s="41" t="s">
        <v>309</v>
      </c>
      <c r="W13" s="31" t="s">
        <v>307</v>
      </c>
      <c r="X13" s="43" t="s">
        <v>311</v>
      </c>
      <c r="Y13" s="31" t="s">
        <v>307</v>
      </c>
    </row>
    <row r="14" spans="1:25" ht="14.4">
      <c r="A14" s="33">
        <v>44731</v>
      </c>
      <c r="B14" s="33" t="str">
        <f>quitarAcentos(UPPER(CONCATENATE(caracterDer(LEFT(SUBSTITUTE(F14," ",""),3),3,"*"),caracterDer(LEFT(SUBSTITUTE(E14," ",""),3),3,"*"))))</f>
        <v>DELCON</v>
      </c>
      <c r="C14" s="32" t="s">
        <v>304</v>
      </c>
      <c r="D14" s="34">
        <v>13</v>
      </c>
      <c r="E14" s="74" t="s">
        <v>133</v>
      </c>
      <c r="F14" s="45" t="s">
        <v>134</v>
      </c>
      <c r="G14" s="2" t="s">
        <v>135</v>
      </c>
      <c r="H14" s="2" t="s">
        <v>132</v>
      </c>
      <c r="I14" s="2" t="s">
        <v>136</v>
      </c>
      <c r="J14" s="36" t="s">
        <v>77</v>
      </c>
      <c r="K14" s="36" t="s">
        <v>77</v>
      </c>
      <c r="L14" s="90" t="str">
        <f t="shared" si="0"/>
        <v>SI</v>
      </c>
      <c r="M14" s="93"/>
      <c r="N14" s="93"/>
      <c r="O14" s="37"/>
      <c r="P14" s="41" t="s">
        <v>309</v>
      </c>
      <c r="Q14" s="31" t="s">
        <v>307</v>
      </c>
      <c r="R14" s="43" t="s">
        <v>311</v>
      </c>
      <c r="S14" s="31" t="s">
        <v>307</v>
      </c>
      <c r="T14" s="31"/>
      <c r="U14" s="31"/>
      <c r="V14" s="31"/>
      <c r="W14" s="31"/>
      <c r="X14" s="31"/>
      <c r="Y14" s="31"/>
    </row>
    <row r="15" spans="1:25" ht="14.4">
      <c r="A15" s="33">
        <v>44731</v>
      </c>
      <c r="B15" s="33" t="str">
        <f>quitarAcentos(UPPER(CONCATENATE(caracterDer(LEFT(SUBSTITUTE(F15," ",""),3),3,"*"),caracterDer(LEFT(SUBSTITUTE(E15," ",""),3),3,"*"))))</f>
        <v>GARJUA</v>
      </c>
      <c r="C15" s="32" t="s">
        <v>304</v>
      </c>
      <c r="D15" s="34">
        <v>14</v>
      </c>
      <c r="E15" s="74" t="s">
        <v>320</v>
      </c>
      <c r="F15" s="45" t="s">
        <v>142</v>
      </c>
      <c r="G15" s="2" t="s">
        <v>143</v>
      </c>
      <c r="H15" s="2" t="s">
        <v>140</v>
      </c>
      <c r="I15" s="2" t="s">
        <v>45</v>
      </c>
      <c r="J15" s="36" t="s">
        <v>77</v>
      </c>
      <c r="K15" s="36" t="s">
        <v>77</v>
      </c>
      <c r="L15" s="90" t="str">
        <f t="shared" si="0"/>
        <v>SI</v>
      </c>
      <c r="M15" s="93"/>
      <c r="N15" s="93"/>
      <c r="O15" s="37"/>
      <c r="P15" s="41" t="s">
        <v>309</v>
      </c>
      <c r="Q15" s="31" t="s">
        <v>307</v>
      </c>
      <c r="R15" s="43" t="s">
        <v>311</v>
      </c>
      <c r="S15" s="31" t="s">
        <v>307</v>
      </c>
      <c r="T15" s="40" t="s">
        <v>308</v>
      </c>
      <c r="U15" s="31" t="s">
        <v>307</v>
      </c>
      <c r="V15" s="38" t="s">
        <v>306</v>
      </c>
      <c r="W15" s="31" t="s">
        <v>307</v>
      </c>
      <c r="X15" s="31"/>
      <c r="Y15" s="31"/>
    </row>
    <row r="16" spans="1:25" ht="14.4">
      <c r="A16" s="33">
        <v>44731</v>
      </c>
      <c r="B16" s="33" t="str">
        <f>quitarAcentos(UPPER(CONCATENATE(caracterDer(LEFT(SUBSTITUTE(F16," ",""),3),3,"*"),caracterDer(LEFT(SUBSTITUTE(E16," ",""),3),3,"*"))))</f>
        <v>SAEMAR</v>
      </c>
      <c r="C16" s="32" t="s">
        <v>304</v>
      </c>
      <c r="D16" s="34">
        <v>15</v>
      </c>
      <c r="E16" s="74" t="s">
        <v>321</v>
      </c>
      <c r="F16" s="46" t="s">
        <v>149</v>
      </c>
      <c r="G16" s="2" t="s">
        <v>322</v>
      </c>
      <c r="H16" s="2" t="s">
        <v>147</v>
      </c>
      <c r="I16" s="2" t="s">
        <v>151</v>
      </c>
      <c r="J16" s="36" t="s">
        <v>77</v>
      </c>
      <c r="K16" s="36" t="s">
        <v>77</v>
      </c>
      <c r="L16" s="90" t="str">
        <f t="shared" si="0"/>
        <v>SI</v>
      </c>
      <c r="M16" s="93"/>
      <c r="N16" s="93"/>
      <c r="O16" s="37"/>
      <c r="P16" s="41" t="s">
        <v>309</v>
      </c>
      <c r="Q16" s="31" t="s">
        <v>307</v>
      </c>
      <c r="R16" s="40" t="s">
        <v>308</v>
      </c>
      <c r="S16" s="31" t="s">
        <v>307</v>
      </c>
      <c r="T16" s="38" t="s">
        <v>306</v>
      </c>
      <c r="U16" s="31" t="s">
        <v>307</v>
      </c>
      <c r="V16" s="31"/>
      <c r="W16" s="31"/>
      <c r="X16" s="31"/>
      <c r="Y16" s="31"/>
    </row>
    <row r="17" spans="1:25" ht="14.4">
      <c r="A17" s="33">
        <v>44731</v>
      </c>
      <c r="B17" s="33" t="str">
        <f>quitarAcentos(UPPER(CONCATENATE(caracterDer(LEFT(SUBSTITUTE(F17," ",""),3),3,"*"),caracterDer(LEFT(SUBSTITUTE(E17," ",""),3),3,"*"))))</f>
        <v>CARENR</v>
      </c>
      <c r="C17" s="32" t="s">
        <v>304</v>
      </c>
      <c r="D17" s="34">
        <v>16</v>
      </c>
      <c r="E17" s="2" t="s">
        <v>155</v>
      </c>
      <c r="F17" s="46" t="s">
        <v>156</v>
      </c>
      <c r="G17" s="2" t="s">
        <v>157</v>
      </c>
      <c r="H17" s="2"/>
      <c r="I17" s="77" t="s">
        <v>594</v>
      </c>
      <c r="J17" s="36" t="s">
        <v>305</v>
      </c>
      <c r="K17" s="36" t="s">
        <v>305</v>
      </c>
      <c r="L17" s="90" t="str">
        <f t="shared" si="0"/>
        <v>NO</v>
      </c>
      <c r="M17" s="93" t="s">
        <v>305</v>
      </c>
      <c r="N17" s="93" t="s">
        <v>305</v>
      </c>
      <c r="O17" s="37"/>
      <c r="P17" s="43" t="s">
        <v>311</v>
      </c>
      <c r="Q17" s="31" t="s">
        <v>307</v>
      </c>
      <c r="R17" s="40" t="s">
        <v>308</v>
      </c>
      <c r="S17" s="31" t="s">
        <v>307</v>
      </c>
      <c r="T17" s="76" t="s">
        <v>587</v>
      </c>
      <c r="U17" s="71">
        <v>45278</v>
      </c>
      <c r="V17" s="31"/>
      <c r="W17" s="31"/>
      <c r="X17" s="31"/>
      <c r="Y17" s="31"/>
    </row>
    <row r="18" spans="1:25" ht="14.4">
      <c r="A18" s="33">
        <v>44731</v>
      </c>
      <c r="B18" s="33" t="str">
        <f>quitarAcentos(UPPER(CONCATENATE(caracterDer(LEFT(SUBSTITUTE(F18," ",""),3),3,"*"),caracterDer(LEFT(SUBSTITUTE(E18," ",""),3),3,"*"))))</f>
        <v>LOPALB</v>
      </c>
      <c r="C18" s="32" t="s">
        <v>304</v>
      </c>
      <c r="D18" s="34">
        <v>17</v>
      </c>
      <c r="E18" s="74" t="s">
        <v>158</v>
      </c>
      <c r="F18" s="47" t="s">
        <v>115</v>
      </c>
      <c r="G18" s="2" t="s">
        <v>159</v>
      </c>
      <c r="H18" s="2"/>
      <c r="I18" s="2" t="s">
        <v>160</v>
      </c>
      <c r="J18" s="36" t="s">
        <v>77</v>
      </c>
      <c r="K18" s="36" t="s">
        <v>77</v>
      </c>
      <c r="L18" s="90" t="str">
        <f t="shared" si="0"/>
        <v>SI</v>
      </c>
      <c r="M18" s="93" t="s">
        <v>77</v>
      </c>
      <c r="N18" s="93" t="s">
        <v>77</v>
      </c>
      <c r="O18" s="37"/>
      <c r="P18" s="43" t="s">
        <v>311</v>
      </c>
      <c r="Q18" s="31" t="s">
        <v>307</v>
      </c>
      <c r="R18" s="40" t="s">
        <v>308</v>
      </c>
      <c r="S18" s="31" t="s">
        <v>307</v>
      </c>
      <c r="T18" s="38" t="s">
        <v>306</v>
      </c>
      <c r="U18" s="31" t="s">
        <v>307</v>
      </c>
      <c r="V18" s="42" t="s">
        <v>310</v>
      </c>
      <c r="W18" s="31" t="s">
        <v>307</v>
      </c>
      <c r="X18" s="41" t="s">
        <v>309</v>
      </c>
      <c r="Y18" s="31" t="s">
        <v>307</v>
      </c>
    </row>
    <row r="19" spans="1:25" ht="14.4">
      <c r="A19" s="33">
        <v>44731</v>
      </c>
      <c r="B19" s="33" t="str">
        <f>quitarAcentos(UPPER(CONCATENATE(caracterDer(LEFT(SUBSTITUTE(F19," ",""),3),3,"*"),caracterDer(LEFT(SUBSTITUTE(E19," ",""),3),3,"*"))))</f>
        <v>OTEJAV</v>
      </c>
      <c r="C19" s="32" t="s">
        <v>304</v>
      </c>
      <c r="D19" s="34">
        <v>18</v>
      </c>
      <c r="E19" s="74" t="s">
        <v>162</v>
      </c>
      <c r="F19" s="46" t="s">
        <v>163</v>
      </c>
      <c r="G19" s="2" t="s">
        <v>134</v>
      </c>
      <c r="H19" s="2"/>
      <c r="I19" s="2" t="s">
        <v>164</v>
      </c>
      <c r="J19" s="36" t="s">
        <v>77</v>
      </c>
      <c r="K19" s="36" t="s">
        <v>77</v>
      </c>
      <c r="L19" s="90" t="str">
        <f t="shared" si="0"/>
        <v>SI</v>
      </c>
      <c r="M19" s="93"/>
      <c r="N19" s="93"/>
      <c r="O19" s="37"/>
      <c r="P19" s="43" t="s">
        <v>311</v>
      </c>
      <c r="Q19" s="31" t="s">
        <v>307</v>
      </c>
      <c r="R19" s="40" t="s">
        <v>308</v>
      </c>
      <c r="S19" s="31"/>
      <c r="T19" s="31"/>
      <c r="U19" s="31"/>
      <c r="V19" s="31"/>
      <c r="W19" s="31"/>
      <c r="X19" s="31"/>
      <c r="Y19" s="31"/>
    </row>
    <row r="20" spans="1:25" ht="14.4">
      <c r="A20" s="33">
        <v>44731</v>
      </c>
      <c r="B20" s="33" t="str">
        <f>quitarAcentos(UPPER(CONCATENATE(caracterDer(LEFT(SUBSTITUTE(F20," ",""),3),3,"*"),caracterDer(LEFT(SUBSTITUTE(E20," ",""),3),3,"*"))))</f>
        <v>HERDAN</v>
      </c>
      <c r="C20" s="32" t="s">
        <v>304</v>
      </c>
      <c r="D20" s="34">
        <v>19</v>
      </c>
      <c r="E20" s="74" t="s">
        <v>166</v>
      </c>
      <c r="F20" s="48" t="s">
        <v>167</v>
      </c>
      <c r="G20" s="2" t="s">
        <v>120</v>
      </c>
      <c r="H20" s="2" t="s">
        <v>165</v>
      </c>
      <c r="I20" s="2" t="s">
        <v>168</v>
      </c>
      <c r="J20" s="36" t="s">
        <v>77</v>
      </c>
      <c r="K20" s="36" t="s">
        <v>77</v>
      </c>
      <c r="L20" s="90" t="str">
        <f t="shared" si="0"/>
        <v>SI</v>
      </c>
      <c r="M20" s="93"/>
      <c r="N20" s="93"/>
      <c r="O20" s="37"/>
      <c r="P20" s="43" t="s">
        <v>311</v>
      </c>
      <c r="Q20" s="31" t="s">
        <v>307</v>
      </c>
      <c r="R20" s="41" t="s">
        <v>309</v>
      </c>
      <c r="S20" s="31" t="s">
        <v>307</v>
      </c>
      <c r="T20" s="38" t="s">
        <v>306</v>
      </c>
      <c r="U20" s="31" t="s">
        <v>307</v>
      </c>
      <c r="V20" s="42" t="s">
        <v>310</v>
      </c>
      <c r="W20" s="31" t="s">
        <v>307</v>
      </c>
      <c r="X20" s="31"/>
      <c r="Y20" s="31"/>
    </row>
    <row r="21" spans="1:25" ht="15.75" customHeight="1">
      <c r="A21" s="33">
        <v>44731</v>
      </c>
      <c r="B21" s="33" t="str">
        <f>quitarAcentos(UPPER(CONCATENATE(caracterDer(LEFT(SUBSTITUTE(F21," ",""),3),3,"*"),caracterDer(LEFT(SUBSTITUTE(E21," ",""),3),3,"*"))))</f>
        <v>YANALI</v>
      </c>
      <c r="C21" s="32" t="s">
        <v>304</v>
      </c>
      <c r="D21" s="94">
        <v>20</v>
      </c>
      <c r="E21" s="74" t="s">
        <v>172</v>
      </c>
      <c r="F21" s="44" t="s">
        <v>173</v>
      </c>
      <c r="G21" s="2" t="s">
        <v>174</v>
      </c>
      <c r="H21" s="2"/>
      <c r="I21" s="2" t="s">
        <v>175</v>
      </c>
      <c r="J21" s="36" t="s">
        <v>77</v>
      </c>
      <c r="K21" s="36" t="s">
        <v>77</v>
      </c>
      <c r="L21" s="90" t="str">
        <f t="shared" si="0"/>
        <v>SI</v>
      </c>
      <c r="M21" s="93"/>
      <c r="N21" s="93"/>
      <c r="O21" s="37"/>
      <c r="P21" s="43" t="s">
        <v>311</v>
      </c>
      <c r="Q21" s="31" t="s">
        <v>307</v>
      </c>
      <c r="R21" s="41" t="s">
        <v>309</v>
      </c>
      <c r="S21" s="31" t="s">
        <v>307</v>
      </c>
      <c r="T21" s="38" t="s">
        <v>306</v>
      </c>
      <c r="U21" s="31" t="s">
        <v>307</v>
      </c>
      <c r="V21" s="31"/>
      <c r="W21" s="31"/>
      <c r="X21" s="31"/>
      <c r="Y21" s="31"/>
    </row>
    <row r="22" spans="1:25" ht="15.75" customHeight="1">
      <c r="A22" s="33">
        <v>44731</v>
      </c>
      <c r="B22" s="33" t="str">
        <f>quitarAcentos(UPPER(CONCATENATE(caracterDer(LEFT(SUBSTITUTE(F22," ",""),3),3,"*"),caracterDer(LEFT(SUBSTITUTE(E22," ",""),3),3,"*"))))</f>
        <v>SENARA</v>
      </c>
      <c r="C22" s="32" t="s">
        <v>304</v>
      </c>
      <c r="D22" s="94">
        <v>21</v>
      </c>
      <c r="E22" s="74" t="s">
        <v>176</v>
      </c>
      <c r="F22" s="48" t="s">
        <v>177</v>
      </c>
      <c r="G22" s="2" t="s">
        <v>178</v>
      </c>
      <c r="H22" s="2"/>
      <c r="I22" s="2" t="s">
        <v>179</v>
      </c>
      <c r="J22" s="36" t="s">
        <v>77</v>
      </c>
      <c r="K22" s="36" t="s">
        <v>77</v>
      </c>
      <c r="L22" s="90" t="str">
        <f t="shared" si="0"/>
        <v>SI</v>
      </c>
      <c r="M22" s="93"/>
      <c r="N22" s="93"/>
      <c r="O22" s="37"/>
      <c r="P22" s="42" t="s">
        <v>310</v>
      </c>
      <c r="Q22" s="31" t="s">
        <v>307</v>
      </c>
      <c r="R22" s="41" t="s">
        <v>309</v>
      </c>
      <c r="S22" s="31"/>
      <c r="T22" s="31"/>
      <c r="U22" s="31"/>
      <c r="V22" s="31"/>
      <c r="W22" s="31"/>
      <c r="X22" s="31"/>
      <c r="Y22" s="31"/>
    </row>
    <row r="23" spans="1:25" ht="15.75" customHeight="1">
      <c r="A23" s="33">
        <v>44731</v>
      </c>
      <c r="B23" s="33" t="str">
        <f>quitarAcentos(UPPER(CONCATENATE(caracterDer(LEFT(SUBSTITUTE(F23," ",""),3),3,"*"),caracterDer(LEFT(SUBSTITUTE(E23," ",""),3),3,"*"))))</f>
        <v>GARXAV</v>
      </c>
      <c r="C23" s="32" t="s">
        <v>304</v>
      </c>
      <c r="D23" s="34">
        <v>22</v>
      </c>
      <c r="E23" s="74" t="s">
        <v>180</v>
      </c>
      <c r="F23" s="49" t="s">
        <v>142</v>
      </c>
      <c r="G23" s="2" t="s">
        <v>181</v>
      </c>
      <c r="H23" s="2"/>
      <c r="I23" s="2" t="s">
        <v>182</v>
      </c>
      <c r="J23" s="36" t="s">
        <v>77</v>
      </c>
      <c r="K23" s="36" t="s">
        <v>305</v>
      </c>
      <c r="L23" s="90" t="str">
        <f t="shared" si="0"/>
        <v>NO</v>
      </c>
      <c r="M23" s="93" t="s">
        <v>305</v>
      </c>
      <c r="N23" s="93" t="s">
        <v>305</v>
      </c>
      <c r="O23" s="37"/>
      <c r="P23" s="42" t="s">
        <v>310</v>
      </c>
      <c r="Q23" s="31" t="s">
        <v>307</v>
      </c>
      <c r="R23" s="41" t="s">
        <v>309</v>
      </c>
      <c r="S23" s="31" t="s">
        <v>307</v>
      </c>
      <c r="T23" s="38" t="s">
        <v>306</v>
      </c>
      <c r="U23" s="31" t="s">
        <v>307</v>
      </c>
      <c r="V23" s="40" t="s">
        <v>308</v>
      </c>
      <c r="W23" s="31" t="s">
        <v>307</v>
      </c>
      <c r="X23" s="41" t="s">
        <v>309</v>
      </c>
      <c r="Y23" s="31" t="s">
        <v>307</v>
      </c>
    </row>
    <row r="24" spans="1:25" ht="15.75" customHeight="1">
      <c r="A24" s="33">
        <v>44731</v>
      </c>
      <c r="B24" s="33" t="str">
        <f>quitarAcentos(UPPER(CONCATENATE(caracterDer(LEFT(SUBSTITUTE(F24," ",""),3),3,"*"),caracterDer(LEFT(SUBSTITUTE(E24," ",""),3),3,"*"))))</f>
        <v>RUIJAV</v>
      </c>
      <c r="C24" s="32" t="s">
        <v>304</v>
      </c>
      <c r="D24" s="34">
        <v>23</v>
      </c>
      <c r="E24" s="74" t="s">
        <v>162</v>
      </c>
      <c r="F24" s="46" t="s">
        <v>185</v>
      </c>
      <c r="G24" s="2" t="s">
        <v>186</v>
      </c>
      <c r="H24" s="2" t="s">
        <v>183</v>
      </c>
      <c r="I24" s="2" t="s">
        <v>56</v>
      </c>
      <c r="J24" s="36" t="s">
        <v>77</v>
      </c>
      <c r="K24" s="36" t="s">
        <v>77</v>
      </c>
      <c r="L24" s="90" t="str">
        <f t="shared" si="0"/>
        <v>SI</v>
      </c>
      <c r="M24" s="93"/>
      <c r="N24" s="93"/>
      <c r="O24" s="37"/>
      <c r="P24" s="42" t="s">
        <v>310</v>
      </c>
      <c r="Q24" s="31" t="s">
        <v>307</v>
      </c>
      <c r="R24" s="43" t="s">
        <v>311</v>
      </c>
      <c r="S24" s="31" t="s">
        <v>307</v>
      </c>
      <c r="T24" s="38" t="s">
        <v>306</v>
      </c>
      <c r="U24" s="31" t="s">
        <v>307</v>
      </c>
      <c r="V24" s="31"/>
      <c r="W24" s="31"/>
      <c r="X24" s="31"/>
      <c r="Y24" s="31"/>
    </row>
    <row r="25" spans="1:25" ht="15.75" customHeight="1">
      <c r="A25" s="33">
        <v>44731</v>
      </c>
      <c r="B25" s="33" t="str">
        <f>quitarAcentos(UPPER(CONCATENATE(caracterDer(LEFT(SUBSTITUTE(F25," ",""),3),3,"*"),caracterDer(LEFT(SUBSTITUTE(E25," ",""),3),3,"*"))))</f>
        <v>SAVKAT</v>
      </c>
      <c r="C25" s="32" t="s">
        <v>304</v>
      </c>
      <c r="D25" s="34">
        <v>24</v>
      </c>
      <c r="E25" s="74" t="s">
        <v>192</v>
      </c>
      <c r="F25" s="46" t="s">
        <v>193</v>
      </c>
      <c r="G25" s="2"/>
      <c r="H25" s="2"/>
      <c r="I25" s="2" t="s">
        <v>194</v>
      </c>
      <c r="J25" s="36" t="s">
        <v>77</v>
      </c>
      <c r="K25" s="36" t="s">
        <v>77</v>
      </c>
      <c r="L25" s="90" t="str">
        <f t="shared" si="0"/>
        <v>SI</v>
      </c>
      <c r="M25" s="93" t="s">
        <v>77</v>
      </c>
      <c r="N25" s="93" t="s">
        <v>77</v>
      </c>
      <c r="O25" s="37"/>
      <c r="P25" s="42" t="s">
        <v>310</v>
      </c>
      <c r="Q25" s="31" t="s">
        <v>307</v>
      </c>
      <c r="R25" s="43" t="s">
        <v>311</v>
      </c>
      <c r="S25" s="31" t="s">
        <v>307</v>
      </c>
      <c r="T25" s="31"/>
      <c r="U25" s="31"/>
      <c r="V25" s="31"/>
      <c r="W25" s="31"/>
      <c r="X25" s="31"/>
      <c r="Y25" s="31"/>
    </row>
    <row r="26" spans="1:25" ht="15.75" customHeight="1">
      <c r="A26" s="33">
        <v>44731</v>
      </c>
      <c r="B26" s="33" t="str">
        <f>quitarAcentos(UPPER(CONCATENATE(caracterDer(LEFT(SUBSTITUTE(F26," ",""),3),3,"*"),caracterDer(LEFT(SUBSTITUTE(E26," ",""),3),3,"*"))))</f>
        <v>GUTDAV</v>
      </c>
      <c r="C26" s="32" t="s">
        <v>304</v>
      </c>
      <c r="D26" s="34">
        <v>25</v>
      </c>
      <c r="E26" s="2" t="s">
        <v>196</v>
      </c>
      <c r="F26" s="46" t="s">
        <v>197</v>
      </c>
      <c r="G26" s="2" t="s">
        <v>198</v>
      </c>
      <c r="H26" s="2"/>
      <c r="I26" s="2" t="s">
        <v>199</v>
      </c>
      <c r="J26" s="36" t="s">
        <v>305</v>
      </c>
      <c r="K26" s="36" t="s">
        <v>305</v>
      </c>
      <c r="L26" s="90" t="str">
        <f t="shared" si="0"/>
        <v>NO</v>
      </c>
      <c r="M26" s="93" t="s">
        <v>305</v>
      </c>
      <c r="N26" s="93" t="s">
        <v>305</v>
      </c>
      <c r="O26" s="37" t="s">
        <v>323</v>
      </c>
      <c r="P26" s="42" t="s">
        <v>310</v>
      </c>
      <c r="Q26" s="31" t="s">
        <v>307</v>
      </c>
      <c r="R26" s="43" t="s">
        <v>311</v>
      </c>
      <c r="S26" s="31" t="s">
        <v>307</v>
      </c>
      <c r="T26" s="40" t="s">
        <v>308</v>
      </c>
      <c r="U26" s="31"/>
      <c r="V26" s="31"/>
      <c r="W26" s="31"/>
      <c r="X26" s="31"/>
      <c r="Y26" s="31"/>
    </row>
    <row r="27" spans="1:25" ht="15.75" customHeight="1">
      <c r="A27" s="33">
        <v>44731</v>
      </c>
      <c r="B27" s="33" t="str">
        <f>quitarAcentos(UPPER(CONCATENATE(caracterDer(LEFT(SUBSTITUTE(F27," ",""),3),3,"*"),caracterDer(LEFT(SUBSTITUTE(E27," ",""),3),3,"*"))))</f>
        <v>GARGEM</v>
      </c>
      <c r="C27" s="32" t="s">
        <v>304</v>
      </c>
      <c r="D27" s="34">
        <v>26</v>
      </c>
      <c r="E27" s="74" t="s">
        <v>202</v>
      </c>
      <c r="F27" s="44" t="s">
        <v>203</v>
      </c>
      <c r="G27" s="2" t="s">
        <v>204</v>
      </c>
      <c r="H27" s="2" t="s">
        <v>201</v>
      </c>
      <c r="I27" s="4" t="s">
        <v>205</v>
      </c>
      <c r="J27" s="36" t="s">
        <v>77</v>
      </c>
      <c r="K27" s="36" t="s">
        <v>77</v>
      </c>
      <c r="L27" s="90" t="str">
        <f t="shared" si="0"/>
        <v>SI</v>
      </c>
      <c r="M27" s="93"/>
      <c r="N27" s="93"/>
      <c r="O27" s="37"/>
      <c r="P27" s="38" t="s">
        <v>306</v>
      </c>
      <c r="Q27" s="31" t="s">
        <v>307</v>
      </c>
      <c r="R27" s="43" t="s">
        <v>311</v>
      </c>
      <c r="S27" s="31" t="s">
        <v>307</v>
      </c>
      <c r="T27" s="40" t="s">
        <v>308</v>
      </c>
      <c r="U27" s="31" t="s">
        <v>307</v>
      </c>
      <c r="V27" s="41" t="s">
        <v>309</v>
      </c>
      <c r="W27" s="31" t="s">
        <v>307</v>
      </c>
      <c r="X27" s="31"/>
      <c r="Y27" s="31"/>
    </row>
    <row r="28" spans="1:25" ht="15.75" customHeight="1">
      <c r="A28" s="33">
        <v>44731</v>
      </c>
      <c r="B28" s="33" t="str">
        <f>quitarAcentos(UPPER(CONCATENATE(caracterDer(LEFT(SUBSTITUTE(F28," ",""),3),3,"*"),caracterDer(LEFT(SUBSTITUTE(E28," ",""),3),3,"*"))))</f>
        <v>FARCAR</v>
      </c>
      <c r="C28" s="32" t="s">
        <v>304</v>
      </c>
      <c r="D28" s="34">
        <v>27</v>
      </c>
      <c r="E28" s="2" t="s">
        <v>208</v>
      </c>
      <c r="F28" s="44" t="s">
        <v>209</v>
      </c>
      <c r="G28" s="2"/>
      <c r="H28" s="2"/>
      <c r="I28" s="2" t="s">
        <v>210</v>
      </c>
      <c r="J28" s="36" t="s">
        <v>305</v>
      </c>
      <c r="K28" s="36" t="s">
        <v>305</v>
      </c>
      <c r="L28" s="90" t="str">
        <f t="shared" si="0"/>
        <v>NO</v>
      </c>
      <c r="M28" s="93" t="s">
        <v>305</v>
      </c>
      <c r="N28" s="93" t="s">
        <v>305</v>
      </c>
      <c r="O28" s="37"/>
      <c r="P28" s="38" t="s">
        <v>306</v>
      </c>
      <c r="Q28" s="31" t="s">
        <v>307</v>
      </c>
      <c r="R28" s="31"/>
      <c r="S28" s="31"/>
      <c r="T28" s="31"/>
      <c r="U28" s="31"/>
      <c r="V28" s="31"/>
      <c r="W28" s="31"/>
      <c r="X28" s="31"/>
      <c r="Y28" s="31"/>
    </row>
    <row r="29" spans="1:25" ht="15.75" customHeight="1">
      <c r="A29" s="33">
        <v>45122</v>
      </c>
      <c r="B29" s="33" t="str">
        <f>quitarAcentos(UPPER(CONCATENATE(caracterDer(LEFT(SUBSTITUTE(F29," ",""),3),3,"*"),caracterDer(LEFT(SUBSTITUTE(E29," ",""),3),3,"*"))))</f>
        <v>AROMIG</v>
      </c>
      <c r="C29" s="32" t="s">
        <v>324</v>
      </c>
      <c r="D29" s="34">
        <v>1</v>
      </c>
      <c r="E29" s="2" t="s">
        <v>212</v>
      </c>
      <c r="F29" s="44" t="s">
        <v>213</v>
      </c>
      <c r="G29" s="2" t="s">
        <v>214</v>
      </c>
      <c r="H29" s="2" t="s">
        <v>325</v>
      </c>
      <c r="I29" s="2" t="s">
        <v>215</v>
      </c>
      <c r="J29" s="36" t="s">
        <v>305</v>
      </c>
      <c r="K29" s="36" t="s">
        <v>305</v>
      </c>
      <c r="L29" s="90" t="str">
        <f t="shared" si="0"/>
        <v>NO</v>
      </c>
      <c r="M29" s="93" t="s">
        <v>305</v>
      </c>
      <c r="N29" s="93" t="s">
        <v>305</v>
      </c>
      <c r="O29" s="17"/>
      <c r="P29" s="76" t="s">
        <v>589</v>
      </c>
      <c r="Q29" s="71">
        <v>45278</v>
      </c>
    </row>
    <row r="30" spans="1:25" ht="15.75" customHeight="1">
      <c r="A30" s="33">
        <v>45122</v>
      </c>
      <c r="B30" s="33" t="str">
        <f>quitarAcentos(UPPER(CONCATENATE(caracterDer(LEFT(SUBSTITUTE(F30," ",""),3),3,"*"),caracterDer(LEFT(SUBSTITUTE(E30," ",""),3),3,"*"))))</f>
        <v>SANTOM</v>
      </c>
      <c r="C30" s="32" t="s">
        <v>324</v>
      </c>
      <c r="D30" s="34">
        <v>2</v>
      </c>
      <c r="E30" s="74" t="s">
        <v>219</v>
      </c>
      <c r="F30" s="44" t="s">
        <v>220</v>
      </c>
      <c r="G30" s="2" t="s">
        <v>221</v>
      </c>
      <c r="H30" s="2" t="s">
        <v>326</v>
      </c>
      <c r="I30" s="2" t="s">
        <v>222</v>
      </c>
      <c r="J30" s="36" t="s">
        <v>77</v>
      </c>
      <c r="K30" s="36" t="s">
        <v>77</v>
      </c>
      <c r="L30" s="90" t="str">
        <f t="shared" si="0"/>
        <v>SI</v>
      </c>
      <c r="M30" s="93" t="s">
        <v>77</v>
      </c>
      <c r="N30" s="93" t="s">
        <v>77</v>
      </c>
      <c r="O30" s="17"/>
      <c r="P30" s="76" t="s">
        <v>592</v>
      </c>
      <c r="Q30" s="72">
        <v>45278</v>
      </c>
    </row>
    <row r="31" spans="1:25" ht="15.75" customHeight="1">
      <c r="A31" s="33">
        <v>45122</v>
      </c>
      <c r="B31" s="33" t="str">
        <f>quitarAcentos(UPPER(CONCATENATE(caracterDer(LEFT(SUBSTITUTE(F31," ",""),3),3,"*"),caracterDer(LEFT(SUBSTITUTE(E31," ",""),3),3,"*"))))</f>
        <v>BAEVIC</v>
      </c>
      <c r="C31" s="32" t="s">
        <v>324</v>
      </c>
      <c r="D31" s="34">
        <v>3</v>
      </c>
      <c r="E31" s="74" t="s">
        <v>226</v>
      </c>
      <c r="F31" s="44" t="s">
        <v>227</v>
      </c>
      <c r="G31" s="2" t="s">
        <v>228</v>
      </c>
      <c r="H31" s="2" t="s">
        <v>327</v>
      </c>
      <c r="I31" s="2" t="s">
        <v>54</v>
      </c>
      <c r="J31" s="50" t="s">
        <v>77</v>
      </c>
      <c r="K31" s="36" t="s">
        <v>77</v>
      </c>
      <c r="L31" s="90" t="str">
        <f t="shared" si="0"/>
        <v>SI</v>
      </c>
      <c r="M31" s="93"/>
      <c r="N31" s="93"/>
      <c r="O31" s="17"/>
      <c r="P31" s="38" t="s">
        <v>328</v>
      </c>
      <c r="Q31" s="51">
        <v>45131</v>
      </c>
    </row>
    <row r="32" spans="1:25" ht="15.75" customHeight="1">
      <c r="A32" s="33">
        <v>45122</v>
      </c>
      <c r="B32" s="33" t="str">
        <f>quitarAcentos(UPPER(CONCATENATE(caracterDer(LEFT(SUBSTITUTE(F32," ",""),3),3,"*"),caracterDer(LEFT(SUBSTITUTE(E32," ",""),3),3,"*"))))</f>
        <v>GARPAT</v>
      </c>
      <c r="C32" s="32" t="s">
        <v>324</v>
      </c>
      <c r="D32" s="34">
        <v>4</v>
      </c>
      <c r="E32" s="74" t="s">
        <v>233</v>
      </c>
      <c r="F32" s="44" t="s">
        <v>142</v>
      </c>
      <c r="G32" s="2" t="s">
        <v>234</v>
      </c>
      <c r="H32" s="2" t="s">
        <v>232</v>
      </c>
      <c r="I32" s="2" t="s">
        <v>52</v>
      </c>
      <c r="J32" s="50" t="s">
        <v>77</v>
      </c>
      <c r="K32" s="36" t="s">
        <v>77</v>
      </c>
      <c r="L32" s="90" t="str">
        <f t="shared" si="0"/>
        <v>SI</v>
      </c>
      <c r="M32" s="93"/>
      <c r="N32" s="93"/>
      <c r="O32" s="17"/>
      <c r="P32" s="38" t="s">
        <v>329</v>
      </c>
      <c r="Q32" s="51">
        <v>45131</v>
      </c>
    </row>
    <row r="33" spans="1:25" ht="15.75" customHeight="1">
      <c r="A33" s="33">
        <v>45122</v>
      </c>
      <c r="B33" s="33" t="str">
        <f>quitarAcentos(UPPER(CONCATENATE(caracterDer(LEFT(SUBSTITUTE(F33," ",""),3),3,"*"),caracterDer(LEFT(SUBSTITUTE(E33," ",""),3),3,"*"))))</f>
        <v>CALSAL</v>
      </c>
      <c r="C33" s="32" t="s">
        <v>324</v>
      </c>
      <c r="D33" s="34">
        <v>5</v>
      </c>
      <c r="E33" s="74" t="s">
        <v>238</v>
      </c>
      <c r="F33" s="44" t="s">
        <v>186</v>
      </c>
      <c r="G33" s="2" t="s">
        <v>239</v>
      </c>
      <c r="H33" s="2" t="s">
        <v>330</v>
      </c>
      <c r="I33" s="2" t="s">
        <v>240</v>
      </c>
      <c r="J33" s="50" t="s">
        <v>77</v>
      </c>
      <c r="K33" s="36" t="s">
        <v>77</v>
      </c>
      <c r="L33" s="90" t="str">
        <f t="shared" si="0"/>
        <v>SI</v>
      </c>
      <c r="M33" s="93"/>
      <c r="N33" s="93"/>
      <c r="O33" s="17"/>
      <c r="P33" s="38" t="s">
        <v>329</v>
      </c>
      <c r="Q33" s="52">
        <v>45131</v>
      </c>
      <c r="R33" s="40" t="s">
        <v>328</v>
      </c>
      <c r="S33" s="52">
        <v>45131</v>
      </c>
      <c r="T33" s="41" t="s">
        <v>331</v>
      </c>
      <c r="U33" s="52">
        <v>45133</v>
      </c>
      <c r="V33" s="41" t="s">
        <v>332</v>
      </c>
      <c r="W33" s="53">
        <v>45139</v>
      </c>
      <c r="X33" s="4" t="s">
        <v>333</v>
      </c>
      <c r="Y33" s="51">
        <v>45141</v>
      </c>
    </row>
    <row r="34" spans="1:25" ht="15.75" customHeight="1">
      <c r="A34" s="33">
        <v>45122</v>
      </c>
      <c r="B34" s="33" t="str">
        <f>quitarAcentos(UPPER(CONCATENATE(caracterDer(LEFT(SUBSTITUTE(F34," ",""),3),3,"*"),caracterDer(LEFT(SUBSTITUTE(E34," ",""),3),3,"*"))))</f>
        <v>MONEDG</v>
      </c>
      <c r="C34" s="32" t="s">
        <v>324</v>
      </c>
      <c r="D34" s="34">
        <v>6</v>
      </c>
      <c r="E34" s="2" t="s">
        <v>243</v>
      </c>
      <c r="F34" s="44" t="s">
        <v>244</v>
      </c>
      <c r="G34" s="2" t="s">
        <v>245</v>
      </c>
      <c r="H34" s="2" t="s">
        <v>334</v>
      </c>
      <c r="I34" s="2" t="s">
        <v>246</v>
      </c>
      <c r="J34" s="36" t="s">
        <v>305</v>
      </c>
      <c r="K34" s="36" t="s">
        <v>305</v>
      </c>
      <c r="L34" s="90" t="str">
        <f t="shared" si="0"/>
        <v>NO</v>
      </c>
      <c r="M34" s="93" t="s">
        <v>305</v>
      </c>
      <c r="N34" s="93" t="s">
        <v>305</v>
      </c>
      <c r="O34" s="17"/>
      <c r="P34" s="76" t="s">
        <v>587</v>
      </c>
      <c r="Q34" s="71">
        <v>45278</v>
      </c>
    </row>
    <row r="35" spans="1:25" ht="15.75" customHeight="1">
      <c r="A35" s="33">
        <v>45122</v>
      </c>
      <c r="B35" s="33" t="str">
        <f>quitarAcentos(UPPER(CONCATENATE(caracterDer(LEFT(SUBSTITUTE(F35," ",""),3),3,"*"),caracterDer(LEFT(SUBSTITUTE(E35," ",""),3),3,"*"))))</f>
        <v>ALIPAU</v>
      </c>
      <c r="C35" s="32" t="s">
        <v>324</v>
      </c>
      <c r="D35" s="34">
        <v>7</v>
      </c>
      <c r="E35" s="2" t="s">
        <v>250</v>
      </c>
      <c r="F35" s="44" t="s">
        <v>251</v>
      </c>
      <c r="G35" s="2" t="s">
        <v>252</v>
      </c>
      <c r="H35" s="2" t="s">
        <v>335</v>
      </c>
      <c r="I35" s="2" t="s">
        <v>253</v>
      </c>
      <c r="J35" s="36" t="s">
        <v>305</v>
      </c>
      <c r="K35" s="36" t="s">
        <v>305</v>
      </c>
      <c r="L35" s="90" t="str">
        <f t="shared" si="0"/>
        <v>NO</v>
      </c>
      <c r="M35" s="93" t="s">
        <v>305</v>
      </c>
      <c r="N35" s="93" t="s">
        <v>305</v>
      </c>
      <c r="O35" s="17"/>
    </row>
    <row r="36" spans="1:25" ht="15.75" customHeight="1">
      <c r="A36" s="33">
        <v>45122</v>
      </c>
      <c r="B36" s="33" t="str">
        <f>quitarAcentos(UPPER(CONCATENATE(caracterDer(LEFT(SUBSTITUTE(F36," ",""),3),3,"*"),caracterDer(LEFT(SUBSTITUTE(E36," ",""),3),3,"*"))))</f>
        <v>DOMANA</v>
      </c>
      <c r="C36" s="32" t="s">
        <v>324</v>
      </c>
      <c r="D36" s="34">
        <v>8</v>
      </c>
      <c r="E36" s="74" t="s">
        <v>257</v>
      </c>
      <c r="F36" s="2" t="s">
        <v>258</v>
      </c>
      <c r="G36" s="2" t="s">
        <v>259</v>
      </c>
      <c r="H36" s="2" t="s">
        <v>336</v>
      </c>
      <c r="I36" s="2" t="s">
        <v>260</v>
      </c>
      <c r="J36" s="36" t="s">
        <v>77</v>
      </c>
      <c r="K36" s="36" t="s">
        <v>305</v>
      </c>
      <c r="L36" s="90" t="str">
        <f t="shared" si="0"/>
        <v>NO</v>
      </c>
      <c r="M36" s="93" t="s">
        <v>305</v>
      </c>
      <c r="N36" s="93" t="s">
        <v>305</v>
      </c>
      <c r="O36" s="17"/>
      <c r="P36" s="38" t="s">
        <v>328</v>
      </c>
      <c r="Q36" s="52">
        <v>45131</v>
      </c>
      <c r="R36" s="40" t="s">
        <v>329</v>
      </c>
      <c r="S36" s="52">
        <v>45132</v>
      </c>
      <c r="T36" s="76" t="s">
        <v>589</v>
      </c>
      <c r="U36" s="72">
        <v>45278</v>
      </c>
    </row>
    <row r="37" spans="1:25" ht="15.75" customHeight="1">
      <c r="A37" s="33">
        <v>45122</v>
      </c>
      <c r="B37" s="33" t="str">
        <f>quitarAcentos(UPPER(CONCATENATE(caracterDer(LEFT(SUBSTITUTE(F37," ",""),3),3,"*"),caracterDer(LEFT(SUBSTITUTE(E37," ",""),3),3,"*"))))</f>
        <v>ARTJOR</v>
      </c>
      <c r="C37" s="32" t="s">
        <v>324</v>
      </c>
      <c r="D37" s="34">
        <v>9</v>
      </c>
      <c r="E37" s="54" t="s">
        <v>263</v>
      </c>
      <c r="F37" s="55" t="s">
        <v>264</v>
      </c>
      <c r="G37" s="54" t="s">
        <v>265</v>
      </c>
      <c r="H37" s="54" t="s">
        <v>337</v>
      </c>
      <c r="I37" s="54" t="s">
        <v>266</v>
      </c>
      <c r="J37" s="36" t="s">
        <v>305</v>
      </c>
      <c r="K37" s="36" t="s">
        <v>305</v>
      </c>
      <c r="L37" s="90" t="str">
        <f t="shared" si="0"/>
        <v>NO</v>
      </c>
      <c r="M37" s="93" t="s">
        <v>305</v>
      </c>
      <c r="N37" s="93" t="s">
        <v>305</v>
      </c>
      <c r="O37" s="17"/>
      <c r="P37" s="76" t="s">
        <v>592</v>
      </c>
      <c r="Q37" s="71">
        <v>45278</v>
      </c>
    </row>
    <row r="38" spans="1:25" ht="15.75" customHeight="1">
      <c r="A38" s="33">
        <v>45122</v>
      </c>
      <c r="B38" s="33" t="str">
        <f>quitarAcentos(UPPER(CONCATENATE(caracterDer(LEFT(SUBSTITUTE(F38," ",""),3),3,"*"),caracterDer(LEFT(SUBSTITUTE(E38," ",""),3),3,"*"))))</f>
        <v>GOMELI</v>
      </c>
      <c r="C38" s="32" t="s">
        <v>324</v>
      </c>
      <c r="D38" s="56">
        <v>10</v>
      </c>
      <c r="E38" s="57" t="s">
        <v>269</v>
      </c>
      <c r="F38" s="57" t="s">
        <v>270</v>
      </c>
      <c r="G38" s="57" t="s">
        <v>271</v>
      </c>
      <c r="H38" s="57" t="s">
        <v>338</v>
      </c>
      <c r="I38" s="57" t="s">
        <v>272</v>
      </c>
      <c r="J38" s="36" t="s">
        <v>305</v>
      </c>
      <c r="K38" s="36" t="s">
        <v>305</v>
      </c>
      <c r="L38" s="90" t="str">
        <f t="shared" si="0"/>
        <v>NO</v>
      </c>
      <c r="M38" s="93" t="s">
        <v>305</v>
      </c>
      <c r="N38" s="93" t="s">
        <v>305</v>
      </c>
      <c r="O38" s="17"/>
    </row>
    <row r="39" spans="1:25" ht="15.75" customHeight="1">
      <c r="A39" s="33">
        <v>45122</v>
      </c>
      <c r="B39" s="33" t="str">
        <f>quitarAcentos(UPPER(CONCATENATE(caracterDer(LEFT(SUBSTITUTE(F39," ",""),3),3,"*"),caracterDer(LEFT(SUBSTITUTE(E39," ",""),3),3,"*"))))</f>
        <v>RODMAR</v>
      </c>
      <c r="C39" s="32" t="s">
        <v>324</v>
      </c>
      <c r="D39" s="56">
        <v>11</v>
      </c>
      <c r="E39" s="57" t="s">
        <v>275</v>
      </c>
      <c r="F39" s="57" t="s">
        <v>276</v>
      </c>
      <c r="G39" s="57" t="s">
        <v>115</v>
      </c>
      <c r="H39" s="57" t="s">
        <v>339</v>
      </c>
      <c r="I39" s="57" t="s">
        <v>277</v>
      </c>
      <c r="J39" s="36" t="s">
        <v>305</v>
      </c>
      <c r="K39" s="36" t="s">
        <v>305</v>
      </c>
      <c r="L39" s="90" t="str">
        <f t="shared" si="0"/>
        <v>NO</v>
      </c>
      <c r="M39" s="93" t="s">
        <v>305</v>
      </c>
      <c r="N39" s="93" t="s">
        <v>305</v>
      </c>
      <c r="O39" s="17"/>
      <c r="P39" s="58" t="s">
        <v>331</v>
      </c>
      <c r="Q39" s="52">
        <v>45132</v>
      </c>
    </row>
    <row r="40" spans="1:25" ht="15.75" customHeight="1">
      <c r="A40" s="33">
        <v>45122</v>
      </c>
      <c r="B40" s="33" t="str">
        <f>quitarAcentos(UPPER(CONCATENATE(caracterDer(LEFT(SUBSTITUTE(F40," ",""),3),3,"*"),caracterDer(LEFT(SUBSTITUTE(E40," ",""),3),3,"*"))))</f>
        <v>LUCJES</v>
      </c>
      <c r="C40" s="32" t="s">
        <v>324</v>
      </c>
      <c r="D40" s="56">
        <v>12</v>
      </c>
      <c r="E40" s="57" t="s">
        <v>280</v>
      </c>
      <c r="F40" s="57" t="s">
        <v>281</v>
      </c>
      <c r="G40" s="57" t="s">
        <v>282</v>
      </c>
      <c r="H40" s="57" t="s">
        <v>340</v>
      </c>
      <c r="I40" s="57" t="s">
        <v>283</v>
      </c>
      <c r="J40" s="36" t="s">
        <v>305</v>
      </c>
      <c r="K40" s="36" t="s">
        <v>305</v>
      </c>
      <c r="L40" s="90" t="str">
        <f t="shared" si="0"/>
        <v>NO</v>
      </c>
      <c r="M40" s="93" t="s">
        <v>305</v>
      </c>
      <c r="N40" s="93" t="s">
        <v>305</v>
      </c>
      <c r="O40" s="17"/>
    </row>
    <row r="41" spans="1:25" ht="15.75" customHeight="1">
      <c r="A41" s="33">
        <v>45122</v>
      </c>
      <c r="B41" s="33" t="str">
        <f>quitarAcentos(UPPER(CONCATENATE(caracterDer(LEFT(SUBSTITUTE(F41," ",""),3),3,"*"),caracterDer(LEFT(SUBSTITUTE(E41," ",""),3),3,"*"))))</f>
        <v>FERFRA</v>
      </c>
      <c r="C41" s="32" t="s">
        <v>324</v>
      </c>
      <c r="D41" s="56">
        <v>13</v>
      </c>
      <c r="E41" s="57" t="s">
        <v>286</v>
      </c>
      <c r="F41" s="57" t="s">
        <v>287</v>
      </c>
      <c r="G41" s="57" t="s">
        <v>263</v>
      </c>
      <c r="H41" s="57">
        <v>207602280</v>
      </c>
      <c r="I41" s="57" t="s">
        <v>288</v>
      </c>
      <c r="J41" s="36" t="s">
        <v>305</v>
      </c>
      <c r="K41" s="36" t="s">
        <v>305</v>
      </c>
      <c r="L41" s="90" t="str">
        <f t="shared" si="0"/>
        <v>NO</v>
      </c>
      <c r="M41" s="93" t="s">
        <v>305</v>
      </c>
      <c r="N41" s="93" t="s">
        <v>305</v>
      </c>
      <c r="O41" s="17"/>
    </row>
    <row r="42" spans="1:25" ht="15.75" customHeight="1">
      <c r="A42" s="33">
        <v>45248</v>
      </c>
      <c r="B42" s="33" t="str">
        <f>quitarAcentos(UPPER(CONCATENATE(caracterDer(LEFT(SUBSTITUTE(F42," ",""),3),3,"*"),caracterDer(LEFT(SUBSTITUTE(E42," ",""),3),3,"*"))))</f>
        <v>MENINM</v>
      </c>
      <c r="C42" s="32" t="s">
        <v>524</v>
      </c>
      <c r="D42" s="63">
        <v>1</v>
      </c>
      <c r="E42" s="73" t="s">
        <v>525</v>
      </c>
      <c r="F42" s="60" t="s">
        <v>526</v>
      </c>
      <c r="G42" s="59" t="s">
        <v>527</v>
      </c>
      <c r="H42" s="59" t="s">
        <v>534</v>
      </c>
      <c r="I42" s="59" t="s">
        <v>536</v>
      </c>
      <c r="J42" s="36" t="s">
        <v>77</v>
      </c>
      <c r="K42" s="36" t="s">
        <v>77</v>
      </c>
      <c r="L42" s="90" t="str">
        <f t="shared" si="0"/>
        <v>NO</v>
      </c>
      <c r="M42" s="93" t="s">
        <v>305</v>
      </c>
      <c r="N42" s="93" t="s">
        <v>305</v>
      </c>
      <c r="O42" s="17"/>
      <c r="P42" s="70" t="s">
        <v>589</v>
      </c>
      <c r="Q42" s="71">
        <v>45259</v>
      </c>
      <c r="R42" s="75" t="s">
        <v>588</v>
      </c>
      <c r="S42" s="72">
        <v>45265</v>
      </c>
    </row>
    <row r="43" spans="1:25" ht="15.75" customHeight="1">
      <c r="A43" s="33">
        <v>45248</v>
      </c>
      <c r="B43" s="33" t="str">
        <f>quitarAcentos(UPPER(CONCATENATE(caracterDer(LEFT(SUBSTITUTE(F43," ",""),3),3,"*"),caracterDer(LEFT(SUBSTITUTE(E43," ",""),3),3,"*"))))</f>
        <v>MARJUA</v>
      </c>
      <c r="C43" s="32" t="s">
        <v>524</v>
      </c>
      <c r="D43" s="63">
        <v>2</v>
      </c>
      <c r="E43" s="74" t="s">
        <v>528</v>
      </c>
      <c r="F43" s="44" t="s">
        <v>529</v>
      </c>
      <c r="G43" s="2" t="s">
        <v>530</v>
      </c>
      <c r="H43" s="2" t="s">
        <v>533</v>
      </c>
      <c r="I43" s="2" t="s">
        <v>537</v>
      </c>
      <c r="J43" s="36" t="s">
        <v>77</v>
      </c>
      <c r="K43" s="36" t="s">
        <v>77</v>
      </c>
      <c r="L43" s="90" t="str">
        <f t="shared" si="0"/>
        <v>SI</v>
      </c>
      <c r="M43" s="93" t="s">
        <v>77</v>
      </c>
      <c r="N43" s="93" t="s">
        <v>77</v>
      </c>
      <c r="O43" s="17"/>
      <c r="P43" s="70" t="s">
        <v>588</v>
      </c>
      <c r="Q43" s="72">
        <v>45259</v>
      </c>
    </row>
    <row r="44" spans="1:25" ht="15.75" customHeight="1">
      <c r="A44" s="33">
        <v>45248</v>
      </c>
      <c r="B44" s="33" t="s">
        <v>538</v>
      </c>
      <c r="C44" s="32" t="s">
        <v>524</v>
      </c>
      <c r="D44" s="63">
        <v>3</v>
      </c>
      <c r="E44" s="74" t="s">
        <v>531</v>
      </c>
      <c r="F44" s="44" t="s">
        <v>204</v>
      </c>
      <c r="G44" s="2" t="s">
        <v>532</v>
      </c>
      <c r="H44" s="2" t="s">
        <v>535</v>
      </c>
      <c r="I44" s="77" t="s">
        <v>619</v>
      </c>
      <c r="J44" s="36" t="s">
        <v>77</v>
      </c>
      <c r="K44" s="36" t="s">
        <v>77</v>
      </c>
      <c r="L44" s="90" t="str">
        <f t="shared" si="0"/>
        <v>SI</v>
      </c>
      <c r="M44" s="93" t="s">
        <v>77</v>
      </c>
      <c r="N44" s="93" t="s">
        <v>77</v>
      </c>
      <c r="O44" s="17"/>
      <c r="P44" s="76" t="s">
        <v>587</v>
      </c>
      <c r="Q44" s="72">
        <v>45278</v>
      </c>
    </row>
    <row r="45" spans="1:25" ht="15.75" customHeight="1">
      <c r="A45" s="33">
        <v>45248</v>
      </c>
      <c r="B45" s="33" t="str">
        <f>quitarAcentos(UPPER(CONCATENATE(caracterDer(LEFT(SUBSTITUTE(F45," ",""),3),3,"*"),caracterDer(LEFT(SUBSTITUTE(E45," ",""),3),3,"*"))))</f>
        <v>MCKRON</v>
      </c>
      <c r="C45" s="32" t="s">
        <v>524</v>
      </c>
      <c r="D45" s="63">
        <v>4</v>
      </c>
      <c r="E45" s="74" t="s">
        <v>548</v>
      </c>
      <c r="F45" s="44" t="s">
        <v>549</v>
      </c>
      <c r="G45" s="2" t="s">
        <v>550</v>
      </c>
      <c r="H45" s="2" t="s">
        <v>552</v>
      </c>
      <c r="I45" s="2" t="s">
        <v>551</v>
      </c>
      <c r="J45" s="36" t="s">
        <v>77</v>
      </c>
      <c r="K45" s="36" t="s">
        <v>77</v>
      </c>
      <c r="L45" s="90" t="str">
        <f t="shared" si="0"/>
        <v>SI</v>
      </c>
      <c r="M45" s="93" t="s">
        <v>77</v>
      </c>
      <c r="N45" s="93" t="s">
        <v>77</v>
      </c>
      <c r="O45" s="17"/>
      <c r="P45" s="75" t="s">
        <v>590</v>
      </c>
      <c r="Q45" s="71">
        <v>45265</v>
      </c>
      <c r="R45" s="76" t="s">
        <v>589</v>
      </c>
      <c r="S45" s="72">
        <v>45278</v>
      </c>
    </row>
    <row r="46" spans="1:25" ht="15.75" customHeight="1">
      <c r="A46" s="33">
        <v>45248</v>
      </c>
      <c r="B46" s="33" t="str">
        <f>quitarAcentos(UPPER(CONCATENATE(caracterDer(LEFT(SUBSTITUTE(F46," ",""),3),3,"*"),caracterDer(LEFT(SUBSTITUTE(E46," ",""),3),3,"*"))))</f>
        <v>PERBJO</v>
      </c>
      <c r="C46" s="32" t="s">
        <v>524</v>
      </c>
      <c r="D46" s="63">
        <v>5</v>
      </c>
      <c r="E46" s="74" t="s">
        <v>553</v>
      </c>
      <c r="F46" s="44" t="s">
        <v>554</v>
      </c>
      <c r="G46" s="2" t="s">
        <v>554</v>
      </c>
      <c r="H46" s="2" t="s">
        <v>556</v>
      </c>
      <c r="I46" s="2" t="s">
        <v>555</v>
      </c>
      <c r="J46" s="36" t="s">
        <v>77</v>
      </c>
      <c r="K46" s="36" t="s">
        <v>77</v>
      </c>
      <c r="L46" s="90" t="str">
        <f t="shared" si="0"/>
        <v>SI</v>
      </c>
      <c r="M46" s="93" t="s">
        <v>77</v>
      </c>
      <c r="N46" s="93" t="s">
        <v>77</v>
      </c>
      <c r="O46" s="17"/>
      <c r="P46" s="75" t="s">
        <v>588</v>
      </c>
      <c r="Q46" s="72">
        <v>45265</v>
      </c>
    </row>
    <row r="47" spans="1:25" ht="15.75" customHeight="1">
      <c r="A47" s="33">
        <v>45248</v>
      </c>
      <c r="B47" s="33" t="str">
        <f>quitarAcentos(UPPER(CONCATENATE(caracterDer(LEFT(SUBSTITUTE(F47," ",""),3),3,"*"),caracterDer(LEFT(SUBSTITUTE(E47," ",""),3),3,"*"))))</f>
        <v>ALOGUS</v>
      </c>
      <c r="C47" s="32" t="s">
        <v>524</v>
      </c>
      <c r="D47" s="63">
        <v>6</v>
      </c>
      <c r="E47" s="74" t="s">
        <v>557</v>
      </c>
      <c r="F47" s="44" t="s">
        <v>282</v>
      </c>
      <c r="G47" s="2" t="s">
        <v>80</v>
      </c>
      <c r="H47" s="2" t="s">
        <v>559</v>
      </c>
      <c r="I47" s="2" t="s">
        <v>558</v>
      </c>
      <c r="J47" s="36" t="s">
        <v>77</v>
      </c>
      <c r="K47" s="36" t="s">
        <v>77</v>
      </c>
      <c r="L47" s="90" t="str">
        <f t="shared" si="0"/>
        <v>SI</v>
      </c>
      <c r="M47" s="93" t="s">
        <v>77</v>
      </c>
      <c r="N47" s="93" t="s">
        <v>77</v>
      </c>
      <c r="O47" s="17"/>
      <c r="P47" s="70" t="s">
        <v>588</v>
      </c>
      <c r="Q47" s="72">
        <v>45259</v>
      </c>
    </row>
    <row r="48" spans="1:25" ht="15.75" customHeight="1">
      <c r="A48" s="33">
        <v>45248</v>
      </c>
      <c r="B48" s="33" t="str">
        <f>quitarAcentos(UPPER(CONCATENATE(caracterDer(LEFT(SUBSTITUTE(F48," ",""),3),3,"*"),caracterDer(LEFT(SUBSTITUTE(E48," ",""),3),3,"*"))))</f>
        <v>VERHEL</v>
      </c>
      <c r="C48" s="32" t="s">
        <v>524</v>
      </c>
      <c r="D48" s="63">
        <v>7</v>
      </c>
      <c r="E48" s="74" t="s">
        <v>560</v>
      </c>
      <c r="F48" s="44" t="s">
        <v>561</v>
      </c>
      <c r="G48" s="2" t="s">
        <v>562</v>
      </c>
      <c r="H48" s="2">
        <v>129567701</v>
      </c>
      <c r="I48" s="2" t="s">
        <v>566</v>
      </c>
      <c r="J48" s="36" t="s">
        <v>77</v>
      </c>
      <c r="K48" s="36" t="s">
        <v>305</v>
      </c>
      <c r="L48" s="90" t="str">
        <f t="shared" si="0"/>
        <v>NO</v>
      </c>
      <c r="M48" s="93" t="s">
        <v>305</v>
      </c>
      <c r="N48" s="93" t="s">
        <v>305</v>
      </c>
      <c r="O48" s="17"/>
      <c r="P48" s="75" t="s">
        <v>590</v>
      </c>
      <c r="Q48" s="71">
        <v>45265</v>
      </c>
      <c r="R48" s="76" t="s">
        <v>593</v>
      </c>
      <c r="S48" s="72">
        <v>45278</v>
      </c>
    </row>
    <row r="49" spans="1:17" ht="15.75" customHeight="1">
      <c r="A49" s="33">
        <v>45248</v>
      </c>
      <c r="B49" s="33" t="str">
        <f>quitarAcentos(UPPER(CONCATENATE(caracterDer(LEFT(SUBSTITUTE(F49," ",""),3),3,"*"),caracterDer(LEFT(SUBSTITUTE(E49," ",""),3),3,"*"))))</f>
        <v>PERDOM</v>
      </c>
      <c r="C49" s="32" t="s">
        <v>524</v>
      </c>
      <c r="D49" s="63">
        <v>8</v>
      </c>
      <c r="E49" s="74" t="s">
        <v>563</v>
      </c>
      <c r="F49" s="44" t="s">
        <v>564</v>
      </c>
      <c r="G49" s="2" t="s">
        <v>565</v>
      </c>
      <c r="H49" s="2" t="s">
        <v>572</v>
      </c>
      <c r="I49" s="2" t="s">
        <v>567</v>
      </c>
      <c r="J49" s="36" t="s">
        <v>77</v>
      </c>
      <c r="K49" s="36" t="s">
        <v>77</v>
      </c>
      <c r="L49" s="90" t="str">
        <f t="shared" si="0"/>
        <v>SI</v>
      </c>
      <c r="M49" s="93" t="s">
        <v>77</v>
      </c>
      <c r="N49" s="93" t="s">
        <v>77</v>
      </c>
      <c r="O49" s="17"/>
      <c r="P49" s="70" t="s">
        <v>590</v>
      </c>
      <c r="Q49" s="72">
        <v>45259</v>
      </c>
    </row>
    <row r="50" spans="1:17" ht="15.75" customHeight="1">
      <c r="A50" s="33">
        <v>45248</v>
      </c>
      <c r="B50" s="33" t="str">
        <f>quitarAcentos(UPPER(CONCATENATE(caracterDer(LEFT(SUBSTITUTE(F50," ",""),3),3,"*"),caracterDer(LEFT(SUBSTITUTE(E50," ",""),3),3,"*"))))</f>
        <v>MOSANT</v>
      </c>
      <c r="C50" s="32" t="s">
        <v>524</v>
      </c>
      <c r="D50" s="63">
        <v>9</v>
      </c>
      <c r="E50" s="74" t="s">
        <v>573</v>
      </c>
      <c r="F50" s="44" t="s">
        <v>574</v>
      </c>
      <c r="G50" s="2" t="s">
        <v>119</v>
      </c>
      <c r="H50" s="2" t="s">
        <v>575</v>
      </c>
      <c r="I50" s="2" t="s">
        <v>576</v>
      </c>
      <c r="J50" s="36" t="s">
        <v>77</v>
      </c>
      <c r="K50" s="36" t="s">
        <v>305</v>
      </c>
      <c r="L50" s="90" t="str">
        <f t="shared" si="0"/>
        <v>NO</v>
      </c>
      <c r="M50" s="93" t="s">
        <v>305</v>
      </c>
      <c r="N50" s="93" t="s">
        <v>305</v>
      </c>
      <c r="O50" s="17"/>
      <c r="P50" s="75" t="s">
        <v>587</v>
      </c>
      <c r="Q50" s="72">
        <v>45265</v>
      </c>
    </row>
    <row r="51" spans="1:17" ht="15.75" customHeight="1">
      <c r="A51" s="33">
        <v>45248</v>
      </c>
      <c r="B51" s="33" t="str">
        <f>quitarAcentos(UPPER(CONCATENATE(caracterDer(LEFT(SUBSTITUTE(F51," ",""),3),3,"*"),caracterDer(LEFT(SUBSTITUTE(E51," ",""),3),3,"*"))))</f>
        <v>VALFRA</v>
      </c>
      <c r="C51" s="32" t="s">
        <v>524</v>
      </c>
      <c r="D51" s="63">
        <v>10</v>
      </c>
      <c r="E51" s="2" t="s">
        <v>79</v>
      </c>
      <c r="F51" s="44" t="s">
        <v>578</v>
      </c>
      <c r="G51" s="2" t="s">
        <v>109</v>
      </c>
      <c r="H51" s="2" t="s">
        <v>580</v>
      </c>
      <c r="I51" s="2" t="s">
        <v>579</v>
      </c>
      <c r="J51" s="36" t="s">
        <v>305</v>
      </c>
      <c r="K51" s="36" t="s">
        <v>305</v>
      </c>
      <c r="L51" s="90" t="str">
        <f t="shared" si="0"/>
        <v>NO</v>
      </c>
      <c r="M51" s="93" t="s">
        <v>305</v>
      </c>
      <c r="N51" s="93" t="s">
        <v>305</v>
      </c>
      <c r="O51" s="17"/>
      <c r="P51" s="76" t="s">
        <v>589</v>
      </c>
      <c r="Q51" s="71">
        <v>45278</v>
      </c>
    </row>
    <row r="52" spans="1:17" ht="15.75" customHeight="1">
      <c r="A52" s="33">
        <v>45248</v>
      </c>
      <c r="B52" s="33" t="str">
        <f>quitarAcentos(UPPER(CONCATENATE(caracterDer(LEFT(SUBSTITUTE(F52," ",""),3),3,"*"),caracterDer(LEFT(SUBSTITUTE(E52," ",""),3),3,"*"))))</f>
        <v>SANCAR</v>
      </c>
      <c r="C52" s="32" t="s">
        <v>524</v>
      </c>
      <c r="D52" s="63">
        <v>11</v>
      </c>
      <c r="E52" s="74" t="s">
        <v>208</v>
      </c>
      <c r="F52" s="44" t="s">
        <v>582</v>
      </c>
      <c r="G52" s="2" t="s">
        <v>583</v>
      </c>
      <c r="H52" s="2" t="s">
        <v>586</v>
      </c>
      <c r="I52" s="2" t="s">
        <v>584</v>
      </c>
      <c r="J52" s="36" t="s">
        <v>77</v>
      </c>
      <c r="K52" s="36" t="s">
        <v>77</v>
      </c>
      <c r="L52" s="90" t="str">
        <f t="shared" si="0"/>
        <v>NO</v>
      </c>
      <c r="M52" s="93" t="s">
        <v>305</v>
      </c>
      <c r="N52" s="93" t="s">
        <v>305</v>
      </c>
      <c r="O52" s="17"/>
      <c r="P52" s="70" t="s">
        <v>587</v>
      </c>
      <c r="Q52" s="72">
        <v>45259</v>
      </c>
    </row>
    <row r="53" spans="1:17" ht="15.75" customHeight="1">
      <c r="A53" s="33">
        <v>45248</v>
      </c>
      <c r="B53" s="33" t="str">
        <f>quitarAcentos(UPPER(CONCATENATE(caracterDer(LEFT(SUBSTITUTE(F53," ",""),3),3,"*"),caracterDer(LEFT(SUBSTITUTE(E53," ",""),3),3,"*"))))</f>
        <v>******</v>
      </c>
      <c r="C53" s="32" t="s">
        <v>524</v>
      </c>
      <c r="D53" s="34">
        <v>12</v>
      </c>
      <c r="E53" s="2"/>
      <c r="F53" s="44"/>
      <c r="G53" s="2"/>
      <c r="H53" s="2"/>
      <c r="I53" s="2"/>
      <c r="J53" s="36"/>
      <c r="K53" s="36"/>
      <c r="L53" s="90" t="str">
        <f t="shared" si="0"/>
        <v>NO</v>
      </c>
      <c r="M53" s="93"/>
      <c r="N53" s="93"/>
      <c r="O53" s="17"/>
    </row>
    <row r="54" spans="1:17" ht="15.75" customHeight="1">
      <c r="A54" s="33">
        <v>45248</v>
      </c>
      <c r="B54" s="33" t="str">
        <f>quitarAcentos(UPPER(CONCATENATE(caracterDer(LEFT(SUBSTITUTE(F54," ",""),3),3,"*"),caracterDer(LEFT(SUBSTITUTE(E54," ",""),3),3,"*"))))</f>
        <v>******</v>
      </c>
      <c r="C54" s="32" t="s">
        <v>524</v>
      </c>
      <c r="D54" s="34">
        <v>13</v>
      </c>
      <c r="E54" s="57"/>
      <c r="F54" s="57"/>
      <c r="G54" s="2"/>
      <c r="H54" s="2"/>
      <c r="I54" s="2"/>
      <c r="J54" s="36"/>
      <c r="K54" s="36"/>
      <c r="L54" s="90" t="str">
        <f t="shared" si="0"/>
        <v>NO</v>
      </c>
      <c r="M54" s="93"/>
      <c r="N54" s="93"/>
      <c r="O54" s="17"/>
    </row>
    <row r="55" spans="1:17" ht="15.75" customHeight="1">
      <c r="A55" s="33">
        <v>45248</v>
      </c>
      <c r="B55" s="33" t="str">
        <f>quitarAcentos(UPPER(CONCATENATE(caracterDer(LEFT(SUBSTITUTE(F55," ",""),3),3,"*"),caracterDer(LEFT(SUBSTITUTE(E55," ",""),3),3,"*"))))</f>
        <v>******</v>
      </c>
      <c r="C55" s="32" t="s">
        <v>524</v>
      </c>
      <c r="D55" s="34">
        <v>14</v>
      </c>
      <c r="E55" s="2"/>
      <c r="F55" s="44"/>
      <c r="G55" s="2"/>
      <c r="H55" s="2"/>
      <c r="I55" s="2"/>
      <c r="J55" s="36"/>
      <c r="K55" s="36"/>
      <c r="L55" s="90" t="str">
        <f t="shared" si="0"/>
        <v>NO</v>
      </c>
      <c r="M55" s="93"/>
      <c r="N55" s="93"/>
      <c r="O55" s="17"/>
    </row>
    <row r="56" spans="1:17" ht="15.75" customHeight="1">
      <c r="A56" s="33">
        <v>45248</v>
      </c>
      <c r="B56" s="33" t="str">
        <f>quitarAcentos(UPPER(CONCATENATE(caracterDer(LEFT(SUBSTITUTE(F56," ",""),3),3,"*"),caracterDer(LEFT(SUBSTITUTE(E56," ",""),3),3,"*"))))</f>
        <v>******</v>
      </c>
      <c r="C56" s="32" t="s">
        <v>524</v>
      </c>
      <c r="D56" s="34">
        <v>15</v>
      </c>
      <c r="E56" s="2"/>
      <c r="F56" s="44"/>
      <c r="G56" s="2"/>
      <c r="H56" s="2"/>
      <c r="I56" s="2"/>
      <c r="J56" s="36"/>
      <c r="K56" s="36"/>
      <c r="L56" s="90" t="str">
        <f t="shared" si="0"/>
        <v>NO</v>
      </c>
      <c r="M56" s="93"/>
      <c r="N56" s="93"/>
      <c r="O56" s="17"/>
    </row>
    <row r="57" spans="1:17" ht="15.75" customHeight="1">
      <c r="A57" s="33">
        <v>45248</v>
      </c>
      <c r="B57" s="33" t="str">
        <f>quitarAcentos(UPPER(CONCATENATE(caracterDer(LEFT(SUBSTITUTE(F57," ",""),3),3,"*"),caracterDer(LEFT(SUBSTITUTE(E57," ",""),3),3,"*"))))</f>
        <v>******</v>
      </c>
      <c r="C57" s="32" t="s">
        <v>524</v>
      </c>
      <c r="D57" s="34">
        <v>16</v>
      </c>
      <c r="E57" s="2"/>
      <c r="F57" s="44"/>
      <c r="G57" s="2"/>
      <c r="H57" s="2"/>
      <c r="I57" s="2"/>
      <c r="J57" s="36"/>
      <c r="K57" s="36"/>
      <c r="L57" s="90" t="str">
        <f t="shared" si="0"/>
        <v>NO</v>
      </c>
      <c r="M57" s="93"/>
      <c r="N57" s="93"/>
      <c r="O57" s="17"/>
    </row>
    <row r="58" spans="1:17" ht="15.75" customHeight="1">
      <c r="A58" s="33">
        <v>45248</v>
      </c>
      <c r="B58" s="33" t="str">
        <f>quitarAcentos(UPPER(CONCATENATE(caracterDer(LEFT(SUBSTITUTE(F58," ",""),3),3,"*"),caracterDer(LEFT(SUBSTITUTE(E58," ",""),3),3,"*"))))</f>
        <v>******</v>
      </c>
      <c r="C58" s="32" t="s">
        <v>524</v>
      </c>
      <c r="D58" s="34">
        <v>17</v>
      </c>
      <c r="E58" s="2"/>
      <c r="F58" s="44"/>
      <c r="G58" s="2"/>
      <c r="H58" s="2"/>
      <c r="I58" s="2"/>
      <c r="J58" s="36"/>
      <c r="K58" s="36"/>
      <c r="L58" s="90" t="str">
        <f t="shared" si="0"/>
        <v>NO</v>
      </c>
      <c r="M58" s="93"/>
      <c r="N58" s="93"/>
      <c r="O58" s="17"/>
    </row>
    <row r="59" spans="1:17" ht="15.75" customHeight="1">
      <c r="A59" s="33">
        <v>45248</v>
      </c>
      <c r="B59" s="33" t="str">
        <f>quitarAcentos(UPPER(CONCATENATE(caracterDer(LEFT(SUBSTITUTE(F59," ",""),3),3,"*"),caracterDer(LEFT(SUBSTITUTE(E59," ",""),3),3,"*"))))</f>
        <v>******</v>
      </c>
      <c r="C59" s="32" t="s">
        <v>524</v>
      </c>
      <c r="D59" s="34">
        <v>18</v>
      </c>
      <c r="E59" s="2"/>
      <c r="F59" s="44"/>
      <c r="G59" s="2"/>
      <c r="H59" s="2"/>
      <c r="I59" s="2"/>
      <c r="J59" s="36"/>
      <c r="K59" s="36"/>
      <c r="L59" s="90" t="str">
        <f t="shared" si="0"/>
        <v>NO</v>
      </c>
      <c r="M59" s="93"/>
      <c r="N59" s="93"/>
      <c r="O59" s="17"/>
    </row>
    <row r="60" spans="1:17" ht="15.75" customHeight="1">
      <c r="A60" s="33">
        <v>45248</v>
      </c>
      <c r="B60" s="33" t="str">
        <f>quitarAcentos(UPPER(CONCATENATE(caracterDer(LEFT(SUBSTITUTE(F60," ",""),3),3,"*"),caracterDer(LEFT(SUBSTITUTE(E60," ",""),3),3,"*"))))</f>
        <v>******</v>
      </c>
      <c r="C60" s="32" t="s">
        <v>524</v>
      </c>
      <c r="D60" s="34">
        <v>19</v>
      </c>
      <c r="E60" s="2"/>
      <c r="F60" s="44"/>
      <c r="G60" s="2"/>
      <c r="H60" s="2"/>
      <c r="I60" s="2"/>
      <c r="J60" s="36"/>
      <c r="K60" s="36"/>
      <c r="L60" s="90" t="str">
        <f t="shared" si="0"/>
        <v>NO</v>
      </c>
      <c r="M60" s="93"/>
      <c r="N60" s="93"/>
      <c r="O60" s="17"/>
    </row>
    <row r="61" spans="1:17" ht="15.75" customHeight="1">
      <c r="A61" s="33">
        <v>45248</v>
      </c>
      <c r="B61" s="33" t="str">
        <f>quitarAcentos(UPPER(CONCATENATE(caracterDer(LEFT(SUBSTITUTE(F61," ",""),3),3,"*"),caracterDer(LEFT(SUBSTITUTE(E61," ",""),3),3,"*"))))</f>
        <v>******</v>
      </c>
      <c r="C61" s="32" t="s">
        <v>524</v>
      </c>
      <c r="D61" s="34">
        <v>20</v>
      </c>
      <c r="E61" s="2"/>
      <c r="F61" s="44"/>
      <c r="G61" s="2"/>
      <c r="H61" s="2"/>
      <c r="I61" s="2"/>
      <c r="J61" s="36"/>
      <c r="K61" s="36"/>
      <c r="L61" s="90" t="str">
        <f t="shared" si="0"/>
        <v>NO</v>
      </c>
      <c r="M61" s="93"/>
      <c r="N61" s="93"/>
      <c r="O61" s="17"/>
    </row>
    <row r="62" spans="1:17" ht="15.75" customHeight="1">
      <c r="A62" s="33">
        <v>45248</v>
      </c>
      <c r="B62" s="33" t="str">
        <f>quitarAcentos(UPPER(CONCATENATE(caracterDer(LEFT(SUBSTITUTE(F62," ",""),3),3,"*"),caracterDer(LEFT(SUBSTITUTE(E62," ",""),3),3,"*"))))</f>
        <v>******</v>
      </c>
      <c r="C62" s="32" t="s">
        <v>524</v>
      </c>
      <c r="D62" s="34">
        <v>21</v>
      </c>
      <c r="E62" s="2"/>
      <c r="F62" s="44"/>
      <c r="G62" s="2"/>
      <c r="H62" s="2"/>
      <c r="I62" s="2"/>
      <c r="J62" s="36"/>
      <c r="K62" s="36"/>
      <c r="L62" s="90" t="str">
        <f t="shared" si="0"/>
        <v>NO</v>
      </c>
      <c r="M62" s="93"/>
      <c r="N62" s="93"/>
      <c r="O62" s="17"/>
    </row>
    <row r="63" spans="1:17" ht="15.75" customHeight="1">
      <c r="A63" s="33">
        <v>45248</v>
      </c>
      <c r="B63" s="33" t="str">
        <f>quitarAcentos(UPPER(CONCATENATE(caracterDer(LEFT(SUBSTITUTE(F63," ",""),3),3,"*"),caracterDer(LEFT(SUBSTITUTE(E63," ",""),3),3,"*"))))</f>
        <v>******</v>
      </c>
      <c r="C63" s="32" t="s">
        <v>524</v>
      </c>
      <c r="D63" s="34">
        <v>22</v>
      </c>
      <c r="E63" s="2"/>
      <c r="F63" s="44"/>
      <c r="G63" s="2"/>
      <c r="H63" s="2"/>
      <c r="I63" s="2"/>
      <c r="J63" s="36"/>
      <c r="K63" s="36"/>
      <c r="L63" s="90" t="str">
        <f t="shared" si="0"/>
        <v>NO</v>
      </c>
      <c r="M63" s="93"/>
      <c r="N63" s="93"/>
      <c r="O63" s="17"/>
    </row>
    <row r="64" spans="1:17" ht="15.75" customHeight="1">
      <c r="A64" s="33">
        <v>45248</v>
      </c>
      <c r="B64" s="33" t="str">
        <f>quitarAcentos(UPPER(CONCATENATE(caracterDer(LEFT(SUBSTITUTE(F64," ",""),3),3,"*"),caracterDer(LEFT(SUBSTITUTE(E64," ",""),3),3,"*"))))</f>
        <v>******</v>
      </c>
      <c r="C64" s="32" t="s">
        <v>524</v>
      </c>
      <c r="D64" s="34">
        <v>23</v>
      </c>
      <c r="E64" s="2"/>
      <c r="F64" s="44"/>
      <c r="G64" s="2"/>
      <c r="H64" s="2"/>
      <c r="I64" s="2"/>
      <c r="J64" s="36"/>
      <c r="K64" s="36"/>
      <c r="L64" s="90" t="str">
        <f t="shared" si="0"/>
        <v>NO</v>
      </c>
      <c r="M64" s="93"/>
      <c r="N64" s="93"/>
      <c r="O64" s="17"/>
    </row>
    <row r="65" spans="1:15" ht="15.75" customHeight="1">
      <c r="A65" s="33">
        <v>45248</v>
      </c>
      <c r="B65" s="33" t="str">
        <f>quitarAcentos(UPPER(CONCATENATE(caracterDer(LEFT(SUBSTITUTE(F65," ",""),3),3,"*"),caracterDer(LEFT(SUBSTITUTE(E65," ",""),3),3,"*"))))</f>
        <v>******</v>
      </c>
      <c r="C65" s="32" t="s">
        <v>524</v>
      </c>
      <c r="D65" s="34">
        <v>24</v>
      </c>
      <c r="E65" s="2"/>
      <c r="F65" s="44"/>
      <c r="G65" s="2"/>
      <c r="H65" s="2"/>
      <c r="I65" s="2"/>
      <c r="J65" s="36"/>
      <c r="K65" s="36"/>
      <c r="L65" s="90" t="str">
        <f t="shared" si="0"/>
        <v>NO</v>
      </c>
      <c r="M65" s="93"/>
      <c r="N65" s="93"/>
      <c r="O65" s="17"/>
    </row>
    <row r="66" spans="1:15" ht="15.75" customHeight="1">
      <c r="I66" s="61" t="s">
        <v>305</v>
      </c>
      <c r="J66" s="17">
        <f>COUNTIF(J2:J65,"KO")</f>
        <v>15</v>
      </c>
      <c r="K66" s="17">
        <f>COUNTIF(K2:K65,"KO")</f>
        <v>22</v>
      </c>
      <c r="L66" s="17"/>
      <c r="M66" s="17"/>
      <c r="N66" s="88"/>
      <c r="O66" s="17"/>
    </row>
    <row r="67" spans="1:15" ht="15.75" customHeight="1">
      <c r="I67" s="61" t="s">
        <v>77</v>
      </c>
      <c r="J67" s="17">
        <f t="shared" ref="J67:K67" si="1">COUNTIF(J2:J65,"OK")</f>
        <v>36</v>
      </c>
      <c r="K67" s="17">
        <f t="shared" si="1"/>
        <v>29</v>
      </c>
      <c r="L67" s="17">
        <f>COUNTIF(L2:L65,"SI")</f>
        <v>25</v>
      </c>
      <c r="M67" s="17"/>
      <c r="N67" s="17"/>
      <c r="O67" s="17" t="s">
        <v>341</v>
      </c>
    </row>
    <row r="68" spans="1:15" ht="15.75" customHeight="1">
      <c r="I68">
        <v>1</v>
      </c>
      <c r="J68" s="17">
        <f>COUNTIF(J2:J65,1)</f>
        <v>0</v>
      </c>
      <c r="K68" s="17"/>
      <c r="L68" s="17"/>
      <c r="M68" s="17"/>
      <c r="N68" s="17"/>
      <c r="O68" s="17"/>
    </row>
    <row r="69" spans="1:15" ht="15.75" customHeight="1">
      <c r="J69" s="17"/>
      <c r="K69" s="17"/>
      <c r="L69" s="17"/>
      <c r="M69" s="17"/>
      <c r="N69" s="17"/>
      <c r="O69" s="17"/>
    </row>
    <row r="70" spans="1:15" ht="15.75" customHeight="1">
      <c r="J70" s="17"/>
      <c r="K70" s="17"/>
      <c r="L70" s="17"/>
      <c r="M70" s="17"/>
      <c r="N70" s="17"/>
      <c r="O70" s="17"/>
    </row>
    <row r="71" spans="1:15" ht="15.75" customHeight="1">
      <c r="J71" s="17"/>
      <c r="K71" s="17"/>
      <c r="L71" s="17"/>
      <c r="M71" s="17"/>
      <c r="N71" s="17"/>
      <c r="O71" s="17"/>
    </row>
    <row r="72" spans="1:15" ht="15.75" customHeight="1">
      <c r="J72" s="17"/>
      <c r="K72" s="17"/>
      <c r="L72" s="17"/>
      <c r="M72" s="17"/>
      <c r="N72" s="17"/>
      <c r="O72" s="17"/>
    </row>
    <row r="73" spans="1:15" ht="15.75" customHeight="1">
      <c r="J73" s="17"/>
      <c r="K73" s="17"/>
      <c r="L73" s="17"/>
      <c r="M73" s="17"/>
      <c r="N73" s="17"/>
      <c r="O73" s="17"/>
    </row>
    <row r="74" spans="1:15" ht="15.75" customHeight="1">
      <c r="J74" s="17"/>
      <c r="K74" s="17"/>
      <c r="L74" s="17"/>
      <c r="M74" s="17"/>
      <c r="N74" s="17"/>
      <c r="O74" s="17"/>
    </row>
    <row r="75" spans="1:15" ht="15.75" customHeight="1">
      <c r="J75" s="17"/>
      <c r="K75" s="17"/>
      <c r="L75" s="17"/>
      <c r="M75" s="17"/>
      <c r="N75" s="17"/>
      <c r="O75" s="17"/>
    </row>
    <row r="76" spans="1:15" ht="15.75" customHeight="1">
      <c r="J76" s="17"/>
      <c r="K76" s="17"/>
      <c r="L76" s="17"/>
      <c r="M76" s="17"/>
      <c r="N76" s="17"/>
      <c r="O76" s="17"/>
    </row>
    <row r="77" spans="1:15" ht="15.75" customHeight="1">
      <c r="J77" s="17"/>
      <c r="K77" s="17"/>
      <c r="L77" s="17"/>
      <c r="M77" s="17"/>
      <c r="N77" s="17"/>
      <c r="O77" s="17"/>
    </row>
    <row r="78" spans="1:15" ht="15.75" customHeight="1">
      <c r="J78" s="17"/>
      <c r="K78" s="17"/>
      <c r="L78" s="17"/>
      <c r="M78" s="17"/>
      <c r="N78" s="17"/>
      <c r="O78" s="17"/>
    </row>
    <row r="79" spans="1:15" ht="15.75" customHeight="1">
      <c r="J79" s="17"/>
      <c r="K79" s="17"/>
      <c r="L79" s="17"/>
      <c r="M79" s="17"/>
      <c r="N79" s="17"/>
      <c r="O79" s="17"/>
    </row>
    <row r="80" spans="1:15" ht="15.75" customHeight="1">
      <c r="J80" s="17"/>
      <c r="K80" s="17"/>
      <c r="L80" s="17"/>
      <c r="M80" s="17"/>
      <c r="N80" s="17"/>
      <c r="O80" s="17"/>
    </row>
    <row r="81" spans="10:15" ht="15.75" customHeight="1">
      <c r="J81" s="17"/>
      <c r="K81" s="17"/>
      <c r="L81" s="17"/>
      <c r="M81" s="17"/>
      <c r="N81" s="17"/>
      <c r="O81" s="17"/>
    </row>
    <row r="82" spans="10:15" ht="15.75" customHeight="1">
      <c r="J82" s="17"/>
      <c r="K82" s="17"/>
      <c r="L82" s="17"/>
      <c r="M82" s="17"/>
      <c r="N82" s="17"/>
      <c r="O82" s="17"/>
    </row>
    <row r="83" spans="10:15" ht="15.75" customHeight="1">
      <c r="J83" s="17"/>
      <c r="K83" s="17"/>
      <c r="L83" s="17"/>
      <c r="M83" s="17"/>
      <c r="N83" s="17"/>
      <c r="O83" s="17"/>
    </row>
    <row r="84" spans="10:15" ht="15.75" customHeight="1">
      <c r="J84" s="17"/>
      <c r="K84" s="17"/>
      <c r="L84" s="17"/>
      <c r="M84" s="17"/>
      <c r="N84" s="17"/>
      <c r="O84" s="17"/>
    </row>
    <row r="85" spans="10:15" ht="15.75" customHeight="1">
      <c r="J85" s="17"/>
      <c r="K85" s="17"/>
      <c r="L85" s="17"/>
      <c r="M85" s="17"/>
      <c r="N85" s="17"/>
      <c r="O85" s="17"/>
    </row>
    <row r="86" spans="10:15" ht="15.75" customHeight="1">
      <c r="J86" s="17"/>
      <c r="K86" s="17"/>
      <c r="L86" s="17"/>
      <c r="M86" s="17"/>
      <c r="N86" s="17"/>
      <c r="O86" s="17"/>
    </row>
    <row r="87" spans="10:15" ht="15.75" customHeight="1">
      <c r="J87" s="17"/>
      <c r="K87" s="17"/>
      <c r="L87" s="17"/>
      <c r="M87" s="17"/>
      <c r="N87" s="17"/>
      <c r="O87" s="17"/>
    </row>
    <row r="88" spans="10:15" ht="15.75" customHeight="1">
      <c r="J88" s="17"/>
      <c r="K88" s="17"/>
      <c r="L88" s="17"/>
      <c r="M88" s="17"/>
      <c r="N88" s="17"/>
      <c r="O88" s="17"/>
    </row>
    <row r="89" spans="10:15" ht="15.75" customHeight="1">
      <c r="J89" s="17"/>
      <c r="K89" s="17"/>
      <c r="L89" s="17"/>
      <c r="M89" s="17"/>
      <c r="N89" s="17"/>
      <c r="O89" s="17"/>
    </row>
    <row r="90" spans="10:15" ht="15.75" customHeight="1">
      <c r="J90" s="17"/>
      <c r="K90" s="17"/>
      <c r="L90" s="17"/>
      <c r="M90" s="17"/>
      <c r="N90" s="17"/>
      <c r="O90" s="17"/>
    </row>
    <row r="91" spans="10:15" ht="15.75" customHeight="1">
      <c r="J91" s="17"/>
      <c r="K91" s="17"/>
      <c r="L91" s="17"/>
      <c r="M91" s="17"/>
      <c r="N91" s="17"/>
      <c r="O91" s="17"/>
    </row>
    <row r="92" spans="10:15" ht="15.75" customHeight="1">
      <c r="J92" s="17"/>
      <c r="K92" s="17"/>
      <c r="L92" s="17"/>
      <c r="M92" s="17"/>
      <c r="N92" s="17"/>
      <c r="O92" s="17"/>
    </row>
    <row r="93" spans="10:15" ht="15.75" customHeight="1">
      <c r="J93" s="17"/>
      <c r="K93" s="17"/>
      <c r="L93" s="17"/>
      <c r="M93" s="17"/>
      <c r="N93" s="17"/>
      <c r="O93" s="17"/>
    </row>
    <row r="94" spans="10:15" ht="15.75" customHeight="1">
      <c r="J94" s="17"/>
      <c r="K94" s="17"/>
      <c r="L94" s="17"/>
      <c r="M94" s="17"/>
      <c r="N94" s="17"/>
      <c r="O94" s="17"/>
    </row>
    <row r="95" spans="10:15" ht="15.75" customHeight="1">
      <c r="J95" s="17"/>
      <c r="K95" s="17"/>
      <c r="L95" s="17"/>
      <c r="M95" s="17"/>
      <c r="N95" s="17"/>
      <c r="O95" s="17"/>
    </row>
    <row r="96" spans="10:15" ht="15.75" customHeight="1">
      <c r="J96" s="17"/>
      <c r="K96" s="17"/>
      <c r="L96" s="17"/>
      <c r="M96" s="17"/>
      <c r="N96" s="17"/>
      <c r="O96" s="17"/>
    </row>
    <row r="97" spans="10:15" ht="15.75" customHeight="1">
      <c r="J97" s="17"/>
      <c r="K97" s="17"/>
      <c r="L97" s="17"/>
      <c r="M97" s="17"/>
      <c r="N97" s="17"/>
      <c r="O97" s="17"/>
    </row>
    <row r="98" spans="10:15" ht="15.75" customHeight="1">
      <c r="J98" s="17"/>
      <c r="K98" s="17"/>
      <c r="L98" s="17"/>
      <c r="M98" s="17"/>
      <c r="N98" s="17"/>
      <c r="O98" s="17"/>
    </row>
    <row r="99" spans="10:15" ht="15.75" customHeight="1">
      <c r="J99" s="17"/>
      <c r="K99" s="17"/>
      <c r="L99" s="17"/>
      <c r="M99" s="17"/>
      <c r="N99" s="17"/>
      <c r="O99" s="17"/>
    </row>
    <row r="100" spans="10:15" ht="15.75" customHeight="1">
      <c r="J100" s="17"/>
      <c r="K100" s="17"/>
      <c r="L100" s="17"/>
      <c r="M100" s="17"/>
      <c r="N100" s="17"/>
      <c r="O100" s="17"/>
    </row>
    <row r="101" spans="10:15" ht="15.75" customHeight="1">
      <c r="J101" s="17"/>
      <c r="K101" s="17"/>
      <c r="L101" s="17"/>
      <c r="M101" s="17"/>
      <c r="N101" s="17"/>
      <c r="O101" s="17"/>
    </row>
    <row r="102" spans="10:15" ht="15.75" customHeight="1">
      <c r="J102" s="17"/>
      <c r="K102" s="17"/>
      <c r="L102" s="17"/>
      <c r="M102" s="17"/>
      <c r="N102" s="17"/>
      <c r="O102" s="17"/>
    </row>
    <row r="103" spans="10:15" ht="15.75" customHeight="1">
      <c r="J103" s="17"/>
      <c r="K103" s="17"/>
      <c r="L103" s="17"/>
      <c r="M103" s="17"/>
      <c r="N103" s="17"/>
      <c r="O103" s="17"/>
    </row>
    <row r="104" spans="10:15" ht="15.75" customHeight="1">
      <c r="J104" s="17"/>
      <c r="K104" s="17"/>
      <c r="L104" s="17"/>
      <c r="M104" s="17"/>
      <c r="N104" s="17"/>
      <c r="O104" s="17"/>
    </row>
    <row r="105" spans="10:15" ht="15.75" customHeight="1">
      <c r="J105" s="17"/>
      <c r="K105" s="17"/>
      <c r="L105" s="17"/>
      <c r="M105" s="17"/>
      <c r="N105" s="17"/>
      <c r="O105" s="17"/>
    </row>
    <row r="106" spans="10:15" ht="15.75" customHeight="1">
      <c r="J106" s="17"/>
      <c r="K106" s="17"/>
      <c r="L106" s="17"/>
      <c r="M106" s="17"/>
      <c r="N106" s="17"/>
      <c r="O106" s="17"/>
    </row>
    <row r="107" spans="10:15" ht="15.75" customHeight="1">
      <c r="J107" s="17"/>
      <c r="K107" s="17"/>
      <c r="L107" s="17"/>
      <c r="M107" s="17"/>
      <c r="N107" s="17"/>
      <c r="O107" s="17"/>
    </row>
    <row r="108" spans="10:15" ht="15.75" customHeight="1">
      <c r="J108" s="17"/>
      <c r="K108" s="17"/>
      <c r="L108" s="17"/>
      <c r="M108" s="17"/>
      <c r="N108" s="17"/>
      <c r="O108" s="17"/>
    </row>
    <row r="109" spans="10:15" ht="15.75" customHeight="1">
      <c r="J109" s="17"/>
      <c r="K109" s="17"/>
      <c r="L109" s="17"/>
      <c r="M109" s="17"/>
      <c r="N109" s="17"/>
      <c r="O109" s="17"/>
    </row>
    <row r="110" spans="10:15" ht="15.75" customHeight="1">
      <c r="J110" s="17"/>
      <c r="K110" s="17"/>
      <c r="L110" s="17"/>
      <c r="M110" s="17"/>
      <c r="N110" s="17"/>
      <c r="O110" s="17"/>
    </row>
    <row r="111" spans="10:15" ht="15.75" customHeight="1">
      <c r="J111" s="17"/>
      <c r="K111" s="17"/>
      <c r="L111" s="17"/>
      <c r="M111" s="17"/>
      <c r="N111" s="17"/>
      <c r="O111" s="17"/>
    </row>
    <row r="112" spans="10:15" ht="15.75" customHeight="1">
      <c r="J112" s="17"/>
      <c r="K112" s="17"/>
      <c r="L112" s="17"/>
      <c r="M112" s="17"/>
      <c r="N112" s="17"/>
      <c r="O112" s="17"/>
    </row>
    <row r="113" spans="10:15" ht="15.75" customHeight="1">
      <c r="J113" s="17"/>
      <c r="K113" s="17"/>
      <c r="L113" s="17"/>
      <c r="M113" s="17"/>
      <c r="N113" s="17"/>
      <c r="O113" s="17"/>
    </row>
    <row r="114" spans="10:15" ht="15.75" customHeight="1">
      <c r="J114" s="17"/>
      <c r="K114" s="17"/>
      <c r="L114" s="17"/>
      <c r="M114" s="17"/>
      <c r="N114" s="17"/>
      <c r="O114" s="17"/>
    </row>
    <row r="115" spans="10:15" ht="15.75" customHeight="1">
      <c r="J115" s="17"/>
      <c r="K115" s="17"/>
      <c r="L115" s="17"/>
      <c r="M115" s="17"/>
      <c r="N115" s="17"/>
      <c r="O115" s="17"/>
    </row>
    <row r="116" spans="10:15" ht="15.75" customHeight="1">
      <c r="J116" s="17"/>
      <c r="K116" s="17"/>
      <c r="L116" s="17"/>
      <c r="M116" s="17"/>
      <c r="N116" s="17"/>
      <c r="O116" s="17"/>
    </row>
    <row r="117" spans="10:15" ht="15.75" customHeight="1">
      <c r="J117" s="17"/>
      <c r="K117" s="17"/>
      <c r="L117" s="17"/>
      <c r="M117" s="17"/>
      <c r="N117" s="17"/>
      <c r="O117" s="17"/>
    </row>
    <row r="118" spans="10:15" ht="15.75" customHeight="1">
      <c r="J118" s="17"/>
      <c r="K118" s="17"/>
      <c r="L118" s="17"/>
      <c r="M118" s="17"/>
      <c r="N118" s="17"/>
      <c r="O118" s="17"/>
    </row>
    <row r="119" spans="10:15" ht="15.75" customHeight="1">
      <c r="J119" s="17"/>
      <c r="K119" s="17"/>
      <c r="L119" s="17"/>
      <c r="M119" s="17"/>
      <c r="N119" s="17"/>
      <c r="O119" s="17"/>
    </row>
    <row r="120" spans="10:15" ht="15.75" customHeight="1">
      <c r="J120" s="17"/>
      <c r="K120" s="17"/>
      <c r="L120" s="17"/>
      <c r="M120" s="17"/>
      <c r="N120" s="17"/>
      <c r="O120" s="17"/>
    </row>
    <row r="121" spans="10:15" ht="15.75" customHeight="1">
      <c r="J121" s="17"/>
      <c r="K121" s="17"/>
      <c r="L121" s="17"/>
      <c r="M121" s="17"/>
      <c r="N121" s="17"/>
      <c r="O121" s="17"/>
    </row>
    <row r="122" spans="10:15" ht="15.75" customHeight="1">
      <c r="J122" s="17"/>
      <c r="K122" s="17"/>
      <c r="L122" s="17"/>
      <c r="M122" s="17"/>
      <c r="N122" s="17"/>
      <c r="O122" s="17"/>
    </row>
    <row r="123" spans="10:15" ht="15.75" customHeight="1">
      <c r="J123" s="17"/>
      <c r="K123" s="17"/>
      <c r="L123" s="17"/>
      <c r="M123" s="17"/>
      <c r="N123" s="17"/>
      <c r="O123" s="17"/>
    </row>
    <row r="124" spans="10:15" ht="15.75" customHeight="1">
      <c r="J124" s="17"/>
      <c r="K124" s="17"/>
      <c r="L124" s="17"/>
      <c r="M124" s="17"/>
      <c r="N124" s="17"/>
      <c r="O124" s="17"/>
    </row>
    <row r="125" spans="10:15" ht="15.75" customHeight="1">
      <c r="J125" s="17"/>
      <c r="K125" s="17"/>
      <c r="L125" s="17"/>
      <c r="M125" s="17"/>
      <c r="N125" s="17"/>
      <c r="O125" s="17"/>
    </row>
    <row r="126" spans="10:15" ht="15.75" customHeight="1">
      <c r="J126" s="17"/>
      <c r="K126" s="17"/>
      <c r="L126" s="17"/>
      <c r="M126" s="17"/>
      <c r="N126" s="17"/>
      <c r="O126" s="17"/>
    </row>
    <row r="127" spans="10:15" ht="15.75" customHeight="1">
      <c r="J127" s="17"/>
      <c r="K127" s="17"/>
      <c r="L127" s="17"/>
      <c r="M127" s="17"/>
      <c r="N127" s="17"/>
      <c r="O127" s="17"/>
    </row>
    <row r="128" spans="10:15" ht="15.75" customHeight="1">
      <c r="J128" s="17"/>
      <c r="K128" s="17"/>
      <c r="L128" s="17"/>
      <c r="M128" s="17"/>
      <c r="N128" s="17"/>
      <c r="O128" s="17"/>
    </row>
    <row r="129" spans="10:15" ht="15.75" customHeight="1">
      <c r="J129" s="17"/>
      <c r="K129" s="17"/>
      <c r="L129" s="17"/>
      <c r="M129" s="17"/>
      <c r="N129" s="17"/>
      <c r="O129" s="17"/>
    </row>
    <row r="130" spans="10:15" ht="15.75" customHeight="1">
      <c r="J130" s="17"/>
      <c r="K130" s="17"/>
      <c r="L130" s="17"/>
      <c r="M130" s="17"/>
      <c r="N130" s="17"/>
      <c r="O130" s="17"/>
    </row>
    <row r="131" spans="10:15" ht="15.75" customHeight="1">
      <c r="J131" s="17"/>
      <c r="K131" s="17"/>
      <c r="L131" s="17"/>
      <c r="M131" s="17"/>
      <c r="N131" s="17"/>
      <c r="O131" s="17"/>
    </row>
    <row r="132" spans="10:15" ht="15.75" customHeight="1">
      <c r="J132" s="17"/>
      <c r="K132" s="17"/>
      <c r="L132" s="17"/>
      <c r="M132" s="17"/>
      <c r="N132" s="17"/>
      <c r="O132" s="17"/>
    </row>
    <row r="133" spans="10:15" ht="15.75" customHeight="1">
      <c r="J133" s="17"/>
      <c r="K133" s="17"/>
      <c r="L133" s="17"/>
      <c r="M133" s="17"/>
      <c r="N133" s="17"/>
      <c r="O133" s="17"/>
    </row>
    <row r="134" spans="10:15" ht="15.75" customHeight="1">
      <c r="J134" s="17"/>
      <c r="K134" s="17"/>
      <c r="L134" s="17"/>
      <c r="M134" s="17"/>
      <c r="N134" s="17"/>
      <c r="O134" s="17"/>
    </row>
    <row r="135" spans="10:15" ht="15.75" customHeight="1">
      <c r="J135" s="17"/>
      <c r="K135" s="17"/>
      <c r="L135" s="17"/>
      <c r="M135" s="17"/>
      <c r="N135" s="17"/>
      <c r="O135" s="17"/>
    </row>
    <row r="136" spans="10:15" ht="15.75" customHeight="1">
      <c r="J136" s="17"/>
      <c r="K136" s="17"/>
      <c r="L136" s="17"/>
      <c r="M136" s="17"/>
      <c r="N136" s="17"/>
      <c r="O136" s="17"/>
    </row>
    <row r="137" spans="10:15" ht="15.75" customHeight="1">
      <c r="J137" s="17"/>
      <c r="K137" s="17"/>
      <c r="L137" s="17"/>
      <c r="M137" s="17"/>
      <c r="N137" s="17"/>
      <c r="O137" s="17"/>
    </row>
    <row r="138" spans="10:15" ht="15.75" customHeight="1">
      <c r="J138" s="17"/>
      <c r="K138" s="17"/>
      <c r="L138" s="17"/>
      <c r="M138" s="17"/>
      <c r="N138" s="17"/>
      <c r="O138" s="17"/>
    </row>
    <row r="139" spans="10:15" ht="15.75" customHeight="1">
      <c r="J139" s="17"/>
      <c r="K139" s="17"/>
      <c r="L139" s="17"/>
      <c r="M139" s="17"/>
      <c r="N139" s="17"/>
      <c r="O139" s="17"/>
    </row>
    <row r="140" spans="10:15" ht="15.75" customHeight="1">
      <c r="J140" s="17"/>
      <c r="K140" s="17"/>
      <c r="L140" s="17"/>
      <c r="M140" s="17"/>
      <c r="N140" s="17"/>
      <c r="O140" s="17"/>
    </row>
    <row r="141" spans="10:15" ht="15.75" customHeight="1">
      <c r="J141" s="17"/>
      <c r="K141" s="17"/>
      <c r="L141" s="17"/>
      <c r="M141" s="17"/>
      <c r="N141" s="17"/>
      <c r="O141" s="17"/>
    </row>
    <row r="142" spans="10:15" ht="15.75" customHeight="1">
      <c r="J142" s="17"/>
      <c r="K142" s="17"/>
      <c r="L142" s="17"/>
      <c r="M142" s="17"/>
      <c r="N142" s="17"/>
      <c r="O142" s="17"/>
    </row>
    <row r="143" spans="10:15" ht="15.75" customHeight="1">
      <c r="J143" s="17"/>
      <c r="K143" s="17"/>
      <c r="L143" s="17"/>
      <c r="M143" s="17"/>
      <c r="N143" s="17"/>
      <c r="O143" s="17"/>
    </row>
    <row r="144" spans="10:15" ht="15.75" customHeight="1">
      <c r="J144" s="17"/>
      <c r="K144" s="17"/>
      <c r="L144" s="17"/>
      <c r="M144" s="17"/>
      <c r="N144" s="17"/>
      <c r="O144" s="17"/>
    </row>
    <row r="145" spans="10:15" ht="15.75" customHeight="1">
      <c r="J145" s="17"/>
      <c r="K145" s="17"/>
      <c r="L145" s="17"/>
      <c r="M145" s="17"/>
      <c r="N145" s="17"/>
      <c r="O145" s="17"/>
    </row>
    <row r="146" spans="10:15" ht="15.75" customHeight="1">
      <c r="J146" s="17"/>
      <c r="K146" s="17"/>
      <c r="L146" s="17"/>
      <c r="M146" s="17"/>
      <c r="N146" s="17"/>
      <c r="O146" s="17"/>
    </row>
    <row r="147" spans="10:15" ht="15.75" customHeight="1">
      <c r="J147" s="17"/>
      <c r="K147" s="17"/>
      <c r="L147" s="17"/>
      <c r="M147" s="17"/>
      <c r="N147" s="17"/>
      <c r="O147" s="17"/>
    </row>
    <row r="148" spans="10:15" ht="15.75" customHeight="1">
      <c r="J148" s="17"/>
      <c r="K148" s="17"/>
      <c r="L148" s="17"/>
      <c r="M148" s="17"/>
      <c r="N148" s="17"/>
      <c r="O148" s="17"/>
    </row>
    <row r="149" spans="10:15" ht="15.75" customHeight="1">
      <c r="J149" s="17"/>
      <c r="K149" s="17"/>
      <c r="L149" s="17"/>
      <c r="M149" s="17"/>
      <c r="N149" s="17"/>
      <c r="O149" s="17"/>
    </row>
    <row r="150" spans="10:15" ht="15.75" customHeight="1">
      <c r="J150" s="17"/>
      <c r="K150" s="17"/>
      <c r="L150" s="17"/>
      <c r="M150" s="17"/>
      <c r="N150" s="17"/>
      <c r="O150" s="17"/>
    </row>
    <row r="151" spans="10:15" ht="15.75" customHeight="1">
      <c r="J151" s="17"/>
      <c r="K151" s="17"/>
      <c r="L151" s="17"/>
      <c r="M151" s="17"/>
      <c r="N151" s="17"/>
      <c r="O151" s="17"/>
    </row>
    <row r="152" spans="10:15" ht="15.75" customHeight="1">
      <c r="J152" s="17"/>
      <c r="K152" s="17"/>
      <c r="L152" s="17"/>
      <c r="M152" s="17"/>
      <c r="N152" s="17"/>
      <c r="O152" s="17"/>
    </row>
    <row r="153" spans="10:15" ht="15.75" customHeight="1">
      <c r="J153" s="17"/>
      <c r="K153" s="17"/>
      <c r="L153" s="17"/>
      <c r="M153" s="17"/>
      <c r="N153" s="17"/>
      <c r="O153" s="17"/>
    </row>
    <row r="154" spans="10:15" ht="15.75" customHeight="1">
      <c r="J154" s="17"/>
      <c r="K154" s="17"/>
      <c r="L154" s="17"/>
      <c r="M154" s="17"/>
      <c r="N154" s="17"/>
      <c r="O154" s="17"/>
    </row>
    <row r="155" spans="10:15" ht="15.75" customHeight="1">
      <c r="J155" s="17"/>
      <c r="K155" s="17"/>
      <c r="L155" s="17"/>
      <c r="M155" s="17"/>
      <c r="N155" s="17"/>
      <c r="O155" s="17"/>
    </row>
    <row r="156" spans="10:15" ht="15.75" customHeight="1">
      <c r="J156" s="17"/>
      <c r="K156" s="17"/>
      <c r="L156" s="17"/>
      <c r="M156" s="17"/>
      <c r="N156" s="17"/>
      <c r="O156" s="17"/>
    </row>
    <row r="157" spans="10:15" ht="15.75" customHeight="1">
      <c r="J157" s="17"/>
      <c r="K157" s="17"/>
      <c r="L157" s="17"/>
      <c r="M157" s="17"/>
      <c r="N157" s="17"/>
      <c r="O157" s="17"/>
    </row>
    <row r="158" spans="10:15" ht="15.75" customHeight="1">
      <c r="J158" s="17"/>
      <c r="K158" s="17"/>
      <c r="L158" s="17"/>
      <c r="M158" s="17"/>
      <c r="N158" s="17"/>
      <c r="O158" s="17"/>
    </row>
    <row r="159" spans="10:15" ht="15.75" customHeight="1">
      <c r="J159" s="17"/>
      <c r="K159" s="17"/>
      <c r="L159" s="17"/>
      <c r="M159" s="17"/>
      <c r="N159" s="17"/>
      <c r="O159" s="17"/>
    </row>
    <row r="160" spans="10:15" ht="15.75" customHeight="1">
      <c r="J160" s="17"/>
      <c r="K160" s="17"/>
      <c r="L160" s="17"/>
      <c r="M160" s="17"/>
      <c r="N160" s="17"/>
      <c r="O160" s="17"/>
    </row>
    <row r="161" spans="10:15" ht="15.75" customHeight="1">
      <c r="J161" s="17"/>
      <c r="K161" s="17"/>
      <c r="L161" s="17"/>
      <c r="M161" s="17"/>
      <c r="N161" s="17"/>
      <c r="O161" s="17"/>
    </row>
    <row r="162" spans="10:15" ht="15.75" customHeight="1">
      <c r="J162" s="17"/>
      <c r="K162" s="17"/>
      <c r="L162" s="17"/>
      <c r="M162" s="17"/>
      <c r="N162" s="17"/>
      <c r="O162" s="17"/>
    </row>
    <row r="163" spans="10:15" ht="15.75" customHeight="1">
      <c r="J163" s="17"/>
      <c r="K163" s="17"/>
      <c r="L163" s="17"/>
      <c r="M163" s="17"/>
      <c r="N163" s="17"/>
      <c r="O163" s="17"/>
    </row>
    <row r="164" spans="10:15" ht="15.75" customHeight="1">
      <c r="J164" s="17"/>
      <c r="K164" s="17"/>
      <c r="L164" s="17"/>
      <c r="M164" s="17"/>
      <c r="N164" s="17"/>
      <c r="O164" s="17"/>
    </row>
    <row r="165" spans="10:15" ht="15.75" customHeight="1">
      <c r="J165" s="17"/>
      <c r="K165" s="17"/>
      <c r="L165" s="17"/>
      <c r="M165" s="17"/>
      <c r="N165" s="17"/>
      <c r="O165" s="17"/>
    </row>
    <row r="166" spans="10:15" ht="15.75" customHeight="1">
      <c r="J166" s="17"/>
      <c r="K166" s="17"/>
      <c r="L166" s="17"/>
      <c r="M166" s="17"/>
      <c r="N166" s="17"/>
      <c r="O166" s="17"/>
    </row>
    <row r="167" spans="10:15" ht="15.75" customHeight="1">
      <c r="J167" s="17"/>
      <c r="K167" s="17"/>
      <c r="L167" s="17"/>
      <c r="M167" s="17"/>
      <c r="N167" s="17"/>
      <c r="O167" s="17"/>
    </row>
    <row r="168" spans="10:15" ht="15.75" customHeight="1">
      <c r="J168" s="17"/>
      <c r="K168" s="17"/>
      <c r="L168" s="17"/>
      <c r="M168" s="17"/>
      <c r="N168" s="17"/>
      <c r="O168" s="17"/>
    </row>
    <row r="169" spans="10:15" ht="15.75" customHeight="1">
      <c r="J169" s="17"/>
      <c r="K169" s="17"/>
      <c r="L169" s="17"/>
      <c r="M169" s="17"/>
      <c r="N169" s="17"/>
      <c r="O169" s="17"/>
    </row>
    <row r="170" spans="10:15" ht="15.75" customHeight="1">
      <c r="J170" s="17"/>
      <c r="K170" s="17"/>
      <c r="L170" s="17"/>
      <c r="M170" s="17"/>
      <c r="N170" s="17"/>
      <c r="O170" s="17"/>
    </row>
    <row r="171" spans="10:15" ht="15.75" customHeight="1">
      <c r="J171" s="17"/>
      <c r="K171" s="17"/>
      <c r="L171" s="17"/>
      <c r="M171" s="17"/>
      <c r="N171" s="17"/>
      <c r="O171" s="17"/>
    </row>
    <row r="172" spans="10:15" ht="15.75" customHeight="1">
      <c r="J172" s="17"/>
      <c r="K172" s="17"/>
      <c r="L172" s="17"/>
      <c r="M172" s="17"/>
      <c r="N172" s="17"/>
      <c r="O172" s="17"/>
    </row>
    <row r="173" spans="10:15" ht="15.75" customHeight="1">
      <c r="J173" s="17"/>
      <c r="K173" s="17"/>
      <c r="L173" s="17"/>
      <c r="M173" s="17"/>
      <c r="N173" s="17"/>
      <c r="O173" s="17"/>
    </row>
    <row r="174" spans="10:15" ht="15.75" customHeight="1">
      <c r="J174" s="17"/>
      <c r="K174" s="17"/>
      <c r="L174" s="17"/>
      <c r="M174" s="17"/>
      <c r="N174" s="17"/>
      <c r="O174" s="17"/>
    </row>
    <row r="175" spans="10:15" ht="15.75" customHeight="1">
      <c r="J175" s="17"/>
      <c r="K175" s="17"/>
      <c r="L175" s="17"/>
      <c r="M175" s="17"/>
      <c r="N175" s="17"/>
      <c r="O175" s="17"/>
    </row>
    <row r="176" spans="10:15" ht="15.75" customHeight="1">
      <c r="J176" s="17"/>
      <c r="K176" s="17"/>
      <c r="L176" s="17"/>
      <c r="M176" s="17"/>
      <c r="N176" s="17"/>
      <c r="O176" s="17"/>
    </row>
    <row r="177" spans="10:15" ht="15.75" customHeight="1">
      <c r="J177" s="17"/>
      <c r="K177" s="17"/>
      <c r="L177" s="17"/>
      <c r="M177" s="17"/>
      <c r="N177" s="17"/>
      <c r="O177" s="17"/>
    </row>
    <row r="178" spans="10:15" ht="15.75" customHeight="1">
      <c r="J178" s="17"/>
      <c r="K178" s="17"/>
      <c r="L178" s="17"/>
      <c r="M178" s="17"/>
      <c r="N178" s="17"/>
      <c r="O178" s="17"/>
    </row>
    <row r="179" spans="10:15" ht="15.75" customHeight="1">
      <c r="J179" s="17"/>
      <c r="K179" s="17"/>
      <c r="L179" s="17"/>
      <c r="M179" s="17"/>
      <c r="N179" s="17"/>
      <c r="O179" s="17"/>
    </row>
    <row r="180" spans="10:15" ht="15.75" customHeight="1">
      <c r="J180" s="17"/>
      <c r="K180" s="17"/>
      <c r="L180" s="17"/>
      <c r="M180" s="17"/>
      <c r="N180" s="17"/>
      <c r="O180" s="17"/>
    </row>
    <row r="181" spans="10:15" ht="15.75" customHeight="1">
      <c r="J181" s="17"/>
      <c r="K181" s="17"/>
      <c r="L181" s="17"/>
      <c r="M181" s="17"/>
      <c r="N181" s="17"/>
      <c r="O181" s="17"/>
    </row>
    <row r="182" spans="10:15" ht="15.75" customHeight="1">
      <c r="J182" s="17"/>
      <c r="K182" s="17"/>
      <c r="L182" s="17"/>
      <c r="M182" s="17"/>
      <c r="N182" s="17"/>
      <c r="O182" s="17"/>
    </row>
    <row r="183" spans="10:15" ht="15.75" customHeight="1">
      <c r="J183" s="17"/>
      <c r="K183" s="17"/>
      <c r="L183" s="17"/>
      <c r="M183" s="17"/>
      <c r="N183" s="17"/>
      <c r="O183" s="17"/>
    </row>
    <row r="184" spans="10:15" ht="15.75" customHeight="1">
      <c r="J184" s="17"/>
      <c r="K184" s="17"/>
      <c r="L184" s="17"/>
      <c r="M184" s="17"/>
      <c r="N184" s="17"/>
      <c r="O184" s="17"/>
    </row>
    <row r="185" spans="10:15" ht="15.75" customHeight="1">
      <c r="J185" s="17"/>
      <c r="K185" s="17"/>
      <c r="L185" s="17"/>
      <c r="M185" s="17"/>
      <c r="N185" s="17"/>
      <c r="O185" s="17"/>
    </row>
    <row r="186" spans="10:15" ht="15.75" customHeight="1">
      <c r="J186" s="17"/>
      <c r="K186" s="17"/>
      <c r="L186" s="17"/>
      <c r="M186" s="17"/>
      <c r="N186" s="17"/>
      <c r="O186" s="17"/>
    </row>
    <row r="187" spans="10:15" ht="15.75" customHeight="1">
      <c r="J187" s="17"/>
      <c r="K187" s="17"/>
      <c r="L187" s="17"/>
      <c r="M187" s="17"/>
      <c r="N187" s="17"/>
      <c r="O187" s="17"/>
    </row>
    <row r="188" spans="10:15" ht="15.75" customHeight="1">
      <c r="J188" s="17"/>
      <c r="K188" s="17"/>
      <c r="L188" s="17"/>
      <c r="M188" s="17"/>
      <c r="N188" s="17"/>
      <c r="O188" s="17"/>
    </row>
    <row r="189" spans="10:15" ht="15.75" customHeight="1">
      <c r="J189" s="17"/>
      <c r="K189" s="17"/>
      <c r="L189" s="17"/>
      <c r="M189" s="17"/>
      <c r="N189" s="17"/>
      <c r="O189" s="17"/>
    </row>
    <row r="190" spans="10:15" ht="15.75" customHeight="1">
      <c r="J190" s="17"/>
      <c r="K190" s="17"/>
      <c r="L190" s="17"/>
      <c r="M190" s="17"/>
      <c r="N190" s="17"/>
      <c r="O190" s="17"/>
    </row>
    <row r="191" spans="10:15" ht="15.75" customHeight="1">
      <c r="J191" s="17"/>
      <c r="K191" s="17"/>
      <c r="L191" s="17"/>
      <c r="M191" s="17"/>
      <c r="N191" s="17"/>
      <c r="O191" s="17"/>
    </row>
    <row r="192" spans="10:15" ht="15.75" customHeight="1">
      <c r="J192" s="17"/>
      <c r="K192" s="17"/>
      <c r="L192" s="17"/>
      <c r="M192" s="17"/>
      <c r="N192" s="17"/>
      <c r="O192" s="17"/>
    </row>
    <row r="193" spans="10:15" ht="15.75" customHeight="1">
      <c r="J193" s="17"/>
      <c r="K193" s="17"/>
      <c r="L193" s="17"/>
      <c r="M193" s="17"/>
      <c r="N193" s="17"/>
      <c r="O193" s="17"/>
    </row>
    <row r="194" spans="10:15" ht="15.75" customHeight="1">
      <c r="J194" s="17"/>
      <c r="K194" s="17"/>
      <c r="L194" s="17"/>
      <c r="M194" s="17"/>
      <c r="N194" s="17"/>
      <c r="O194" s="17"/>
    </row>
    <row r="195" spans="10:15" ht="15.75" customHeight="1">
      <c r="J195" s="17"/>
      <c r="K195" s="17"/>
      <c r="L195" s="17"/>
      <c r="M195" s="17"/>
      <c r="N195" s="17"/>
      <c r="O195" s="17"/>
    </row>
    <row r="196" spans="10:15" ht="15.75" customHeight="1">
      <c r="J196" s="17"/>
      <c r="K196" s="17"/>
      <c r="L196" s="17"/>
      <c r="M196" s="17"/>
      <c r="N196" s="17"/>
      <c r="O196" s="17"/>
    </row>
    <row r="197" spans="10:15" ht="15.75" customHeight="1">
      <c r="J197" s="17"/>
      <c r="K197" s="17"/>
      <c r="L197" s="17"/>
      <c r="M197" s="17"/>
      <c r="N197" s="17"/>
      <c r="O197" s="17"/>
    </row>
    <row r="198" spans="10:15" ht="15.75" customHeight="1">
      <c r="J198" s="17"/>
      <c r="K198" s="17"/>
      <c r="L198" s="17"/>
      <c r="M198" s="17"/>
      <c r="N198" s="17"/>
      <c r="O198" s="17"/>
    </row>
    <row r="199" spans="10:15" ht="15.75" customHeight="1">
      <c r="J199" s="17"/>
      <c r="K199" s="17"/>
      <c r="L199" s="17"/>
      <c r="M199" s="17"/>
      <c r="N199" s="17"/>
      <c r="O199" s="17"/>
    </row>
    <row r="200" spans="10:15" ht="15.75" customHeight="1">
      <c r="J200" s="17"/>
      <c r="K200" s="17"/>
      <c r="L200" s="17"/>
      <c r="M200" s="17"/>
      <c r="N200" s="17"/>
      <c r="O200" s="17"/>
    </row>
    <row r="201" spans="10:15" ht="15.75" customHeight="1">
      <c r="J201" s="17"/>
      <c r="K201" s="17"/>
      <c r="L201" s="17"/>
      <c r="M201" s="17"/>
      <c r="N201" s="17"/>
      <c r="O201" s="17"/>
    </row>
    <row r="202" spans="10:15" ht="15.75" customHeight="1">
      <c r="J202" s="17"/>
      <c r="K202" s="17"/>
      <c r="L202" s="17"/>
      <c r="M202" s="17"/>
      <c r="N202" s="17"/>
      <c r="O202" s="17"/>
    </row>
    <row r="203" spans="10:15" ht="15.75" customHeight="1">
      <c r="J203" s="17"/>
      <c r="K203" s="17"/>
      <c r="L203" s="17"/>
      <c r="M203" s="17"/>
      <c r="N203" s="17"/>
      <c r="O203" s="17"/>
    </row>
    <row r="204" spans="10:15" ht="15.75" customHeight="1">
      <c r="J204" s="17"/>
      <c r="K204" s="17"/>
      <c r="L204" s="17"/>
      <c r="M204" s="17"/>
      <c r="N204" s="17"/>
      <c r="O204" s="17"/>
    </row>
    <row r="205" spans="10:15" ht="15.75" customHeight="1">
      <c r="J205" s="17"/>
      <c r="K205" s="17"/>
      <c r="L205" s="17"/>
      <c r="M205" s="17"/>
      <c r="N205" s="17"/>
      <c r="O205" s="17"/>
    </row>
    <row r="206" spans="10:15" ht="15.75" customHeight="1">
      <c r="J206" s="17"/>
      <c r="K206" s="17"/>
      <c r="L206" s="17"/>
      <c r="M206" s="17"/>
      <c r="N206" s="17"/>
      <c r="O206" s="17"/>
    </row>
    <row r="207" spans="10:15" ht="15.75" customHeight="1">
      <c r="J207" s="17"/>
      <c r="K207" s="17"/>
      <c r="L207" s="17"/>
      <c r="M207" s="17"/>
      <c r="N207" s="17"/>
      <c r="O207" s="17"/>
    </row>
    <row r="208" spans="10:15" ht="15.75" customHeight="1">
      <c r="J208" s="17"/>
      <c r="K208" s="17"/>
      <c r="L208" s="17"/>
      <c r="M208" s="17"/>
      <c r="N208" s="17"/>
      <c r="O208" s="17"/>
    </row>
    <row r="209" spans="10:15" ht="15.75" customHeight="1">
      <c r="J209" s="17"/>
      <c r="K209" s="17"/>
      <c r="L209" s="17"/>
      <c r="M209" s="17"/>
      <c r="N209" s="17"/>
      <c r="O209" s="17"/>
    </row>
    <row r="210" spans="10:15" ht="15.75" customHeight="1">
      <c r="J210" s="17"/>
      <c r="K210" s="17"/>
      <c r="L210" s="17"/>
      <c r="M210" s="17"/>
      <c r="N210" s="17"/>
      <c r="O210" s="17"/>
    </row>
    <row r="211" spans="10:15" ht="15.75" customHeight="1">
      <c r="J211" s="17"/>
      <c r="K211" s="17"/>
      <c r="L211" s="17"/>
      <c r="M211" s="17"/>
      <c r="N211" s="17"/>
      <c r="O211" s="17"/>
    </row>
    <row r="212" spans="10:15" ht="15.75" customHeight="1">
      <c r="J212" s="17"/>
      <c r="K212" s="17"/>
      <c r="L212" s="17"/>
      <c r="M212" s="17"/>
      <c r="N212" s="17"/>
      <c r="O212" s="17"/>
    </row>
    <row r="213" spans="10:15" ht="15.75" customHeight="1">
      <c r="J213" s="17"/>
      <c r="K213" s="17"/>
      <c r="L213" s="17"/>
      <c r="M213" s="17"/>
      <c r="N213" s="17"/>
      <c r="O213" s="17"/>
    </row>
    <row r="214" spans="10:15" ht="15.75" customHeight="1">
      <c r="J214" s="17"/>
      <c r="K214" s="17"/>
      <c r="L214" s="17"/>
      <c r="M214" s="17"/>
      <c r="N214" s="17"/>
      <c r="O214" s="17"/>
    </row>
    <row r="215" spans="10:15" ht="15.75" customHeight="1">
      <c r="J215" s="17"/>
      <c r="K215" s="17"/>
      <c r="L215" s="17"/>
      <c r="M215" s="17"/>
      <c r="N215" s="17"/>
      <c r="O215" s="17"/>
    </row>
    <row r="216" spans="10:15" ht="15.75" customHeight="1">
      <c r="J216" s="17"/>
      <c r="K216" s="17"/>
      <c r="L216" s="17"/>
      <c r="M216" s="17"/>
      <c r="N216" s="17"/>
      <c r="O216" s="17"/>
    </row>
    <row r="217" spans="10:15" ht="15.75" customHeight="1">
      <c r="J217" s="17"/>
      <c r="K217" s="17"/>
      <c r="L217" s="17"/>
      <c r="M217" s="17"/>
      <c r="N217" s="17"/>
      <c r="O217" s="17"/>
    </row>
    <row r="218" spans="10:15" ht="15.75" customHeight="1">
      <c r="J218" s="17"/>
      <c r="K218" s="17"/>
      <c r="L218" s="17"/>
      <c r="M218" s="17"/>
      <c r="N218" s="17"/>
      <c r="O218" s="17"/>
    </row>
    <row r="219" spans="10:15" ht="15.75" customHeight="1">
      <c r="J219" s="17"/>
      <c r="K219" s="17"/>
      <c r="L219" s="17"/>
      <c r="M219" s="17"/>
      <c r="N219" s="17"/>
      <c r="O219" s="17"/>
    </row>
    <row r="220" spans="10:15" ht="15.75" customHeight="1">
      <c r="J220" s="17"/>
      <c r="K220" s="17"/>
      <c r="L220" s="17"/>
      <c r="M220" s="17"/>
      <c r="N220" s="17"/>
      <c r="O220" s="17"/>
    </row>
    <row r="221" spans="10:15" ht="15.75" customHeight="1">
      <c r="J221" s="17"/>
      <c r="K221" s="17"/>
      <c r="L221" s="17"/>
      <c r="M221" s="17"/>
      <c r="N221" s="17"/>
      <c r="O221" s="17"/>
    </row>
    <row r="222" spans="10:15" ht="15.75" customHeight="1">
      <c r="J222" s="17"/>
      <c r="K222" s="17"/>
      <c r="L222" s="17"/>
      <c r="M222" s="17"/>
      <c r="N222" s="17"/>
      <c r="O222" s="17"/>
    </row>
    <row r="223" spans="10:15" ht="15.75" customHeight="1">
      <c r="J223" s="17"/>
      <c r="K223" s="17"/>
      <c r="L223" s="17"/>
      <c r="M223" s="17"/>
      <c r="N223" s="17"/>
      <c r="O223" s="17"/>
    </row>
    <row r="224" spans="10:15" ht="15.75" customHeight="1">
      <c r="J224" s="17"/>
      <c r="K224" s="17"/>
      <c r="L224" s="17"/>
      <c r="M224" s="17"/>
      <c r="N224" s="17"/>
      <c r="O224" s="17"/>
    </row>
    <row r="225" spans="10:15" ht="15.75" customHeight="1">
      <c r="J225" s="17"/>
      <c r="K225" s="17"/>
      <c r="L225" s="17"/>
      <c r="M225" s="17"/>
      <c r="N225" s="17"/>
      <c r="O225" s="17"/>
    </row>
    <row r="226" spans="10:15" ht="15.75" customHeight="1">
      <c r="J226" s="17"/>
      <c r="K226" s="17"/>
      <c r="L226" s="17"/>
      <c r="M226" s="17"/>
      <c r="N226" s="17"/>
      <c r="O226" s="17"/>
    </row>
    <row r="227" spans="10:15" ht="15.75" customHeight="1">
      <c r="J227" s="17"/>
      <c r="K227" s="17"/>
      <c r="L227" s="17"/>
      <c r="M227" s="17"/>
      <c r="N227" s="17"/>
      <c r="O227" s="17"/>
    </row>
    <row r="228" spans="10:15" ht="15.75" customHeight="1">
      <c r="J228" s="17"/>
      <c r="K228" s="17"/>
      <c r="L228" s="17"/>
      <c r="M228" s="17"/>
      <c r="N228" s="17"/>
      <c r="O228" s="17"/>
    </row>
    <row r="229" spans="10:15" ht="15.75" customHeight="1">
      <c r="J229" s="17"/>
      <c r="K229" s="17"/>
      <c r="L229" s="17"/>
      <c r="M229" s="17"/>
      <c r="N229" s="17"/>
      <c r="O229" s="17"/>
    </row>
    <row r="230" spans="10:15" ht="15.75" customHeight="1">
      <c r="J230" s="17"/>
      <c r="K230" s="17"/>
      <c r="L230" s="17"/>
      <c r="M230" s="17"/>
      <c r="N230" s="17"/>
      <c r="O230" s="17"/>
    </row>
    <row r="231" spans="10:15" ht="15.75" customHeight="1">
      <c r="J231" s="17"/>
      <c r="K231" s="17"/>
      <c r="L231" s="17"/>
      <c r="M231" s="17"/>
      <c r="N231" s="17"/>
      <c r="O231" s="17"/>
    </row>
    <row r="232" spans="10:15" ht="15.75" customHeight="1">
      <c r="J232" s="17"/>
      <c r="K232" s="17"/>
      <c r="L232" s="17"/>
      <c r="M232" s="17"/>
      <c r="N232" s="17"/>
      <c r="O232" s="17"/>
    </row>
    <row r="233" spans="10:15" ht="15.75" customHeight="1">
      <c r="J233" s="17"/>
      <c r="K233" s="17"/>
      <c r="L233" s="17"/>
      <c r="M233" s="17"/>
      <c r="N233" s="17"/>
      <c r="O233" s="17"/>
    </row>
    <row r="234" spans="10:15" ht="15.75" customHeight="1">
      <c r="J234" s="17"/>
      <c r="K234" s="17"/>
      <c r="L234" s="17"/>
      <c r="M234" s="17"/>
      <c r="N234" s="17"/>
      <c r="O234" s="17"/>
    </row>
    <row r="235" spans="10:15" ht="15.75" customHeight="1">
      <c r="J235" s="17"/>
      <c r="K235" s="17"/>
      <c r="L235" s="17"/>
      <c r="M235" s="17"/>
      <c r="N235" s="17"/>
      <c r="O235" s="17"/>
    </row>
    <row r="236" spans="10:15" ht="15.75" customHeight="1">
      <c r="J236" s="17"/>
      <c r="K236" s="17"/>
      <c r="L236" s="17"/>
      <c r="M236" s="17"/>
      <c r="N236" s="17"/>
      <c r="O236" s="17"/>
    </row>
    <row r="237" spans="10:15" ht="15.75" customHeight="1">
      <c r="J237" s="17"/>
      <c r="K237" s="17"/>
      <c r="L237" s="17"/>
      <c r="M237" s="17"/>
      <c r="N237" s="17"/>
      <c r="O237" s="17"/>
    </row>
    <row r="238" spans="10:15" ht="15.75" customHeight="1">
      <c r="J238" s="17"/>
      <c r="K238" s="17"/>
      <c r="L238" s="17"/>
      <c r="M238" s="17"/>
      <c r="N238" s="17"/>
      <c r="O238" s="17"/>
    </row>
    <row r="239" spans="10:15" ht="15.75" customHeight="1">
      <c r="J239" s="17"/>
      <c r="K239" s="17"/>
      <c r="L239" s="17"/>
      <c r="M239" s="17"/>
      <c r="N239" s="17"/>
      <c r="O239" s="17"/>
    </row>
    <row r="240" spans="10:15" ht="15.75" customHeight="1">
      <c r="J240" s="17"/>
      <c r="K240" s="17"/>
      <c r="L240" s="17"/>
      <c r="M240" s="17"/>
      <c r="N240" s="17"/>
      <c r="O240" s="17"/>
    </row>
    <row r="241" spans="10:15" ht="15.75" customHeight="1">
      <c r="J241" s="17"/>
      <c r="K241" s="17"/>
      <c r="L241" s="17"/>
      <c r="M241" s="17"/>
      <c r="N241" s="17"/>
      <c r="O241" s="17"/>
    </row>
    <row r="242" spans="10:15" ht="15.75" customHeight="1">
      <c r="J242" s="17"/>
      <c r="K242" s="17"/>
      <c r="L242" s="17"/>
      <c r="M242" s="17"/>
      <c r="N242" s="17"/>
      <c r="O242" s="17"/>
    </row>
    <row r="243" spans="10:15" ht="15.75" customHeight="1">
      <c r="J243" s="17"/>
      <c r="K243" s="17"/>
      <c r="L243" s="17"/>
      <c r="M243" s="17"/>
      <c r="N243" s="17"/>
      <c r="O243" s="17"/>
    </row>
    <row r="244" spans="10:15" ht="15.75" customHeight="1">
      <c r="J244" s="17"/>
      <c r="K244" s="17"/>
      <c r="L244" s="17"/>
      <c r="M244" s="17"/>
      <c r="N244" s="17"/>
      <c r="O244" s="17"/>
    </row>
    <row r="245" spans="10:15" ht="15.75" customHeight="1">
      <c r="J245" s="17"/>
      <c r="K245" s="17"/>
      <c r="L245" s="17"/>
      <c r="M245" s="17"/>
      <c r="N245" s="17"/>
      <c r="O245" s="17"/>
    </row>
    <row r="246" spans="10:15" ht="15.75" customHeight="1">
      <c r="J246" s="17"/>
      <c r="K246" s="17"/>
      <c r="L246" s="17"/>
      <c r="M246" s="17"/>
      <c r="N246" s="17"/>
      <c r="O246" s="17"/>
    </row>
    <row r="247" spans="10:15" ht="15.75" customHeight="1">
      <c r="J247" s="17"/>
      <c r="K247" s="17"/>
      <c r="L247" s="17"/>
      <c r="M247" s="17"/>
      <c r="N247" s="17"/>
      <c r="O247" s="17"/>
    </row>
    <row r="248" spans="10:15" ht="15.75" customHeight="1">
      <c r="J248" s="17"/>
      <c r="K248" s="17"/>
      <c r="L248" s="17"/>
      <c r="M248" s="17"/>
      <c r="N248" s="17"/>
      <c r="O248" s="17"/>
    </row>
    <row r="249" spans="10:15" ht="15.75" customHeight="1">
      <c r="J249" s="17"/>
      <c r="K249" s="17"/>
      <c r="L249" s="17"/>
      <c r="M249" s="17"/>
      <c r="N249" s="17"/>
      <c r="O249" s="17"/>
    </row>
    <row r="250" spans="10:15" ht="15.75" customHeight="1">
      <c r="J250" s="17"/>
      <c r="K250" s="17"/>
      <c r="L250" s="17"/>
      <c r="M250" s="17"/>
      <c r="N250" s="17"/>
      <c r="O250" s="17"/>
    </row>
    <row r="251" spans="10:15" ht="15.75" customHeight="1">
      <c r="J251" s="17"/>
      <c r="K251" s="17"/>
      <c r="L251" s="17"/>
      <c r="M251" s="17"/>
      <c r="N251" s="17"/>
      <c r="O251" s="17"/>
    </row>
    <row r="252" spans="10:15" ht="15.75" customHeight="1">
      <c r="J252" s="17"/>
      <c r="K252" s="17"/>
      <c r="L252" s="17"/>
      <c r="M252" s="17"/>
      <c r="N252" s="17"/>
      <c r="O252" s="17"/>
    </row>
    <row r="253" spans="10:15" ht="15.75" customHeight="1">
      <c r="J253" s="17"/>
      <c r="K253" s="17"/>
      <c r="L253" s="17"/>
      <c r="M253" s="17"/>
      <c r="N253" s="17"/>
      <c r="O253" s="17"/>
    </row>
    <row r="254" spans="10:15" ht="15.75" customHeight="1">
      <c r="J254" s="17"/>
      <c r="K254" s="17"/>
      <c r="L254" s="17"/>
      <c r="M254" s="17"/>
      <c r="N254" s="17"/>
      <c r="O254" s="17"/>
    </row>
    <row r="255" spans="10:15" ht="15.75" customHeight="1">
      <c r="J255" s="17"/>
      <c r="K255" s="17"/>
      <c r="L255" s="17"/>
      <c r="M255" s="17"/>
      <c r="N255" s="17"/>
      <c r="O255" s="17"/>
    </row>
    <row r="256" spans="10:15" ht="15.75" customHeight="1">
      <c r="J256" s="17"/>
      <c r="K256" s="17"/>
      <c r="L256" s="17"/>
      <c r="M256" s="17"/>
      <c r="N256" s="17"/>
      <c r="O256" s="17"/>
    </row>
    <row r="257" spans="10:15" ht="15.75" customHeight="1">
      <c r="J257" s="17"/>
      <c r="K257" s="17"/>
      <c r="L257" s="17"/>
      <c r="M257" s="17"/>
      <c r="N257" s="17"/>
      <c r="O257" s="17"/>
    </row>
    <row r="258" spans="10:15" ht="15.75" customHeight="1">
      <c r="J258" s="17"/>
      <c r="K258" s="17"/>
      <c r="L258" s="17"/>
      <c r="M258" s="17"/>
      <c r="N258" s="17"/>
      <c r="O258" s="17"/>
    </row>
    <row r="259" spans="10:15" ht="15.75" customHeight="1">
      <c r="J259" s="17"/>
      <c r="K259" s="17"/>
      <c r="L259" s="17"/>
      <c r="M259" s="17"/>
      <c r="N259" s="17"/>
      <c r="O259" s="17"/>
    </row>
    <row r="260" spans="10:15" ht="15.75" customHeight="1">
      <c r="J260" s="17"/>
      <c r="K260" s="17"/>
      <c r="L260" s="17"/>
      <c r="M260" s="17"/>
      <c r="N260" s="17"/>
      <c r="O260" s="17"/>
    </row>
    <row r="261" spans="10:15" ht="15.75" customHeight="1">
      <c r="J261" s="17"/>
      <c r="K261" s="17"/>
      <c r="L261" s="17"/>
      <c r="M261" s="17"/>
      <c r="N261" s="17"/>
      <c r="O261" s="17"/>
    </row>
    <row r="262" spans="10:15" ht="15.75" customHeight="1">
      <c r="J262" s="17"/>
      <c r="K262" s="17"/>
      <c r="L262" s="17"/>
      <c r="M262" s="17"/>
      <c r="N262" s="17"/>
      <c r="O262" s="17"/>
    </row>
    <row r="263" spans="10:15" ht="15.75" customHeight="1">
      <c r="J263" s="17"/>
      <c r="K263" s="17"/>
      <c r="L263" s="17"/>
      <c r="M263" s="17"/>
      <c r="N263" s="17"/>
      <c r="O263" s="17"/>
    </row>
    <row r="264" spans="10:15" ht="15.75" customHeight="1">
      <c r="J264" s="17"/>
      <c r="K264" s="17"/>
      <c r="L264" s="17"/>
      <c r="M264" s="17"/>
      <c r="N264" s="17"/>
      <c r="O264" s="17"/>
    </row>
    <row r="265" spans="10:15" ht="15.75" customHeight="1">
      <c r="J265" s="17"/>
      <c r="K265" s="17"/>
      <c r="L265" s="17"/>
      <c r="M265" s="17"/>
      <c r="N265" s="17"/>
      <c r="O265" s="17"/>
    </row>
    <row r="266" spans="10:15" ht="15.75" customHeight="1">
      <c r="K266" s="4"/>
      <c r="L266" s="4"/>
      <c r="M266" s="4"/>
      <c r="N266" s="17"/>
      <c r="O266" s="4"/>
    </row>
    <row r="267" spans="10:15" ht="15.75" customHeight="1">
      <c r="K267" s="4"/>
      <c r="L267" s="4"/>
      <c r="M267" s="4"/>
      <c r="N267" s="4"/>
      <c r="O267" s="4"/>
    </row>
    <row r="268" spans="10:15" ht="15.75" customHeight="1">
      <c r="K268" s="4"/>
      <c r="L268" s="4"/>
      <c r="M268" s="4"/>
      <c r="N268" s="4"/>
      <c r="O268" s="4"/>
    </row>
    <row r="269" spans="10:15" ht="15.75" customHeight="1">
      <c r="K269" s="4"/>
      <c r="L269" s="4"/>
      <c r="M269" s="4"/>
      <c r="N269" s="4"/>
      <c r="O269" s="4"/>
    </row>
    <row r="270" spans="10:15" ht="15.75" customHeight="1">
      <c r="K270" s="4"/>
      <c r="L270" s="4"/>
      <c r="M270" s="4"/>
      <c r="N270" s="4"/>
      <c r="O270" s="4"/>
    </row>
    <row r="271" spans="10:15" ht="15.75" customHeight="1">
      <c r="K271" s="4"/>
      <c r="L271" s="4"/>
      <c r="M271" s="4"/>
      <c r="N271" s="4"/>
      <c r="O271" s="4"/>
    </row>
    <row r="272" spans="10:15" ht="15.75" customHeight="1">
      <c r="K272" s="4"/>
      <c r="L272" s="4"/>
      <c r="M272" s="4"/>
      <c r="N272" s="4"/>
      <c r="O272" s="4"/>
    </row>
    <row r="273" spans="11:15" ht="15.75" customHeight="1">
      <c r="K273" s="4"/>
      <c r="L273" s="4"/>
      <c r="M273" s="4"/>
      <c r="N273" s="4"/>
      <c r="O273" s="4"/>
    </row>
    <row r="274" spans="11:15" ht="15.75" customHeight="1">
      <c r="K274" s="4"/>
      <c r="L274" s="4"/>
      <c r="M274" s="4"/>
      <c r="N274" s="4"/>
      <c r="O274" s="4"/>
    </row>
    <row r="275" spans="11:15" ht="15.75" customHeight="1">
      <c r="K275" s="4"/>
      <c r="L275" s="4"/>
      <c r="M275" s="4"/>
      <c r="N275" s="4"/>
      <c r="O275" s="4"/>
    </row>
    <row r="276" spans="11:15" ht="15.75" customHeight="1">
      <c r="K276" s="4"/>
      <c r="L276" s="4"/>
      <c r="M276" s="4"/>
      <c r="N276" s="4"/>
      <c r="O276" s="4"/>
    </row>
    <row r="277" spans="11:15" ht="15.75" customHeight="1">
      <c r="K277" s="4"/>
      <c r="L277" s="4"/>
      <c r="M277" s="4"/>
      <c r="N277" s="4"/>
      <c r="O277" s="4"/>
    </row>
    <row r="278" spans="11:15" ht="15.75" customHeight="1">
      <c r="K278" s="4"/>
      <c r="L278" s="4"/>
      <c r="M278" s="4"/>
      <c r="N278" s="4"/>
      <c r="O278" s="4"/>
    </row>
    <row r="279" spans="11:15" ht="15.75" customHeight="1">
      <c r="K279" s="4"/>
      <c r="L279" s="4"/>
      <c r="M279" s="4"/>
      <c r="N279" s="4"/>
      <c r="O279" s="4"/>
    </row>
    <row r="280" spans="11:15" ht="15.75" customHeight="1">
      <c r="K280" s="4"/>
      <c r="L280" s="4"/>
      <c r="M280" s="4"/>
      <c r="N280" s="4"/>
      <c r="O280" s="4"/>
    </row>
    <row r="281" spans="11:15" ht="15.75" customHeight="1">
      <c r="K281" s="4"/>
      <c r="L281" s="4"/>
      <c r="M281" s="4"/>
      <c r="N281" s="4"/>
      <c r="O281" s="4"/>
    </row>
    <row r="282" spans="11:15" ht="15.75" customHeight="1">
      <c r="K282" s="4"/>
      <c r="L282" s="4"/>
      <c r="M282" s="4"/>
      <c r="N282" s="4"/>
      <c r="O282" s="4"/>
    </row>
    <row r="283" spans="11:15" ht="15.75" customHeight="1">
      <c r="K283" s="4"/>
      <c r="L283" s="4"/>
      <c r="M283" s="4"/>
      <c r="N283" s="4"/>
      <c r="O283" s="4"/>
    </row>
    <row r="284" spans="11:15" ht="15.75" customHeight="1">
      <c r="K284" s="4"/>
      <c r="L284" s="4"/>
      <c r="M284" s="4"/>
      <c r="N284" s="4"/>
      <c r="O284" s="4"/>
    </row>
    <row r="285" spans="11:15" ht="15.75" customHeight="1">
      <c r="K285" s="4"/>
      <c r="L285" s="4"/>
      <c r="M285" s="4"/>
      <c r="N285" s="4"/>
      <c r="O285" s="4"/>
    </row>
    <row r="286" spans="11:15" ht="15.75" customHeight="1">
      <c r="K286" s="4"/>
      <c r="L286" s="4"/>
      <c r="M286" s="4"/>
      <c r="N286" s="4"/>
      <c r="O286" s="4"/>
    </row>
    <row r="287" spans="11:15" ht="15.75" customHeight="1">
      <c r="K287" s="4"/>
      <c r="L287" s="4"/>
      <c r="M287" s="4"/>
      <c r="N287" s="4"/>
      <c r="O287" s="4"/>
    </row>
    <row r="288" spans="11:15" ht="15.75" customHeight="1">
      <c r="K288" s="4"/>
      <c r="L288" s="4"/>
      <c r="M288" s="4"/>
      <c r="N288" s="4"/>
      <c r="O288" s="4"/>
    </row>
    <row r="289" spans="11:15" ht="15.75" customHeight="1">
      <c r="K289" s="4"/>
      <c r="L289" s="4"/>
      <c r="M289" s="4"/>
      <c r="N289" s="4"/>
      <c r="O289" s="4"/>
    </row>
    <row r="290" spans="11:15" ht="15.75" customHeight="1">
      <c r="K290" s="4"/>
      <c r="L290" s="4"/>
      <c r="M290" s="4"/>
      <c r="N290" s="4"/>
      <c r="O290" s="4"/>
    </row>
    <row r="291" spans="11:15" ht="15.75" customHeight="1">
      <c r="K291" s="4"/>
      <c r="L291" s="4"/>
      <c r="M291" s="4"/>
      <c r="N291" s="4"/>
      <c r="O291" s="4"/>
    </row>
    <row r="292" spans="11:15" ht="15.75" customHeight="1">
      <c r="K292" s="4"/>
      <c r="L292" s="4"/>
      <c r="M292" s="4"/>
      <c r="N292" s="4"/>
      <c r="O292" s="4"/>
    </row>
    <row r="293" spans="11:15" ht="15.75" customHeight="1">
      <c r="K293" s="4"/>
      <c r="L293" s="4"/>
      <c r="M293" s="4"/>
      <c r="N293" s="4"/>
      <c r="O293" s="4"/>
    </row>
    <row r="294" spans="11:15" ht="15.75" customHeight="1">
      <c r="K294" s="4"/>
      <c r="L294" s="4"/>
      <c r="M294" s="4"/>
      <c r="N294" s="4"/>
      <c r="O294" s="4"/>
    </row>
    <row r="295" spans="11:15" ht="15.75" customHeight="1">
      <c r="K295" s="4"/>
      <c r="L295" s="4"/>
      <c r="M295" s="4"/>
      <c r="N295" s="4"/>
      <c r="O295" s="4"/>
    </row>
    <row r="296" spans="11:15" ht="15.75" customHeight="1">
      <c r="K296" s="4"/>
      <c r="L296" s="4"/>
      <c r="M296" s="4"/>
      <c r="N296" s="4"/>
      <c r="O296" s="4"/>
    </row>
    <row r="297" spans="11:15" ht="15.75" customHeight="1">
      <c r="K297" s="4"/>
      <c r="L297" s="4"/>
      <c r="M297" s="4"/>
      <c r="N297" s="4"/>
      <c r="O297" s="4"/>
    </row>
    <row r="298" spans="11:15" ht="15.75" customHeight="1">
      <c r="K298" s="4"/>
      <c r="L298" s="4"/>
      <c r="M298" s="4"/>
      <c r="N298" s="4"/>
      <c r="O298" s="4"/>
    </row>
    <row r="299" spans="11:15" ht="15.75" customHeight="1">
      <c r="K299" s="4"/>
      <c r="L299" s="4"/>
      <c r="M299" s="4"/>
      <c r="N299" s="4"/>
      <c r="O299" s="4"/>
    </row>
    <row r="300" spans="11:15" ht="15.75" customHeight="1">
      <c r="K300" s="4"/>
      <c r="L300" s="4"/>
      <c r="M300" s="4"/>
      <c r="N300" s="4"/>
      <c r="O300" s="4"/>
    </row>
    <row r="301" spans="11:15" ht="15.75" customHeight="1">
      <c r="K301" s="4"/>
      <c r="L301" s="4"/>
      <c r="M301" s="4"/>
      <c r="N301" s="4"/>
      <c r="O301" s="4"/>
    </row>
    <row r="302" spans="11:15" ht="15.75" customHeight="1">
      <c r="K302" s="4"/>
      <c r="L302" s="4"/>
      <c r="M302" s="4"/>
      <c r="N302" s="4"/>
      <c r="O302" s="4"/>
    </row>
    <row r="303" spans="11:15" ht="15.75" customHeight="1">
      <c r="K303" s="4"/>
      <c r="L303" s="4"/>
      <c r="M303" s="4"/>
      <c r="N303" s="4"/>
      <c r="O303" s="4"/>
    </row>
    <row r="304" spans="11:15" ht="15.75" customHeight="1">
      <c r="K304" s="4"/>
      <c r="L304" s="4"/>
      <c r="M304" s="4"/>
      <c r="N304" s="4"/>
      <c r="O304" s="4"/>
    </row>
    <row r="305" spans="11:15" ht="15.75" customHeight="1">
      <c r="K305" s="4"/>
      <c r="L305" s="4"/>
      <c r="M305" s="4"/>
      <c r="N305" s="4"/>
      <c r="O305" s="4"/>
    </row>
    <row r="306" spans="11:15" ht="15.75" customHeight="1">
      <c r="K306" s="4"/>
      <c r="L306" s="4"/>
      <c r="M306" s="4"/>
      <c r="N306" s="4"/>
      <c r="O306" s="4"/>
    </row>
    <row r="307" spans="11:15" ht="15.75" customHeight="1">
      <c r="K307" s="4"/>
      <c r="L307" s="4"/>
      <c r="M307" s="4"/>
      <c r="N307" s="4"/>
      <c r="O307" s="4"/>
    </row>
    <row r="308" spans="11:15" ht="15.75" customHeight="1">
      <c r="K308" s="4"/>
      <c r="L308" s="4"/>
      <c r="M308" s="4"/>
      <c r="N308" s="4"/>
      <c r="O308" s="4"/>
    </row>
    <row r="309" spans="11:15" ht="15.75" customHeight="1">
      <c r="K309" s="4"/>
      <c r="L309" s="4"/>
      <c r="M309" s="4"/>
      <c r="N309" s="4"/>
      <c r="O309" s="4"/>
    </row>
    <row r="310" spans="11:15" ht="15.75" customHeight="1">
      <c r="K310" s="4"/>
      <c r="L310" s="4"/>
      <c r="M310" s="4"/>
      <c r="N310" s="4"/>
      <c r="O310" s="4"/>
    </row>
    <row r="311" spans="11:15" ht="15.75" customHeight="1">
      <c r="K311" s="4"/>
      <c r="L311" s="4"/>
      <c r="M311" s="4"/>
      <c r="N311" s="4"/>
      <c r="O311" s="4"/>
    </row>
    <row r="312" spans="11:15" ht="15.75" customHeight="1">
      <c r="K312" s="4"/>
      <c r="L312" s="4"/>
      <c r="M312" s="4"/>
      <c r="N312" s="4"/>
      <c r="O312" s="4"/>
    </row>
    <row r="313" spans="11:15" ht="15.75" customHeight="1">
      <c r="K313" s="4"/>
      <c r="L313" s="4"/>
      <c r="M313" s="4"/>
      <c r="N313" s="4"/>
      <c r="O313" s="4"/>
    </row>
    <row r="314" spans="11:15" ht="15.75" customHeight="1">
      <c r="K314" s="4"/>
      <c r="L314" s="4"/>
      <c r="M314" s="4"/>
      <c r="N314" s="4"/>
      <c r="O314" s="4"/>
    </row>
    <row r="315" spans="11:15" ht="15.75" customHeight="1">
      <c r="K315" s="4"/>
      <c r="L315" s="4"/>
      <c r="M315" s="4"/>
      <c r="N315" s="4"/>
      <c r="O315" s="4"/>
    </row>
    <row r="316" spans="11:15" ht="15.75" customHeight="1">
      <c r="K316" s="4"/>
      <c r="L316" s="4"/>
      <c r="M316" s="4"/>
      <c r="N316" s="4"/>
      <c r="O316" s="4"/>
    </row>
    <row r="317" spans="11:15" ht="15.75" customHeight="1">
      <c r="K317" s="4"/>
      <c r="L317" s="4"/>
      <c r="M317" s="4"/>
      <c r="N317" s="4"/>
      <c r="O317" s="4"/>
    </row>
    <row r="318" spans="11:15" ht="15.75" customHeight="1">
      <c r="K318" s="4"/>
      <c r="L318" s="4"/>
      <c r="M318" s="4"/>
      <c r="N318" s="4"/>
      <c r="O318" s="4"/>
    </row>
    <row r="319" spans="11:15" ht="15.75" customHeight="1">
      <c r="K319" s="4"/>
      <c r="L319" s="4"/>
      <c r="M319" s="4"/>
      <c r="N319" s="4"/>
      <c r="O319" s="4"/>
    </row>
    <row r="320" spans="11:15" ht="15.75" customHeight="1">
      <c r="K320" s="4"/>
      <c r="L320" s="4"/>
      <c r="M320" s="4"/>
      <c r="N320" s="4"/>
      <c r="O320" s="4"/>
    </row>
    <row r="321" spans="11:15" ht="15.75" customHeight="1">
      <c r="K321" s="4"/>
      <c r="L321" s="4"/>
      <c r="M321" s="4"/>
      <c r="N321" s="4"/>
      <c r="O321" s="4"/>
    </row>
    <row r="322" spans="11:15" ht="15.75" customHeight="1">
      <c r="K322" s="4"/>
      <c r="L322" s="4"/>
      <c r="M322" s="4"/>
      <c r="N322" s="4"/>
      <c r="O322" s="4"/>
    </row>
    <row r="323" spans="11:15" ht="15.75" customHeight="1">
      <c r="K323" s="4"/>
      <c r="L323" s="4"/>
      <c r="M323" s="4"/>
      <c r="N323" s="4"/>
      <c r="O323" s="4"/>
    </row>
    <row r="324" spans="11:15" ht="15.75" customHeight="1">
      <c r="K324" s="4"/>
      <c r="L324" s="4"/>
      <c r="M324" s="4"/>
      <c r="N324" s="4"/>
      <c r="O324" s="4"/>
    </row>
    <row r="325" spans="11:15" ht="15.75" customHeight="1">
      <c r="K325" s="4"/>
      <c r="L325" s="4"/>
      <c r="M325" s="4"/>
      <c r="N325" s="4"/>
      <c r="O325" s="4"/>
    </row>
    <row r="326" spans="11:15" ht="15.75" customHeight="1">
      <c r="K326" s="4"/>
      <c r="L326" s="4"/>
      <c r="M326" s="4"/>
      <c r="N326" s="4"/>
      <c r="O326" s="4"/>
    </row>
    <row r="327" spans="11:15" ht="15.75" customHeight="1">
      <c r="K327" s="4"/>
      <c r="L327" s="4"/>
      <c r="M327" s="4"/>
      <c r="N327" s="4"/>
      <c r="O327" s="4"/>
    </row>
    <row r="328" spans="11:15" ht="15.75" customHeight="1">
      <c r="K328" s="4"/>
      <c r="L328" s="4"/>
      <c r="M328" s="4"/>
      <c r="N328" s="4"/>
      <c r="O328" s="4"/>
    </row>
    <row r="329" spans="11:15" ht="15.75" customHeight="1">
      <c r="K329" s="4"/>
      <c r="L329" s="4"/>
      <c r="M329" s="4"/>
      <c r="N329" s="4"/>
      <c r="O329" s="4"/>
    </row>
    <row r="330" spans="11:15" ht="15.75" customHeight="1">
      <c r="K330" s="4"/>
      <c r="L330" s="4"/>
      <c r="M330" s="4"/>
      <c r="N330" s="4"/>
      <c r="O330" s="4"/>
    </row>
    <row r="331" spans="11:15" ht="15.75" customHeight="1">
      <c r="K331" s="4"/>
      <c r="L331" s="4"/>
      <c r="M331" s="4"/>
      <c r="N331" s="4"/>
      <c r="O331" s="4"/>
    </row>
    <row r="332" spans="11:15" ht="15.75" customHeight="1">
      <c r="K332" s="4"/>
      <c r="L332" s="4"/>
      <c r="M332" s="4"/>
      <c r="N332" s="4"/>
      <c r="O332" s="4"/>
    </row>
    <row r="333" spans="11:15" ht="15.75" customHeight="1">
      <c r="K333" s="4"/>
      <c r="L333" s="4"/>
      <c r="M333" s="4"/>
      <c r="N333" s="4"/>
      <c r="O333" s="4"/>
    </row>
    <row r="334" spans="11:15" ht="15.75" customHeight="1">
      <c r="K334" s="4"/>
      <c r="L334" s="4"/>
      <c r="M334" s="4"/>
      <c r="N334" s="4"/>
      <c r="O334" s="4"/>
    </row>
    <row r="335" spans="11:15" ht="15.75" customHeight="1">
      <c r="K335" s="4"/>
      <c r="L335" s="4"/>
      <c r="M335" s="4"/>
      <c r="N335" s="4"/>
      <c r="O335" s="4"/>
    </row>
    <row r="336" spans="11:15" ht="15.75" customHeight="1">
      <c r="K336" s="4"/>
      <c r="L336" s="4"/>
      <c r="M336" s="4"/>
      <c r="N336" s="4"/>
      <c r="O336" s="4"/>
    </row>
    <row r="337" spans="11:15" ht="15.75" customHeight="1">
      <c r="K337" s="4"/>
      <c r="L337" s="4"/>
      <c r="M337" s="4"/>
      <c r="N337" s="4"/>
      <c r="O337" s="4"/>
    </row>
    <row r="338" spans="11:15" ht="15.75" customHeight="1">
      <c r="K338" s="4"/>
      <c r="L338" s="4"/>
      <c r="M338" s="4"/>
      <c r="N338" s="4"/>
      <c r="O338" s="4"/>
    </row>
    <row r="339" spans="11:15" ht="15.75" customHeight="1">
      <c r="K339" s="4"/>
      <c r="L339" s="4"/>
      <c r="M339" s="4"/>
      <c r="N339" s="4"/>
      <c r="O339" s="4"/>
    </row>
    <row r="340" spans="11:15" ht="15.75" customHeight="1">
      <c r="K340" s="4"/>
      <c r="L340" s="4"/>
      <c r="M340" s="4"/>
      <c r="N340" s="4"/>
      <c r="O340" s="4"/>
    </row>
    <row r="341" spans="11:15" ht="15.75" customHeight="1">
      <c r="K341" s="4"/>
      <c r="L341" s="4"/>
      <c r="M341" s="4"/>
      <c r="N341" s="4"/>
      <c r="O341" s="4"/>
    </row>
    <row r="342" spans="11:15" ht="15.75" customHeight="1">
      <c r="K342" s="4"/>
      <c r="L342" s="4"/>
      <c r="M342" s="4"/>
      <c r="N342" s="4"/>
      <c r="O342" s="4"/>
    </row>
    <row r="343" spans="11:15" ht="15.75" customHeight="1">
      <c r="K343" s="4"/>
      <c r="L343" s="4"/>
      <c r="M343" s="4"/>
      <c r="N343" s="4"/>
      <c r="O343" s="4"/>
    </row>
    <row r="344" spans="11:15" ht="15.75" customHeight="1">
      <c r="K344" s="4"/>
      <c r="L344" s="4"/>
      <c r="M344" s="4"/>
      <c r="N344" s="4"/>
      <c r="O344" s="4"/>
    </row>
    <row r="345" spans="11:15" ht="15.75" customHeight="1">
      <c r="K345" s="4"/>
      <c r="L345" s="4"/>
      <c r="M345" s="4"/>
      <c r="N345" s="4"/>
      <c r="O345" s="4"/>
    </row>
    <row r="346" spans="11:15" ht="15.75" customHeight="1">
      <c r="K346" s="4"/>
      <c r="L346" s="4"/>
      <c r="M346" s="4"/>
      <c r="N346" s="4"/>
      <c r="O346" s="4"/>
    </row>
    <row r="347" spans="11:15" ht="15.75" customHeight="1">
      <c r="K347" s="4"/>
      <c r="L347" s="4"/>
      <c r="M347" s="4"/>
      <c r="N347" s="4"/>
      <c r="O347" s="4"/>
    </row>
    <row r="348" spans="11:15" ht="15.75" customHeight="1">
      <c r="K348" s="4"/>
      <c r="L348" s="4"/>
      <c r="M348" s="4"/>
      <c r="N348" s="4"/>
      <c r="O348" s="4"/>
    </row>
    <row r="349" spans="11:15" ht="15.75" customHeight="1">
      <c r="K349" s="4"/>
      <c r="L349" s="4"/>
      <c r="M349" s="4"/>
      <c r="N349" s="4"/>
      <c r="O349" s="4"/>
    </row>
    <row r="350" spans="11:15" ht="15.75" customHeight="1">
      <c r="K350" s="4"/>
      <c r="L350" s="4"/>
      <c r="M350" s="4"/>
      <c r="N350" s="4"/>
      <c r="O350" s="4"/>
    </row>
    <row r="351" spans="11:15" ht="15.75" customHeight="1">
      <c r="K351" s="4"/>
      <c r="L351" s="4"/>
      <c r="M351" s="4"/>
      <c r="N351" s="4"/>
      <c r="O351" s="4"/>
    </row>
    <row r="352" spans="11:15" ht="15.75" customHeight="1">
      <c r="K352" s="4"/>
      <c r="L352" s="4"/>
      <c r="M352" s="4"/>
      <c r="N352" s="4"/>
      <c r="O352" s="4"/>
    </row>
    <row r="353" spans="11:15" ht="15.75" customHeight="1">
      <c r="K353" s="4"/>
      <c r="L353" s="4"/>
      <c r="M353" s="4"/>
      <c r="N353" s="4"/>
      <c r="O353" s="4"/>
    </row>
    <row r="354" spans="11:15" ht="15.75" customHeight="1">
      <c r="K354" s="4"/>
      <c r="L354" s="4"/>
      <c r="M354" s="4"/>
      <c r="N354" s="4"/>
      <c r="O354" s="4"/>
    </row>
    <row r="355" spans="11:15" ht="15.75" customHeight="1">
      <c r="K355" s="4"/>
      <c r="L355" s="4"/>
      <c r="M355" s="4"/>
      <c r="N355" s="4"/>
      <c r="O355" s="4"/>
    </row>
    <row r="356" spans="11:15" ht="15.75" customHeight="1">
      <c r="K356" s="4"/>
      <c r="L356" s="4"/>
      <c r="M356" s="4"/>
      <c r="N356" s="4"/>
      <c r="O356" s="4"/>
    </row>
    <row r="357" spans="11:15" ht="15.75" customHeight="1">
      <c r="K357" s="4"/>
      <c r="L357" s="4"/>
      <c r="M357" s="4"/>
      <c r="N357" s="4"/>
      <c r="O357" s="4"/>
    </row>
    <row r="358" spans="11:15" ht="15.75" customHeight="1">
      <c r="K358" s="4"/>
      <c r="L358" s="4"/>
      <c r="M358" s="4"/>
      <c r="N358" s="4"/>
      <c r="O358" s="4"/>
    </row>
    <row r="359" spans="11:15" ht="15.75" customHeight="1">
      <c r="K359" s="4"/>
      <c r="L359" s="4"/>
      <c r="M359" s="4"/>
      <c r="N359" s="4"/>
      <c r="O359" s="4"/>
    </row>
    <row r="360" spans="11:15" ht="15.75" customHeight="1">
      <c r="K360" s="4"/>
      <c r="L360" s="4"/>
      <c r="M360" s="4"/>
      <c r="N360" s="4"/>
      <c r="O360" s="4"/>
    </row>
    <row r="361" spans="11:15" ht="15.75" customHeight="1">
      <c r="K361" s="4"/>
      <c r="L361" s="4"/>
      <c r="M361" s="4"/>
      <c r="N361" s="4"/>
      <c r="O361" s="4"/>
    </row>
    <row r="362" spans="11:15" ht="15.75" customHeight="1">
      <c r="K362" s="4"/>
      <c r="L362" s="4"/>
      <c r="M362" s="4"/>
      <c r="N362" s="4"/>
      <c r="O362" s="4"/>
    </row>
    <row r="363" spans="11:15" ht="15.75" customHeight="1">
      <c r="K363" s="4"/>
      <c r="L363" s="4"/>
      <c r="M363" s="4"/>
      <c r="N363" s="4"/>
      <c r="O363" s="4"/>
    </row>
    <row r="364" spans="11:15" ht="15.75" customHeight="1">
      <c r="K364" s="4"/>
      <c r="L364" s="4"/>
      <c r="M364" s="4"/>
      <c r="N364" s="4"/>
      <c r="O364" s="4"/>
    </row>
    <row r="365" spans="11:15" ht="15.75" customHeight="1">
      <c r="K365" s="4"/>
      <c r="L365" s="4"/>
      <c r="M365" s="4"/>
      <c r="N365" s="4"/>
      <c r="O365" s="4"/>
    </row>
    <row r="366" spans="11:15" ht="15.75" customHeight="1">
      <c r="K366" s="4"/>
      <c r="L366" s="4"/>
      <c r="M366" s="4"/>
      <c r="N366" s="4"/>
      <c r="O366" s="4"/>
    </row>
    <row r="367" spans="11:15" ht="15.75" customHeight="1">
      <c r="K367" s="4"/>
      <c r="L367" s="4"/>
      <c r="M367" s="4"/>
      <c r="N367" s="4"/>
      <c r="O367" s="4"/>
    </row>
    <row r="368" spans="11:15" ht="15.75" customHeight="1">
      <c r="K368" s="4"/>
      <c r="L368" s="4"/>
      <c r="M368" s="4"/>
      <c r="N368" s="4"/>
      <c r="O368" s="4"/>
    </row>
    <row r="369" spans="11:15" ht="15.75" customHeight="1">
      <c r="K369" s="4"/>
      <c r="L369" s="4"/>
      <c r="M369" s="4"/>
      <c r="N369" s="4"/>
      <c r="O369" s="4"/>
    </row>
    <row r="370" spans="11:15" ht="15.75" customHeight="1">
      <c r="K370" s="4"/>
      <c r="L370" s="4"/>
      <c r="M370" s="4"/>
      <c r="N370" s="4"/>
      <c r="O370" s="4"/>
    </row>
    <row r="371" spans="11:15" ht="15.75" customHeight="1">
      <c r="K371" s="4"/>
      <c r="L371" s="4"/>
      <c r="M371" s="4"/>
      <c r="N371" s="4"/>
      <c r="O371" s="4"/>
    </row>
    <row r="372" spans="11:15" ht="15.75" customHeight="1">
      <c r="K372" s="4"/>
      <c r="L372" s="4"/>
      <c r="M372" s="4"/>
      <c r="N372" s="4"/>
      <c r="O372" s="4"/>
    </row>
    <row r="373" spans="11:15" ht="15.75" customHeight="1">
      <c r="K373" s="4"/>
      <c r="L373" s="4"/>
      <c r="M373" s="4"/>
      <c r="N373" s="4"/>
      <c r="O373" s="4"/>
    </row>
    <row r="374" spans="11:15" ht="15.75" customHeight="1">
      <c r="K374" s="4"/>
      <c r="L374" s="4"/>
      <c r="M374" s="4"/>
      <c r="N374" s="4"/>
      <c r="O374" s="4"/>
    </row>
    <row r="375" spans="11:15" ht="15.75" customHeight="1">
      <c r="K375" s="4"/>
      <c r="L375" s="4"/>
      <c r="M375" s="4"/>
      <c r="N375" s="4"/>
      <c r="O375" s="4"/>
    </row>
    <row r="376" spans="11:15" ht="15.75" customHeight="1">
      <c r="K376" s="4"/>
      <c r="L376" s="4"/>
      <c r="M376" s="4"/>
      <c r="N376" s="4"/>
      <c r="O376" s="4"/>
    </row>
    <row r="377" spans="11:15" ht="15.75" customHeight="1">
      <c r="K377" s="4"/>
      <c r="L377" s="4"/>
      <c r="M377" s="4"/>
      <c r="N377" s="4"/>
      <c r="O377" s="4"/>
    </row>
    <row r="378" spans="11:15" ht="15.75" customHeight="1">
      <c r="K378" s="4"/>
      <c r="L378" s="4"/>
      <c r="M378" s="4"/>
      <c r="N378" s="4"/>
      <c r="O378" s="4"/>
    </row>
    <row r="379" spans="11:15" ht="15.75" customHeight="1">
      <c r="K379" s="4"/>
      <c r="L379" s="4"/>
      <c r="M379" s="4"/>
      <c r="N379" s="4"/>
      <c r="O379" s="4"/>
    </row>
    <row r="380" spans="11:15" ht="15.75" customHeight="1">
      <c r="K380" s="4"/>
      <c r="L380" s="4"/>
      <c r="M380" s="4"/>
      <c r="N380" s="4"/>
      <c r="O380" s="4"/>
    </row>
    <row r="381" spans="11:15" ht="15.75" customHeight="1">
      <c r="K381" s="4"/>
      <c r="L381" s="4"/>
      <c r="M381" s="4"/>
      <c r="N381" s="4"/>
      <c r="O381" s="4"/>
    </row>
    <row r="382" spans="11:15" ht="15.75" customHeight="1">
      <c r="K382" s="4"/>
      <c r="L382" s="4"/>
      <c r="M382" s="4"/>
      <c r="N382" s="4"/>
      <c r="O382" s="4"/>
    </row>
    <row r="383" spans="11:15" ht="15.75" customHeight="1">
      <c r="K383" s="4"/>
      <c r="L383" s="4"/>
      <c r="M383" s="4"/>
      <c r="N383" s="4"/>
      <c r="O383" s="4"/>
    </row>
    <row r="384" spans="11:15" ht="15.75" customHeight="1">
      <c r="K384" s="4"/>
      <c r="L384" s="4"/>
      <c r="M384" s="4"/>
      <c r="N384" s="4"/>
      <c r="O384" s="4"/>
    </row>
    <row r="385" spans="11:15" ht="15.75" customHeight="1">
      <c r="K385" s="4"/>
      <c r="L385" s="4"/>
      <c r="M385" s="4"/>
      <c r="N385" s="4"/>
      <c r="O385" s="4"/>
    </row>
    <row r="386" spans="11:15" ht="15.75" customHeight="1">
      <c r="K386" s="4"/>
      <c r="L386" s="4"/>
      <c r="M386" s="4"/>
      <c r="N386" s="4"/>
      <c r="O386" s="4"/>
    </row>
    <row r="387" spans="11:15" ht="15.75" customHeight="1">
      <c r="K387" s="4"/>
      <c r="L387" s="4"/>
      <c r="M387" s="4"/>
      <c r="N387" s="4"/>
      <c r="O387" s="4"/>
    </row>
    <row r="388" spans="11:15" ht="15.75" customHeight="1">
      <c r="K388" s="4"/>
      <c r="L388" s="4"/>
      <c r="M388" s="4"/>
      <c r="N388" s="4"/>
      <c r="O388" s="4"/>
    </row>
    <row r="389" spans="11:15" ht="15.75" customHeight="1">
      <c r="K389" s="4"/>
      <c r="L389" s="4"/>
      <c r="M389" s="4"/>
      <c r="N389" s="4"/>
      <c r="O389" s="4"/>
    </row>
    <row r="390" spans="11:15" ht="15.75" customHeight="1">
      <c r="K390" s="4"/>
      <c r="L390" s="4"/>
      <c r="M390" s="4"/>
      <c r="N390" s="4"/>
      <c r="O390" s="4"/>
    </row>
    <row r="391" spans="11:15" ht="15.75" customHeight="1">
      <c r="K391" s="4"/>
      <c r="L391" s="4"/>
      <c r="M391" s="4"/>
      <c r="N391" s="4"/>
      <c r="O391" s="4"/>
    </row>
    <row r="392" spans="11:15" ht="15.75" customHeight="1">
      <c r="K392" s="4"/>
      <c r="L392" s="4"/>
      <c r="M392" s="4"/>
      <c r="N392" s="4"/>
      <c r="O392" s="4"/>
    </row>
    <row r="393" spans="11:15" ht="15.75" customHeight="1">
      <c r="K393" s="4"/>
      <c r="L393" s="4"/>
      <c r="M393" s="4"/>
      <c r="N393" s="4"/>
      <c r="O393" s="4"/>
    </row>
    <row r="394" spans="11:15" ht="15.75" customHeight="1">
      <c r="K394" s="4"/>
      <c r="L394" s="4"/>
      <c r="M394" s="4"/>
      <c r="N394" s="4"/>
      <c r="O394" s="4"/>
    </row>
    <row r="395" spans="11:15" ht="15.75" customHeight="1">
      <c r="K395" s="4"/>
      <c r="L395" s="4"/>
      <c r="M395" s="4"/>
      <c r="N395" s="4"/>
      <c r="O395" s="4"/>
    </row>
    <row r="396" spans="11:15" ht="15.75" customHeight="1">
      <c r="K396" s="4"/>
      <c r="L396" s="4"/>
      <c r="M396" s="4"/>
      <c r="N396" s="4"/>
      <c r="O396" s="4"/>
    </row>
    <row r="397" spans="11:15" ht="15.75" customHeight="1">
      <c r="K397" s="4"/>
      <c r="L397" s="4"/>
      <c r="M397" s="4"/>
      <c r="N397" s="4"/>
      <c r="O397" s="4"/>
    </row>
    <row r="398" spans="11:15" ht="15.75" customHeight="1">
      <c r="K398" s="4"/>
      <c r="L398" s="4"/>
      <c r="M398" s="4"/>
      <c r="N398" s="4"/>
      <c r="O398" s="4"/>
    </row>
    <row r="399" spans="11:15" ht="15.75" customHeight="1">
      <c r="K399" s="4"/>
      <c r="L399" s="4"/>
      <c r="M399" s="4"/>
      <c r="N399" s="4"/>
      <c r="O399" s="4"/>
    </row>
    <row r="400" spans="11:15" ht="15.75" customHeight="1">
      <c r="K400" s="4"/>
      <c r="L400" s="4"/>
      <c r="M400" s="4"/>
      <c r="N400" s="4"/>
      <c r="O400" s="4"/>
    </row>
    <row r="401" spans="11:15" ht="15.75" customHeight="1">
      <c r="K401" s="4"/>
      <c r="L401" s="4"/>
      <c r="M401" s="4"/>
      <c r="N401" s="4"/>
      <c r="O401" s="4"/>
    </row>
    <row r="402" spans="11:15" ht="15.75" customHeight="1">
      <c r="K402" s="4"/>
      <c r="L402" s="4"/>
      <c r="M402" s="4"/>
      <c r="N402" s="4"/>
      <c r="O402" s="4"/>
    </row>
    <row r="403" spans="11:15" ht="15.75" customHeight="1">
      <c r="K403" s="4"/>
      <c r="L403" s="4"/>
      <c r="M403" s="4"/>
      <c r="N403" s="4"/>
      <c r="O403" s="4"/>
    </row>
    <row r="404" spans="11:15" ht="15.75" customHeight="1">
      <c r="K404" s="4"/>
      <c r="L404" s="4"/>
      <c r="M404" s="4"/>
      <c r="N404" s="4"/>
      <c r="O404" s="4"/>
    </row>
    <row r="405" spans="11:15" ht="15.75" customHeight="1">
      <c r="K405" s="4"/>
      <c r="L405" s="4"/>
      <c r="M405" s="4"/>
      <c r="N405" s="4"/>
      <c r="O405" s="4"/>
    </row>
    <row r="406" spans="11:15" ht="15.75" customHeight="1">
      <c r="K406" s="4"/>
      <c r="L406" s="4"/>
      <c r="M406" s="4"/>
      <c r="N406" s="4"/>
      <c r="O406" s="4"/>
    </row>
    <row r="407" spans="11:15" ht="15.75" customHeight="1">
      <c r="K407" s="4"/>
      <c r="L407" s="4"/>
      <c r="M407" s="4"/>
      <c r="N407" s="4"/>
      <c r="O407" s="4"/>
    </row>
    <row r="408" spans="11:15" ht="15.75" customHeight="1">
      <c r="K408" s="4"/>
      <c r="L408" s="4"/>
      <c r="M408" s="4"/>
      <c r="N408" s="4"/>
      <c r="O408" s="4"/>
    </row>
    <row r="409" spans="11:15" ht="15.75" customHeight="1">
      <c r="K409" s="4"/>
      <c r="L409" s="4"/>
      <c r="M409" s="4"/>
      <c r="N409" s="4"/>
      <c r="O409" s="4"/>
    </row>
    <row r="410" spans="11:15" ht="15.75" customHeight="1">
      <c r="K410" s="4"/>
      <c r="L410" s="4"/>
      <c r="M410" s="4"/>
      <c r="N410" s="4"/>
      <c r="O410" s="4"/>
    </row>
    <row r="411" spans="11:15" ht="15.75" customHeight="1">
      <c r="K411" s="4"/>
      <c r="L411" s="4"/>
      <c r="M411" s="4"/>
      <c r="N411" s="4"/>
      <c r="O411" s="4"/>
    </row>
    <row r="412" spans="11:15" ht="15.75" customHeight="1">
      <c r="K412" s="4"/>
      <c r="L412" s="4"/>
      <c r="M412" s="4"/>
      <c r="N412" s="4"/>
      <c r="O412" s="4"/>
    </row>
    <row r="413" spans="11:15" ht="15.75" customHeight="1">
      <c r="K413" s="4"/>
      <c r="L413" s="4"/>
      <c r="M413" s="4"/>
      <c r="N413" s="4"/>
      <c r="O413" s="4"/>
    </row>
    <row r="414" spans="11:15" ht="15.75" customHeight="1">
      <c r="K414" s="4"/>
      <c r="L414" s="4"/>
      <c r="M414" s="4"/>
      <c r="N414" s="4"/>
      <c r="O414" s="4"/>
    </row>
    <row r="415" spans="11:15" ht="15.75" customHeight="1">
      <c r="K415" s="4"/>
      <c r="L415" s="4"/>
      <c r="M415" s="4"/>
      <c r="N415" s="4"/>
      <c r="O415" s="4"/>
    </row>
    <row r="416" spans="11:15" ht="15.75" customHeight="1">
      <c r="K416" s="4"/>
      <c r="L416" s="4"/>
      <c r="M416" s="4"/>
      <c r="N416" s="4"/>
      <c r="O416" s="4"/>
    </row>
    <row r="417" spans="11:15" ht="15.75" customHeight="1">
      <c r="K417" s="4"/>
      <c r="L417" s="4"/>
      <c r="M417" s="4"/>
      <c r="N417" s="4"/>
      <c r="O417" s="4"/>
    </row>
    <row r="418" spans="11:15" ht="15.75" customHeight="1">
      <c r="K418" s="4"/>
      <c r="L418" s="4"/>
      <c r="M418" s="4"/>
      <c r="N418" s="4"/>
      <c r="O418" s="4"/>
    </row>
    <row r="419" spans="11:15" ht="15.75" customHeight="1">
      <c r="K419" s="4"/>
      <c r="L419" s="4"/>
      <c r="M419" s="4"/>
      <c r="N419" s="4"/>
      <c r="O419" s="4"/>
    </row>
    <row r="420" spans="11:15" ht="15.75" customHeight="1">
      <c r="K420" s="4"/>
      <c r="L420" s="4"/>
      <c r="M420" s="4"/>
      <c r="N420" s="4"/>
      <c r="O420" s="4"/>
    </row>
    <row r="421" spans="11:15" ht="15.75" customHeight="1">
      <c r="K421" s="4"/>
      <c r="L421" s="4"/>
      <c r="M421" s="4"/>
      <c r="N421" s="4"/>
      <c r="O421" s="4"/>
    </row>
    <row r="422" spans="11:15" ht="15.75" customHeight="1">
      <c r="K422" s="4"/>
      <c r="L422" s="4"/>
      <c r="M422" s="4"/>
      <c r="N422" s="4"/>
      <c r="O422" s="4"/>
    </row>
    <row r="423" spans="11:15" ht="15.75" customHeight="1">
      <c r="K423" s="4"/>
      <c r="L423" s="4"/>
      <c r="M423" s="4"/>
      <c r="N423" s="4"/>
      <c r="O423" s="4"/>
    </row>
    <row r="424" spans="11:15" ht="15.75" customHeight="1">
      <c r="K424" s="4"/>
      <c r="L424" s="4"/>
      <c r="M424" s="4"/>
      <c r="N424" s="4"/>
      <c r="O424" s="4"/>
    </row>
    <row r="425" spans="11:15" ht="15.75" customHeight="1">
      <c r="K425" s="4"/>
      <c r="L425" s="4"/>
      <c r="M425" s="4"/>
      <c r="N425" s="4"/>
      <c r="O425" s="4"/>
    </row>
    <row r="426" spans="11:15" ht="15.75" customHeight="1">
      <c r="K426" s="4"/>
      <c r="L426" s="4"/>
      <c r="M426" s="4"/>
      <c r="N426" s="4"/>
      <c r="O426" s="4"/>
    </row>
    <row r="427" spans="11:15" ht="15.75" customHeight="1">
      <c r="K427" s="4"/>
      <c r="L427" s="4"/>
      <c r="M427" s="4"/>
      <c r="N427" s="4"/>
      <c r="O427" s="4"/>
    </row>
    <row r="428" spans="11:15" ht="15.75" customHeight="1">
      <c r="K428" s="4"/>
      <c r="L428" s="4"/>
      <c r="M428" s="4"/>
      <c r="N428" s="4"/>
      <c r="O428" s="4"/>
    </row>
    <row r="429" spans="11:15" ht="15.75" customHeight="1">
      <c r="K429" s="4"/>
      <c r="L429" s="4"/>
      <c r="M429" s="4"/>
      <c r="N429" s="4"/>
      <c r="O429" s="4"/>
    </row>
    <row r="430" spans="11:15" ht="15.75" customHeight="1">
      <c r="K430" s="4"/>
      <c r="L430" s="4"/>
      <c r="M430" s="4"/>
      <c r="N430" s="4"/>
      <c r="O430" s="4"/>
    </row>
    <row r="431" spans="11:15" ht="15.75" customHeight="1">
      <c r="K431" s="4"/>
      <c r="L431" s="4"/>
      <c r="M431" s="4"/>
      <c r="N431" s="4"/>
      <c r="O431" s="4"/>
    </row>
    <row r="432" spans="11:15" ht="15.75" customHeight="1">
      <c r="K432" s="4"/>
      <c r="L432" s="4"/>
      <c r="M432" s="4"/>
      <c r="N432" s="4"/>
      <c r="O432" s="4"/>
    </row>
    <row r="433" spans="11:15" ht="15.75" customHeight="1">
      <c r="K433" s="4"/>
      <c r="L433" s="4"/>
      <c r="M433" s="4"/>
      <c r="N433" s="4"/>
      <c r="O433" s="4"/>
    </row>
    <row r="434" spans="11:15" ht="15.75" customHeight="1">
      <c r="K434" s="4"/>
      <c r="L434" s="4"/>
      <c r="M434" s="4"/>
      <c r="N434" s="4"/>
      <c r="O434" s="4"/>
    </row>
    <row r="435" spans="11:15" ht="15.75" customHeight="1">
      <c r="K435" s="4"/>
      <c r="L435" s="4"/>
      <c r="M435" s="4"/>
      <c r="N435" s="4"/>
      <c r="O435" s="4"/>
    </row>
    <row r="436" spans="11:15" ht="15.75" customHeight="1">
      <c r="K436" s="4"/>
      <c r="L436" s="4"/>
      <c r="M436" s="4"/>
      <c r="N436" s="4"/>
      <c r="O436" s="4"/>
    </row>
    <row r="437" spans="11:15" ht="15.75" customHeight="1">
      <c r="K437" s="4"/>
      <c r="L437" s="4"/>
      <c r="M437" s="4"/>
      <c r="N437" s="4"/>
      <c r="O437" s="4"/>
    </row>
    <row r="438" spans="11:15" ht="15.75" customHeight="1">
      <c r="K438" s="4"/>
      <c r="L438" s="4"/>
      <c r="M438" s="4"/>
      <c r="N438" s="4"/>
      <c r="O438" s="4"/>
    </row>
    <row r="439" spans="11:15" ht="15.75" customHeight="1">
      <c r="K439" s="4"/>
      <c r="L439" s="4"/>
      <c r="M439" s="4"/>
      <c r="N439" s="4"/>
      <c r="O439" s="4"/>
    </row>
    <row r="440" spans="11:15" ht="15.75" customHeight="1">
      <c r="K440" s="4"/>
      <c r="L440" s="4"/>
      <c r="M440" s="4"/>
      <c r="N440" s="4"/>
      <c r="O440" s="4"/>
    </row>
    <row r="441" spans="11:15" ht="15.75" customHeight="1">
      <c r="K441" s="4"/>
      <c r="L441" s="4"/>
      <c r="M441" s="4"/>
      <c r="N441" s="4"/>
      <c r="O441" s="4"/>
    </row>
    <row r="442" spans="11:15" ht="15.75" customHeight="1">
      <c r="K442" s="4"/>
      <c r="L442" s="4"/>
      <c r="M442" s="4"/>
      <c r="N442" s="4"/>
      <c r="O442" s="4"/>
    </row>
    <row r="443" spans="11:15" ht="15.75" customHeight="1">
      <c r="K443" s="4"/>
      <c r="L443" s="4"/>
      <c r="M443" s="4"/>
      <c r="N443" s="4"/>
      <c r="O443" s="4"/>
    </row>
    <row r="444" spans="11:15" ht="15.75" customHeight="1">
      <c r="K444" s="4"/>
      <c r="L444" s="4"/>
      <c r="M444" s="4"/>
      <c r="N444" s="4"/>
      <c r="O444" s="4"/>
    </row>
    <row r="445" spans="11:15" ht="15.75" customHeight="1">
      <c r="K445" s="4"/>
      <c r="L445" s="4"/>
      <c r="M445" s="4"/>
      <c r="N445" s="4"/>
      <c r="O445" s="4"/>
    </row>
    <row r="446" spans="11:15" ht="15.75" customHeight="1">
      <c r="K446" s="4"/>
      <c r="L446" s="4"/>
      <c r="M446" s="4"/>
      <c r="N446" s="4"/>
      <c r="O446" s="4"/>
    </row>
    <row r="447" spans="11:15" ht="15.75" customHeight="1">
      <c r="K447" s="4"/>
      <c r="L447" s="4"/>
      <c r="M447" s="4"/>
      <c r="N447" s="4"/>
      <c r="O447" s="4"/>
    </row>
    <row r="448" spans="11:15" ht="15.75" customHeight="1">
      <c r="K448" s="4"/>
      <c r="L448" s="4"/>
      <c r="M448" s="4"/>
      <c r="N448" s="4"/>
      <c r="O448" s="4"/>
    </row>
    <row r="449" spans="11:15" ht="15.75" customHeight="1">
      <c r="K449" s="4"/>
      <c r="L449" s="4"/>
      <c r="M449" s="4"/>
      <c r="N449" s="4"/>
      <c r="O449" s="4"/>
    </row>
    <row r="450" spans="11:15" ht="15.75" customHeight="1">
      <c r="K450" s="4"/>
      <c r="L450" s="4"/>
      <c r="M450" s="4"/>
      <c r="N450" s="4"/>
      <c r="O450" s="4"/>
    </row>
    <row r="451" spans="11:15" ht="15.75" customHeight="1">
      <c r="K451" s="4"/>
      <c r="L451" s="4"/>
      <c r="M451" s="4"/>
      <c r="N451" s="4"/>
      <c r="O451" s="4"/>
    </row>
    <row r="452" spans="11:15" ht="15.75" customHeight="1">
      <c r="K452" s="4"/>
      <c r="L452" s="4"/>
      <c r="M452" s="4"/>
      <c r="N452" s="4"/>
      <c r="O452" s="4"/>
    </row>
    <row r="453" spans="11:15" ht="15.75" customHeight="1">
      <c r="K453" s="4"/>
      <c r="L453" s="4"/>
      <c r="M453" s="4"/>
      <c r="N453" s="4"/>
      <c r="O453" s="4"/>
    </row>
    <row r="454" spans="11:15" ht="15.75" customHeight="1">
      <c r="K454" s="4"/>
      <c r="L454" s="4"/>
      <c r="M454" s="4"/>
      <c r="N454" s="4"/>
      <c r="O454" s="4"/>
    </row>
    <row r="455" spans="11:15" ht="15.75" customHeight="1">
      <c r="K455" s="4"/>
      <c r="L455" s="4"/>
      <c r="M455" s="4"/>
      <c r="N455" s="4"/>
      <c r="O455" s="4"/>
    </row>
    <row r="456" spans="11:15" ht="15.75" customHeight="1">
      <c r="K456" s="4"/>
      <c r="L456" s="4"/>
      <c r="M456" s="4"/>
      <c r="N456" s="4"/>
      <c r="O456" s="4"/>
    </row>
    <row r="457" spans="11:15" ht="15.75" customHeight="1">
      <c r="K457" s="4"/>
      <c r="L457" s="4"/>
      <c r="M457" s="4"/>
      <c r="N457" s="4"/>
      <c r="O457" s="4"/>
    </row>
    <row r="458" spans="11:15" ht="15.75" customHeight="1">
      <c r="K458" s="4"/>
      <c r="L458" s="4"/>
      <c r="M458" s="4"/>
      <c r="N458" s="4"/>
      <c r="O458" s="4"/>
    </row>
    <row r="459" spans="11:15" ht="15.75" customHeight="1">
      <c r="K459" s="4"/>
      <c r="L459" s="4"/>
      <c r="M459" s="4"/>
      <c r="N459" s="4"/>
      <c r="O459" s="4"/>
    </row>
    <row r="460" spans="11:15" ht="15.75" customHeight="1">
      <c r="K460" s="4"/>
      <c r="L460" s="4"/>
      <c r="M460" s="4"/>
      <c r="N460" s="4"/>
      <c r="O460" s="4"/>
    </row>
    <row r="461" spans="11:15" ht="15.75" customHeight="1">
      <c r="K461" s="4"/>
      <c r="L461" s="4"/>
      <c r="M461" s="4"/>
      <c r="N461" s="4"/>
      <c r="O461" s="4"/>
    </row>
    <row r="462" spans="11:15" ht="15.75" customHeight="1">
      <c r="K462" s="4"/>
      <c r="L462" s="4"/>
      <c r="M462" s="4"/>
      <c r="N462" s="4"/>
      <c r="O462" s="4"/>
    </row>
    <row r="463" spans="11:15" ht="15.75" customHeight="1">
      <c r="K463" s="4"/>
      <c r="L463" s="4"/>
      <c r="M463" s="4"/>
      <c r="N463" s="4"/>
      <c r="O463" s="4"/>
    </row>
    <row r="464" spans="11:15" ht="15.75" customHeight="1">
      <c r="K464" s="4"/>
      <c r="L464" s="4"/>
      <c r="M464" s="4"/>
      <c r="N464" s="4"/>
      <c r="O464" s="4"/>
    </row>
    <row r="465" spans="11:15" ht="15.75" customHeight="1">
      <c r="K465" s="4"/>
      <c r="L465" s="4"/>
      <c r="M465" s="4"/>
      <c r="N465" s="4"/>
      <c r="O465" s="4"/>
    </row>
    <row r="466" spans="11:15" ht="15.75" customHeight="1">
      <c r="K466" s="4"/>
      <c r="L466" s="4"/>
      <c r="M466" s="4"/>
      <c r="N466" s="4"/>
      <c r="O466" s="4"/>
    </row>
    <row r="467" spans="11:15" ht="15.75" customHeight="1">
      <c r="K467" s="4"/>
      <c r="L467" s="4"/>
      <c r="M467" s="4"/>
      <c r="N467" s="4"/>
      <c r="O467" s="4"/>
    </row>
    <row r="468" spans="11:15" ht="15.75" customHeight="1">
      <c r="K468" s="4"/>
      <c r="L468" s="4"/>
      <c r="M468" s="4"/>
      <c r="N468" s="4"/>
      <c r="O468" s="4"/>
    </row>
    <row r="469" spans="11:15" ht="15.75" customHeight="1">
      <c r="K469" s="4"/>
      <c r="L469" s="4"/>
      <c r="M469" s="4"/>
      <c r="N469" s="4"/>
      <c r="O469" s="4"/>
    </row>
    <row r="470" spans="11:15" ht="15.75" customHeight="1">
      <c r="K470" s="4"/>
      <c r="L470" s="4"/>
      <c r="M470" s="4"/>
      <c r="N470" s="4"/>
      <c r="O470" s="4"/>
    </row>
    <row r="471" spans="11:15" ht="15.75" customHeight="1">
      <c r="K471" s="4"/>
      <c r="L471" s="4"/>
      <c r="M471" s="4"/>
      <c r="N471" s="4"/>
      <c r="O471" s="4"/>
    </row>
    <row r="472" spans="11:15" ht="15.75" customHeight="1">
      <c r="K472" s="4"/>
      <c r="L472" s="4"/>
      <c r="M472" s="4"/>
      <c r="N472" s="4"/>
      <c r="O472" s="4"/>
    </row>
    <row r="473" spans="11:15" ht="15.75" customHeight="1">
      <c r="K473" s="4"/>
      <c r="L473" s="4"/>
      <c r="M473" s="4"/>
      <c r="N473" s="4"/>
      <c r="O473" s="4"/>
    </row>
    <row r="474" spans="11:15" ht="15.75" customHeight="1">
      <c r="K474" s="4"/>
      <c r="L474" s="4"/>
      <c r="M474" s="4"/>
      <c r="N474" s="4"/>
      <c r="O474" s="4"/>
    </row>
    <row r="475" spans="11:15" ht="15.75" customHeight="1">
      <c r="K475" s="4"/>
      <c r="L475" s="4"/>
      <c r="M475" s="4"/>
      <c r="N475" s="4"/>
      <c r="O475" s="4"/>
    </row>
    <row r="476" spans="11:15" ht="15.75" customHeight="1">
      <c r="K476" s="4"/>
      <c r="L476" s="4"/>
      <c r="M476" s="4"/>
      <c r="N476" s="4"/>
      <c r="O476" s="4"/>
    </row>
    <row r="477" spans="11:15" ht="15.75" customHeight="1">
      <c r="K477" s="4"/>
      <c r="L477" s="4"/>
      <c r="M477" s="4"/>
      <c r="N477" s="4"/>
      <c r="O477" s="4"/>
    </row>
    <row r="478" spans="11:15" ht="15.75" customHeight="1">
      <c r="K478" s="4"/>
      <c r="L478" s="4"/>
      <c r="M478" s="4"/>
      <c r="N478" s="4"/>
      <c r="O478" s="4"/>
    </row>
    <row r="479" spans="11:15" ht="15.75" customHeight="1">
      <c r="K479" s="4"/>
      <c r="L479" s="4"/>
      <c r="M479" s="4"/>
      <c r="N479" s="4"/>
      <c r="O479" s="4"/>
    </row>
    <row r="480" spans="11:15" ht="15.75" customHeight="1">
      <c r="K480" s="4"/>
      <c r="L480" s="4"/>
      <c r="M480" s="4"/>
      <c r="N480" s="4"/>
      <c r="O480" s="4"/>
    </row>
    <row r="481" spans="11:15" ht="15.75" customHeight="1">
      <c r="K481" s="4"/>
      <c r="L481" s="4"/>
      <c r="M481" s="4"/>
      <c r="N481" s="4"/>
      <c r="O481" s="4"/>
    </row>
    <row r="482" spans="11:15" ht="15.75" customHeight="1">
      <c r="K482" s="4"/>
      <c r="L482" s="4"/>
      <c r="M482" s="4"/>
      <c r="N482" s="4"/>
      <c r="O482" s="4"/>
    </row>
    <row r="483" spans="11:15" ht="15.75" customHeight="1">
      <c r="K483" s="4"/>
      <c r="L483" s="4"/>
      <c r="M483" s="4"/>
      <c r="N483" s="4"/>
      <c r="O483" s="4"/>
    </row>
    <row r="484" spans="11:15" ht="15.75" customHeight="1">
      <c r="K484" s="4"/>
      <c r="L484" s="4"/>
      <c r="M484" s="4"/>
      <c r="N484" s="4"/>
      <c r="O484" s="4"/>
    </row>
    <row r="485" spans="11:15" ht="15.75" customHeight="1">
      <c r="K485" s="4"/>
      <c r="L485" s="4"/>
      <c r="M485" s="4"/>
      <c r="N485" s="4"/>
      <c r="O485" s="4"/>
    </row>
    <row r="486" spans="11:15" ht="15.75" customHeight="1">
      <c r="K486" s="4"/>
      <c r="L486" s="4"/>
      <c r="M486" s="4"/>
      <c r="N486" s="4"/>
      <c r="O486" s="4"/>
    </row>
    <row r="487" spans="11:15" ht="15.75" customHeight="1">
      <c r="K487" s="4"/>
      <c r="L487" s="4"/>
      <c r="M487" s="4"/>
      <c r="N487" s="4"/>
      <c r="O487" s="4"/>
    </row>
    <row r="488" spans="11:15" ht="15.75" customHeight="1">
      <c r="K488" s="4"/>
      <c r="L488" s="4"/>
      <c r="M488" s="4"/>
      <c r="N488" s="4"/>
      <c r="O488" s="4"/>
    </row>
    <row r="489" spans="11:15" ht="15.75" customHeight="1">
      <c r="K489" s="4"/>
      <c r="L489" s="4"/>
      <c r="M489" s="4"/>
      <c r="N489" s="4"/>
      <c r="O489" s="4"/>
    </row>
    <row r="490" spans="11:15" ht="15.75" customHeight="1">
      <c r="K490" s="4"/>
      <c r="L490" s="4"/>
      <c r="M490" s="4"/>
      <c r="N490" s="4"/>
      <c r="O490" s="4"/>
    </row>
    <row r="491" spans="11:15" ht="15.75" customHeight="1">
      <c r="K491" s="4"/>
      <c r="L491" s="4"/>
      <c r="M491" s="4"/>
      <c r="N491" s="4"/>
      <c r="O491" s="4"/>
    </row>
    <row r="492" spans="11:15" ht="15.75" customHeight="1">
      <c r="K492" s="4"/>
      <c r="L492" s="4"/>
      <c r="M492" s="4"/>
      <c r="N492" s="4"/>
      <c r="O492" s="4"/>
    </row>
    <row r="493" spans="11:15" ht="15.75" customHeight="1">
      <c r="K493" s="4"/>
      <c r="L493" s="4"/>
      <c r="M493" s="4"/>
      <c r="N493" s="4"/>
      <c r="O493" s="4"/>
    </row>
    <row r="494" spans="11:15" ht="15.75" customHeight="1">
      <c r="K494" s="4"/>
      <c r="L494" s="4"/>
      <c r="M494" s="4"/>
      <c r="N494" s="4"/>
      <c r="O494" s="4"/>
    </row>
    <row r="495" spans="11:15" ht="15.75" customHeight="1">
      <c r="K495" s="4"/>
      <c r="L495" s="4"/>
      <c r="M495" s="4"/>
      <c r="N495" s="4"/>
      <c r="O495" s="4"/>
    </row>
    <row r="496" spans="11:15" ht="15.75" customHeight="1">
      <c r="K496" s="4"/>
      <c r="L496" s="4"/>
      <c r="M496" s="4"/>
      <c r="N496" s="4"/>
      <c r="O496" s="4"/>
    </row>
    <row r="497" spans="11:15" ht="15.75" customHeight="1">
      <c r="K497" s="4"/>
      <c r="L497" s="4"/>
      <c r="M497" s="4"/>
      <c r="N497" s="4"/>
      <c r="O497" s="4"/>
    </row>
    <row r="498" spans="11:15" ht="15.75" customHeight="1">
      <c r="K498" s="4"/>
      <c r="L498" s="4"/>
      <c r="M498" s="4"/>
      <c r="N498" s="4"/>
      <c r="O498" s="4"/>
    </row>
    <row r="499" spans="11:15" ht="15.75" customHeight="1">
      <c r="K499" s="4"/>
      <c r="L499" s="4"/>
      <c r="M499" s="4"/>
      <c r="N499" s="4"/>
      <c r="O499" s="4"/>
    </row>
    <row r="500" spans="11:15" ht="15.75" customHeight="1">
      <c r="K500" s="4"/>
      <c r="L500" s="4"/>
      <c r="M500" s="4"/>
      <c r="N500" s="4"/>
      <c r="O500" s="4"/>
    </row>
    <row r="501" spans="11:15" ht="15.75" customHeight="1">
      <c r="K501" s="4"/>
      <c r="L501" s="4"/>
      <c r="M501" s="4"/>
      <c r="N501" s="4"/>
      <c r="O501" s="4"/>
    </row>
    <row r="502" spans="11:15" ht="15.75" customHeight="1">
      <c r="K502" s="4"/>
      <c r="L502" s="4"/>
      <c r="M502" s="4"/>
      <c r="N502" s="4"/>
      <c r="O502" s="4"/>
    </row>
    <row r="503" spans="11:15" ht="15.75" customHeight="1">
      <c r="K503" s="4"/>
      <c r="L503" s="4"/>
      <c r="M503" s="4"/>
      <c r="N503" s="4"/>
      <c r="O503" s="4"/>
    </row>
    <row r="504" spans="11:15" ht="15.75" customHeight="1">
      <c r="K504" s="4"/>
      <c r="L504" s="4"/>
      <c r="M504" s="4"/>
      <c r="N504" s="4"/>
      <c r="O504" s="4"/>
    </row>
    <row r="505" spans="11:15" ht="15.75" customHeight="1">
      <c r="K505" s="4"/>
      <c r="L505" s="4"/>
      <c r="M505" s="4"/>
      <c r="N505" s="4"/>
      <c r="O505" s="4"/>
    </row>
    <row r="506" spans="11:15" ht="15.75" customHeight="1">
      <c r="K506" s="4"/>
      <c r="L506" s="4"/>
      <c r="M506" s="4"/>
      <c r="N506" s="4"/>
      <c r="O506" s="4"/>
    </row>
    <row r="507" spans="11:15" ht="15.75" customHeight="1">
      <c r="K507" s="4"/>
      <c r="L507" s="4"/>
      <c r="M507" s="4"/>
      <c r="N507" s="4"/>
      <c r="O507" s="4"/>
    </row>
    <row r="508" spans="11:15" ht="15.75" customHeight="1">
      <c r="K508" s="4"/>
      <c r="L508" s="4"/>
      <c r="M508" s="4"/>
      <c r="N508" s="4"/>
      <c r="O508" s="4"/>
    </row>
    <row r="509" spans="11:15" ht="15.75" customHeight="1">
      <c r="K509" s="4"/>
      <c r="L509" s="4"/>
      <c r="M509" s="4"/>
      <c r="N509" s="4"/>
      <c r="O509" s="4"/>
    </row>
    <row r="510" spans="11:15" ht="15.75" customHeight="1">
      <c r="K510" s="4"/>
      <c r="L510" s="4"/>
      <c r="M510" s="4"/>
      <c r="N510" s="4"/>
      <c r="O510" s="4"/>
    </row>
    <row r="511" spans="11:15" ht="15.75" customHeight="1">
      <c r="K511" s="4"/>
      <c r="L511" s="4"/>
      <c r="M511" s="4"/>
      <c r="N511" s="4"/>
      <c r="O511" s="4"/>
    </row>
    <row r="512" spans="11:15" ht="15.75" customHeight="1">
      <c r="K512" s="4"/>
      <c r="L512" s="4"/>
      <c r="M512" s="4"/>
      <c r="N512" s="4"/>
      <c r="O512" s="4"/>
    </row>
    <row r="513" spans="11:15" ht="15.75" customHeight="1">
      <c r="K513" s="4"/>
      <c r="L513" s="4"/>
      <c r="M513" s="4"/>
      <c r="N513" s="4"/>
      <c r="O513" s="4"/>
    </row>
    <row r="514" spans="11:15" ht="15.75" customHeight="1">
      <c r="K514" s="4"/>
      <c r="L514" s="4"/>
      <c r="M514" s="4"/>
      <c r="N514" s="4"/>
      <c r="O514" s="4"/>
    </row>
    <row r="515" spans="11:15" ht="15.75" customHeight="1">
      <c r="K515" s="4"/>
      <c r="L515" s="4"/>
      <c r="M515" s="4"/>
      <c r="N515" s="4"/>
      <c r="O515" s="4"/>
    </row>
    <row r="516" spans="11:15" ht="15.75" customHeight="1">
      <c r="K516" s="4"/>
      <c r="L516" s="4"/>
      <c r="M516" s="4"/>
      <c r="N516" s="4"/>
      <c r="O516" s="4"/>
    </row>
    <row r="517" spans="11:15" ht="15.75" customHeight="1">
      <c r="K517" s="4"/>
      <c r="L517" s="4"/>
      <c r="M517" s="4"/>
      <c r="N517" s="4"/>
      <c r="O517" s="4"/>
    </row>
    <row r="518" spans="11:15" ht="15.75" customHeight="1">
      <c r="K518" s="4"/>
      <c r="L518" s="4"/>
      <c r="M518" s="4"/>
      <c r="N518" s="4"/>
      <c r="O518" s="4"/>
    </row>
    <row r="519" spans="11:15" ht="15.75" customHeight="1">
      <c r="K519" s="4"/>
      <c r="L519" s="4"/>
      <c r="M519" s="4"/>
      <c r="N519" s="4"/>
      <c r="O519" s="4"/>
    </row>
    <row r="520" spans="11:15" ht="15.75" customHeight="1">
      <c r="K520" s="4"/>
      <c r="L520" s="4"/>
      <c r="M520" s="4"/>
      <c r="N520" s="4"/>
      <c r="O520" s="4"/>
    </row>
    <row r="521" spans="11:15" ht="15.75" customHeight="1">
      <c r="K521" s="4"/>
      <c r="L521" s="4"/>
      <c r="M521" s="4"/>
      <c r="N521" s="4"/>
      <c r="O521" s="4"/>
    </row>
    <row r="522" spans="11:15" ht="15.75" customHeight="1">
      <c r="K522" s="4"/>
      <c r="L522" s="4"/>
      <c r="M522" s="4"/>
      <c r="N522" s="4"/>
      <c r="O522" s="4"/>
    </row>
    <row r="523" spans="11:15" ht="15.75" customHeight="1">
      <c r="K523" s="4"/>
      <c r="L523" s="4"/>
      <c r="M523" s="4"/>
      <c r="N523" s="4"/>
      <c r="O523" s="4"/>
    </row>
    <row r="524" spans="11:15" ht="15.75" customHeight="1">
      <c r="K524" s="4"/>
      <c r="L524" s="4"/>
      <c r="M524" s="4"/>
      <c r="N524" s="4"/>
      <c r="O524" s="4"/>
    </row>
    <row r="525" spans="11:15" ht="15.75" customHeight="1">
      <c r="K525" s="4"/>
      <c r="L525" s="4"/>
      <c r="M525" s="4"/>
      <c r="N525" s="4"/>
      <c r="O525" s="4"/>
    </row>
    <row r="526" spans="11:15" ht="15.75" customHeight="1">
      <c r="K526" s="4"/>
      <c r="L526" s="4"/>
      <c r="M526" s="4"/>
      <c r="N526" s="4"/>
      <c r="O526" s="4"/>
    </row>
    <row r="527" spans="11:15" ht="15.75" customHeight="1">
      <c r="K527" s="4"/>
      <c r="L527" s="4"/>
      <c r="M527" s="4"/>
      <c r="N527" s="4"/>
      <c r="O527" s="4"/>
    </row>
    <row r="528" spans="11:15" ht="15.75" customHeight="1">
      <c r="K528" s="4"/>
      <c r="L528" s="4"/>
      <c r="M528" s="4"/>
      <c r="N528" s="4"/>
      <c r="O528" s="4"/>
    </row>
    <row r="529" spans="11:15" ht="15.75" customHeight="1">
      <c r="K529" s="4"/>
      <c r="L529" s="4"/>
      <c r="M529" s="4"/>
      <c r="N529" s="4"/>
      <c r="O529" s="4"/>
    </row>
    <row r="530" spans="11:15" ht="15.75" customHeight="1">
      <c r="K530" s="4"/>
      <c r="L530" s="4"/>
      <c r="M530" s="4"/>
      <c r="N530" s="4"/>
      <c r="O530" s="4"/>
    </row>
    <row r="531" spans="11:15" ht="15.75" customHeight="1">
      <c r="K531" s="4"/>
      <c r="L531" s="4"/>
      <c r="M531" s="4"/>
      <c r="N531" s="4"/>
      <c r="O531" s="4"/>
    </row>
    <row r="532" spans="11:15" ht="15.75" customHeight="1">
      <c r="K532" s="4"/>
      <c r="L532" s="4"/>
      <c r="M532" s="4"/>
      <c r="N532" s="4"/>
      <c r="O532" s="4"/>
    </row>
    <row r="533" spans="11:15" ht="15.75" customHeight="1">
      <c r="K533" s="4"/>
      <c r="L533" s="4"/>
      <c r="M533" s="4"/>
      <c r="N533" s="4"/>
      <c r="O533" s="4"/>
    </row>
    <row r="534" spans="11:15" ht="15.75" customHeight="1">
      <c r="K534" s="4"/>
      <c r="L534" s="4"/>
      <c r="M534" s="4"/>
      <c r="N534" s="4"/>
      <c r="O534" s="4"/>
    </row>
    <row r="535" spans="11:15" ht="15.75" customHeight="1">
      <c r="K535" s="4"/>
      <c r="L535" s="4"/>
      <c r="M535" s="4"/>
      <c r="N535" s="4"/>
      <c r="O535" s="4"/>
    </row>
    <row r="536" spans="11:15" ht="15.75" customHeight="1">
      <c r="K536" s="4"/>
      <c r="L536" s="4"/>
      <c r="M536" s="4"/>
      <c r="N536" s="4"/>
      <c r="O536" s="4"/>
    </row>
    <row r="537" spans="11:15" ht="15.75" customHeight="1">
      <c r="K537" s="4"/>
      <c r="L537" s="4"/>
      <c r="M537" s="4"/>
      <c r="N537" s="4"/>
      <c r="O537" s="4"/>
    </row>
    <row r="538" spans="11:15" ht="15.75" customHeight="1">
      <c r="K538" s="4"/>
      <c r="L538" s="4"/>
      <c r="M538" s="4"/>
      <c r="N538" s="4"/>
      <c r="O538" s="4"/>
    </row>
    <row r="539" spans="11:15" ht="15.75" customHeight="1">
      <c r="K539" s="4"/>
      <c r="L539" s="4"/>
      <c r="M539" s="4"/>
      <c r="N539" s="4"/>
      <c r="O539" s="4"/>
    </row>
    <row r="540" spans="11:15" ht="15.75" customHeight="1">
      <c r="K540" s="4"/>
      <c r="L540" s="4"/>
      <c r="M540" s="4"/>
      <c r="N540" s="4"/>
      <c r="O540" s="4"/>
    </row>
    <row r="541" spans="11:15" ht="15.75" customHeight="1">
      <c r="K541" s="4"/>
      <c r="L541" s="4"/>
      <c r="M541" s="4"/>
      <c r="N541" s="4"/>
      <c r="O541" s="4"/>
    </row>
    <row r="542" spans="11:15" ht="15.75" customHeight="1">
      <c r="K542" s="4"/>
      <c r="L542" s="4"/>
      <c r="M542" s="4"/>
      <c r="N542" s="4"/>
      <c r="O542" s="4"/>
    </row>
    <row r="543" spans="11:15" ht="15.75" customHeight="1">
      <c r="K543" s="4"/>
      <c r="L543" s="4"/>
      <c r="M543" s="4"/>
      <c r="N543" s="4"/>
      <c r="O543" s="4"/>
    </row>
    <row r="544" spans="11:15" ht="15.75" customHeight="1">
      <c r="K544" s="4"/>
      <c r="L544" s="4"/>
      <c r="M544" s="4"/>
      <c r="N544" s="4"/>
      <c r="O544" s="4"/>
    </row>
    <row r="545" spans="11:15" ht="15.75" customHeight="1">
      <c r="K545" s="4"/>
      <c r="L545" s="4"/>
      <c r="M545" s="4"/>
      <c r="N545" s="4"/>
      <c r="O545" s="4"/>
    </row>
    <row r="546" spans="11:15" ht="15.75" customHeight="1">
      <c r="K546" s="4"/>
      <c r="L546" s="4"/>
      <c r="M546" s="4"/>
      <c r="N546" s="4"/>
      <c r="O546" s="4"/>
    </row>
    <row r="547" spans="11:15" ht="15.75" customHeight="1">
      <c r="K547" s="4"/>
      <c r="L547" s="4"/>
      <c r="M547" s="4"/>
      <c r="N547" s="4"/>
      <c r="O547" s="4"/>
    </row>
    <row r="548" spans="11:15" ht="15.75" customHeight="1">
      <c r="K548" s="4"/>
      <c r="L548" s="4"/>
      <c r="M548" s="4"/>
      <c r="N548" s="4"/>
      <c r="O548" s="4"/>
    </row>
    <row r="549" spans="11:15" ht="15.75" customHeight="1">
      <c r="K549" s="4"/>
      <c r="L549" s="4"/>
      <c r="M549" s="4"/>
      <c r="N549" s="4"/>
      <c r="O549" s="4"/>
    </row>
    <row r="550" spans="11:15" ht="15.75" customHeight="1">
      <c r="K550" s="4"/>
      <c r="L550" s="4"/>
      <c r="M550" s="4"/>
      <c r="N550" s="4"/>
      <c r="O550" s="4"/>
    </row>
    <row r="551" spans="11:15" ht="15.75" customHeight="1">
      <c r="K551" s="4"/>
      <c r="L551" s="4"/>
      <c r="M551" s="4"/>
      <c r="N551" s="4"/>
      <c r="O551" s="4"/>
    </row>
    <row r="552" spans="11:15" ht="15.75" customHeight="1">
      <c r="K552" s="4"/>
      <c r="L552" s="4"/>
      <c r="M552" s="4"/>
      <c r="N552" s="4"/>
      <c r="O552" s="4"/>
    </row>
    <row r="553" spans="11:15" ht="15.75" customHeight="1">
      <c r="K553" s="4"/>
      <c r="L553" s="4"/>
      <c r="M553" s="4"/>
      <c r="N553" s="4"/>
      <c r="O553" s="4"/>
    </row>
    <row r="554" spans="11:15" ht="15.75" customHeight="1">
      <c r="K554" s="4"/>
      <c r="L554" s="4"/>
      <c r="M554" s="4"/>
      <c r="N554" s="4"/>
      <c r="O554" s="4"/>
    </row>
    <row r="555" spans="11:15" ht="15.75" customHeight="1">
      <c r="K555" s="4"/>
      <c r="L555" s="4"/>
      <c r="M555" s="4"/>
      <c r="N555" s="4"/>
      <c r="O555" s="4"/>
    </row>
    <row r="556" spans="11:15" ht="15.75" customHeight="1">
      <c r="K556" s="4"/>
      <c r="L556" s="4"/>
      <c r="M556" s="4"/>
      <c r="N556" s="4"/>
      <c r="O556" s="4"/>
    </row>
    <row r="557" spans="11:15" ht="15.75" customHeight="1">
      <c r="K557" s="4"/>
      <c r="L557" s="4"/>
      <c r="M557" s="4"/>
      <c r="N557" s="4"/>
      <c r="O557" s="4"/>
    </row>
    <row r="558" spans="11:15" ht="15.75" customHeight="1">
      <c r="K558" s="4"/>
      <c r="L558" s="4"/>
      <c r="M558" s="4"/>
      <c r="N558" s="4"/>
      <c r="O558" s="4"/>
    </row>
    <row r="559" spans="11:15" ht="15.75" customHeight="1">
      <c r="K559" s="4"/>
      <c r="L559" s="4"/>
      <c r="M559" s="4"/>
      <c r="N559" s="4"/>
      <c r="O559" s="4"/>
    </row>
    <row r="560" spans="11:15" ht="15.75" customHeight="1">
      <c r="K560" s="4"/>
      <c r="L560" s="4"/>
      <c r="M560" s="4"/>
      <c r="N560" s="4"/>
      <c r="O560" s="4"/>
    </row>
    <row r="561" spans="11:15" ht="15.75" customHeight="1">
      <c r="K561" s="4"/>
      <c r="L561" s="4"/>
      <c r="M561" s="4"/>
      <c r="N561" s="4"/>
      <c r="O561" s="4"/>
    </row>
    <row r="562" spans="11:15" ht="15.75" customHeight="1">
      <c r="K562" s="4"/>
      <c r="L562" s="4"/>
      <c r="M562" s="4"/>
      <c r="N562" s="4"/>
      <c r="O562" s="4"/>
    </row>
    <row r="563" spans="11:15" ht="15.75" customHeight="1">
      <c r="K563" s="4"/>
      <c r="L563" s="4"/>
      <c r="M563" s="4"/>
      <c r="N563" s="4"/>
      <c r="O563" s="4"/>
    </row>
    <row r="564" spans="11:15" ht="15.75" customHeight="1">
      <c r="K564" s="4"/>
      <c r="L564" s="4"/>
      <c r="M564" s="4"/>
      <c r="N564" s="4"/>
      <c r="O564" s="4"/>
    </row>
    <row r="565" spans="11:15" ht="15.75" customHeight="1">
      <c r="K565" s="4"/>
      <c r="L565" s="4"/>
      <c r="M565" s="4"/>
      <c r="N565" s="4"/>
      <c r="O565" s="4"/>
    </row>
    <row r="566" spans="11:15" ht="15.75" customHeight="1">
      <c r="K566" s="4"/>
      <c r="L566" s="4"/>
      <c r="M566" s="4"/>
      <c r="N566" s="4"/>
      <c r="O566" s="4"/>
    </row>
    <row r="567" spans="11:15" ht="15.75" customHeight="1">
      <c r="K567" s="4"/>
      <c r="L567" s="4"/>
      <c r="M567" s="4"/>
      <c r="N567" s="4"/>
      <c r="O567" s="4"/>
    </row>
    <row r="568" spans="11:15" ht="15.75" customHeight="1">
      <c r="K568" s="4"/>
      <c r="L568" s="4"/>
      <c r="M568" s="4"/>
      <c r="N568" s="4"/>
      <c r="O568" s="4"/>
    </row>
    <row r="569" spans="11:15" ht="15.75" customHeight="1">
      <c r="K569" s="4"/>
      <c r="L569" s="4"/>
      <c r="M569" s="4"/>
      <c r="N569" s="4"/>
      <c r="O569" s="4"/>
    </row>
    <row r="570" spans="11:15" ht="15.75" customHeight="1">
      <c r="K570" s="4"/>
      <c r="L570" s="4"/>
      <c r="M570" s="4"/>
      <c r="N570" s="4"/>
      <c r="O570" s="4"/>
    </row>
    <row r="571" spans="11:15" ht="15.75" customHeight="1">
      <c r="K571" s="4"/>
      <c r="L571" s="4"/>
      <c r="M571" s="4"/>
      <c r="N571" s="4"/>
      <c r="O571" s="4"/>
    </row>
    <row r="572" spans="11:15" ht="15.75" customHeight="1">
      <c r="K572" s="4"/>
      <c r="L572" s="4"/>
      <c r="M572" s="4"/>
      <c r="N572" s="4"/>
      <c r="O572" s="4"/>
    </row>
    <row r="573" spans="11:15" ht="15.75" customHeight="1">
      <c r="K573" s="4"/>
      <c r="L573" s="4"/>
      <c r="M573" s="4"/>
      <c r="N573" s="4"/>
      <c r="O573" s="4"/>
    </row>
    <row r="574" spans="11:15" ht="15.75" customHeight="1">
      <c r="K574" s="4"/>
      <c r="L574" s="4"/>
      <c r="M574" s="4"/>
      <c r="N574" s="4"/>
      <c r="O574" s="4"/>
    </row>
    <row r="575" spans="11:15" ht="15.75" customHeight="1">
      <c r="K575" s="4"/>
      <c r="L575" s="4"/>
      <c r="M575" s="4"/>
      <c r="N575" s="4"/>
      <c r="O575" s="4"/>
    </row>
    <row r="576" spans="11:15" ht="15.75" customHeight="1">
      <c r="K576" s="4"/>
      <c r="L576" s="4"/>
      <c r="M576" s="4"/>
      <c r="N576" s="4"/>
      <c r="O576" s="4"/>
    </row>
    <row r="577" spans="11:15" ht="15.75" customHeight="1">
      <c r="K577" s="4"/>
      <c r="L577" s="4"/>
      <c r="M577" s="4"/>
      <c r="N577" s="4"/>
      <c r="O577" s="4"/>
    </row>
    <row r="578" spans="11:15" ht="15.75" customHeight="1">
      <c r="K578" s="4"/>
      <c r="L578" s="4"/>
      <c r="M578" s="4"/>
      <c r="N578" s="4"/>
      <c r="O578" s="4"/>
    </row>
    <row r="579" spans="11:15" ht="15.75" customHeight="1">
      <c r="K579" s="4"/>
      <c r="L579" s="4"/>
      <c r="M579" s="4"/>
      <c r="N579" s="4"/>
      <c r="O579" s="4"/>
    </row>
    <row r="580" spans="11:15" ht="15.75" customHeight="1">
      <c r="K580" s="4"/>
      <c r="L580" s="4"/>
      <c r="M580" s="4"/>
      <c r="N580" s="4"/>
      <c r="O580" s="4"/>
    </row>
    <row r="581" spans="11:15" ht="15.75" customHeight="1">
      <c r="K581" s="4"/>
      <c r="L581" s="4"/>
      <c r="M581" s="4"/>
      <c r="N581" s="4"/>
      <c r="O581" s="4"/>
    </row>
    <row r="582" spans="11:15" ht="15.75" customHeight="1">
      <c r="K582" s="4"/>
      <c r="L582" s="4"/>
      <c r="M582" s="4"/>
      <c r="N582" s="4"/>
      <c r="O582" s="4"/>
    </row>
    <row r="583" spans="11:15" ht="15.75" customHeight="1">
      <c r="K583" s="4"/>
      <c r="L583" s="4"/>
      <c r="M583" s="4"/>
      <c r="N583" s="4"/>
      <c r="O583" s="4"/>
    </row>
    <row r="584" spans="11:15" ht="15.75" customHeight="1">
      <c r="K584" s="4"/>
      <c r="L584" s="4"/>
      <c r="M584" s="4"/>
      <c r="N584" s="4"/>
      <c r="O584" s="4"/>
    </row>
    <row r="585" spans="11:15" ht="15.75" customHeight="1">
      <c r="K585" s="4"/>
      <c r="L585" s="4"/>
      <c r="M585" s="4"/>
      <c r="N585" s="4"/>
      <c r="O585" s="4"/>
    </row>
    <row r="586" spans="11:15" ht="15.75" customHeight="1">
      <c r="K586" s="4"/>
      <c r="L586" s="4"/>
      <c r="M586" s="4"/>
      <c r="N586" s="4"/>
      <c r="O586" s="4"/>
    </row>
    <row r="587" spans="11:15" ht="15.75" customHeight="1">
      <c r="K587" s="4"/>
      <c r="L587" s="4"/>
      <c r="M587" s="4"/>
      <c r="N587" s="4"/>
      <c r="O587" s="4"/>
    </row>
    <row r="588" spans="11:15" ht="15.75" customHeight="1">
      <c r="K588" s="4"/>
      <c r="L588" s="4"/>
      <c r="M588" s="4"/>
      <c r="N588" s="4"/>
      <c r="O588" s="4"/>
    </row>
    <row r="589" spans="11:15" ht="15.75" customHeight="1">
      <c r="K589" s="4"/>
      <c r="L589" s="4"/>
      <c r="M589" s="4"/>
      <c r="N589" s="4"/>
      <c r="O589" s="4"/>
    </row>
    <row r="590" spans="11:15" ht="15.75" customHeight="1">
      <c r="K590" s="4"/>
      <c r="L590" s="4"/>
      <c r="M590" s="4"/>
      <c r="N590" s="4"/>
      <c r="O590" s="4"/>
    </row>
    <row r="591" spans="11:15" ht="15.75" customHeight="1">
      <c r="K591" s="4"/>
      <c r="L591" s="4"/>
      <c r="M591" s="4"/>
      <c r="N591" s="4"/>
      <c r="O591" s="4"/>
    </row>
    <row r="592" spans="11:15" ht="15.75" customHeight="1">
      <c r="K592" s="4"/>
      <c r="L592" s="4"/>
      <c r="M592" s="4"/>
      <c r="N592" s="4"/>
      <c r="O592" s="4"/>
    </row>
    <row r="593" spans="11:15" ht="15.75" customHeight="1">
      <c r="K593" s="4"/>
      <c r="L593" s="4"/>
      <c r="M593" s="4"/>
      <c r="N593" s="4"/>
      <c r="O593" s="4"/>
    </row>
    <row r="594" spans="11:15" ht="15.75" customHeight="1">
      <c r="K594" s="4"/>
      <c r="L594" s="4"/>
      <c r="M594" s="4"/>
      <c r="N594" s="4"/>
      <c r="O594" s="4"/>
    </row>
    <row r="595" spans="11:15" ht="15.75" customHeight="1">
      <c r="K595" s="4"/>
      <c r="L595" s="4"/>
      <c r="M595" s="4"/>
      <c r="N595" s="4"/>
      <c r="O595" s="4"/>
    </row>
    <row r="596" spans="11:15" ht="15.75" customHeight="1">
      <c r="K596" s="4"/>
      <c r="L596" s="4"/>
      <c r="M596" s="4"/>
      <c r="N596" s="4"/>
      <c r="O596" s="4"/>
    </row>
    <row r="597" spans="11:15" ht="15.75" customHeight="1">
      <c r="K597" s="4"/>
      <c r="L597" s="4"/>
      <c r="M597" s="4"/>
      <c r="N597" s="4"/>
      <c r="O597" s="4"/>
    </row>
    <row r="598" spans="11:15" ht="15.75" customHeight="1">
      <c r="K598" s="4"/>
      <c r="L598" s="4"/>
      <c r="M598" s="4"/>
      <c r="N598" s="4"/>
      <c r="O598" s="4"/>
    </row>
    <row r="599" spans="11:15" ht="15.75" customHeight="1">
      <c r="K599" s="4"/>
      <c r="L599" s="4"/>
      <c r="M599" s="4"/>
      <c r="N599" s="4"/>
      <c r="O599" s="4"/>
    </row>
    <row r="600" spans="11:15" ht="15.75" customHeight="1">
      <c r="K600" s="4"/>
      <c r="L600" s="4"/>
      <c r="M600" s="4"/>
      <c r="N600" s="4"/>
      <c r="O600" s="4"/>
    </row>
    <row r="601" spans="11:15" ht="15.75" customHeight="1">
      <c r="K601" s="4"/>
      <c r="L601" s="4"/>
      <c r="M601" s="4"/>
      <c r="N601" s="4"/>
      <c r="O601" s="4"/>
    </row>
    <row r="602" spans="11:15" ht="15.75" customHeight="1">
      <c r="K602" s="4"/>
      <c r="L602" s="4"/>
      <c r="M602" s="4"/>
      <c r="N602" s="4"/>
      <c r="O602" s="4"/>
    </row>
    <row r="603" spans="11:15" ht="15.75" customHeight="1">
      <c r="K603" s="4"/>
      <c r="L603" s="4"/>
      <c r="M603" s="4"/>
      <c r="N603" s="4"/>
      <c r="O603" s="4"/>
    </row>
    <row r="604" spans="11:15" ht="15.75" customHeight="1">
      <c r="K604" s="4"/>
      <c r="L604" s="4"/>
      <c r="M604" s="4"/>
      <c r="N604" s="4"/>
      <c r="O604" s="4"/>
    </row>
    <row r="605" spans="11:15" ht="15.75" customHeight="1">
      <c r="K605" s="4"/>
      <c r="L605" s="4"/>
      <c r="M605" s="4"/>
      <c r="N605" s="4"/>
      <c r="O605" s="4"/>
    </row>
    <row r="606" spans="11:15" ht="15.75" customHeight="1">
      <c r="K606" s="4"/>
      <c r="L606" s="4"/>
      <c r="M606" s="4"/>
      <c r="N606" s="4"/>
      <c r="O606" s="4"/>
    </row>
    <row r="607" spans="11:15" ht="15.75" customHeight="1">
      <c r="K607" s="4"/>
      <c r="L607" s="4"/>
      <c r="M607" s="4"/>
      <c r="N607" s="4"/>
      <c r="O607" s="4"/>
    </row>
    <row r="608" spans="11:15" ht="15.75" customHeight="1">
      <c r="K608" s="4"/>
      <c r="L608" s="4"/>
      <c r="M608" s="4"/>
      <c r="N608" s="4"/>
      <c r="O608" s="4"/>
    </row>
    <row r="609" spans="11:15" ht="15.75" customHeight="1">
      <c r="K609" s="4"/>
      <c r="L609" s="4"/>
      <c r="M609" s="4"/>
      <c r="N609" s="4"/>
      <c r="O609" s="4"/>
    </row>
    <row r="610" spans="11:15" ht="15.75" customHeight="1">
      <c r="K610" s="4"/>
      <c r="L610" s="4"/>
      <c r="M610" s="4"/>
      <c r="N610" s="4"/>
      <c r="O610" s="4"/>
    </row>
    <row r="611" spans="11:15" ht="15.75" customHeight="1">
      <c r="K611" s="4"/>
      <c r="L611" s="4"/>
      <c r="M611" s="4"/>
      <c r="N611" s="4"/>
      <c r="O611" s="4"/>
    </row>
    <row r="612" spans="11:15" ht="15.75" customHeight="1">
      <c r="K612" s="4"/>
      <c r="L612" s="4"/>
      <c r="M612" s="4"/>
      <c r="N612" s="4"/>
      <c r="O612" s="4"/>
    </row>
    <row r="613" spans="11:15" ht="15.75" customHeight="1">
      <c r="K613" s="4"/>
      <c r="L613" s="4"/>
      <c r="M613" s="4"/>
      <c r="N613" s="4"/>
      <c r="O613" s="4"/>
    </row>
    <row r="614" spans="11:15" ht="15.75" customHeight="1">
      <c r="K614" s="4"/>
      <c r="L614" s="4"/>
      <c r="M614" s="4"/>
      <c r="N614" s="4"/>
      <c r="O614" s="4"/>
    </row>
    <row r="615" spans="11:15" ht="15.75" customHeight="1">
      <c r="K615" s="4"/>
      <c r="L615" s="4"/>
      <c r="M615" s="4"/>
      <c r="N615" s="4"/>
      <c r="O615" s="4"/>
    </row>
    <row r="616" spans="11:15" ht="15.75" customHeight="1">
      <c r="K616" s="4"/>
      <c r="L616" s="4"/>
      <c r="M616" s="4"/>
      <c r="N616" s="4"/>
      <c r="O616" s="4"/>
    </row>
    <row r="617" spans="11:15" ht="15.75" customHeight="1">
      <c r="K617" s="4"/>
      <c r="L617" s="4"/>
      <c r="M617" s="4"/>
      <c r="N617" s="4"/>
      <c r="O617" s="4"/>
    </row>
    <row r="618" spans="11:15" ht="15.75" customHeight="1">
      <c r="K618" s="4"/>
      <c r="L618" s="4"/>
      <c r="M618" s="4"/>
      <c r="N618" s="4"/>
      <c r="O618" s="4"/>
    </row>
    <row r="619" spans="11:15" ht="15.75" customHeight="1">
      <c r="K619" s="4"/>
      <c r="L619" s="4"/>
      <c r="M619" s="4"/>
      <c r="N619" s="4"/>
      <c r="O619" s="4"/>
    </row>
    <row r="620" spans="11:15" ht="15.75" customHeight="1">
      <c r="K620" s="4"/>
      <c r="L620" s="4"/>
      <c r="M620" s="4"/>
      <c r="N620" s="4"/>
      <c r="O620" s="4"/>
    </row>
    <row r="621" spans="11:15" ht="15.75" customHeight="1">
      <c r="K621" s="4"/>
      <c r="L621" s="4"/>
      <c r="M621" s="4"/>
      <c r="N621" s="4"/>
      <c r="O621" s="4"/>
    </row>
    <row r="622" spans="11:15" ht="15.75" customHeight="1">
      <c r="K622" s="4"/>
      <c r="L622" s="4"/>
      <c r="M622" s="4"/>
      <c r="N622" s="4"/>
      <c r="O622" s="4"/>
    </row>
    <row r="623" spans="11:15" ht="15.75" customHeight="1">
      <c r="K623" s="4"/>
      <c r="L623" s="4"/>
      <c r="M623" s="4"/>
      <c r="N623" s="4"/>
      <c r="O623" s="4"/>
    </row>
    <row r="624" spans="11:15" ht="15.75" customHeight="1">
      <c r="K624" s="4"/>
      <c r="L624" s="4"/>
      <c r="M624" s="4"/>
      <c r="N624" s="4"/>
      <c r="O624" s="4"/>
    </row>
    <row r="625" spans="11:15" ht="15.75" customHeight="1">
      <c r="K625" s="4"/>
      <c r="L625" s="4"/>
      <c r="M625" s="4"/>
      <c r="N625" s="4"/>
      <c r="O625" s="4"/>
    </row>
    <row r="626" spans="11:15" ht="15.75" customHeight="1">
      <c r="K626" s="4"/>
      <c r="L626" s="4"/>
      <c r="M626" s="4"/>
      <c r="N626" s="4"/>
      <c r="O626" s="4"/>
    </row>
    <row r="627" spans="11:15" ht="15.75" customHeight="1">
      <c r="K627" s="4"/>
      <c r="L627" s="4"/>
      <c r="M627" s="4"/>
      <c r="N627" s="4"/>
      <c r="O627" s="4"/>
    </row>
    <row r="628" spans="11:15" ht="15.75" customHeight="1">
      <c r="K628" s="4"/>
      <c r="L628" s="4"/>
      <c r="M628" s="4"/>
      <c r="N628" s="4"/>
      <c r="O628" s="4"/>
    </row>
    <row r="629" spans="11:15" ht="15.75" customHeight="1">
      <c r="K629" s="4"/>
      <c r="L629" s="4"/>
      <c r="M629" s="4"/>
      <c r="N629" s="4"/>
      <c r="O629" s="4"/>
    </row>
    <row r="630" spans="11:15" ht="15.75" customHeight="1">
      <c r="K630" s="4"/>
      <c r="L630" s="4"/>
      <c r="M630" s="4"/>
      <c r="N630" s="4"/>
      <c r="O630" s="4"/>
    </row>
    <row r="631" spans="11:15" ht="15.75" customHeight="1">
      <c r="K631" s="4"/>
      <c r="L631" s="4"/>
      <c r="M631" s="4"/>
      <c r="N631" s="4"/>
      <c r="O631" s="4"/>
    </row>
    <row r="632" spans="11:15" ht="15.75" customHeight="1">
      <c r="K632" s="4"/>
      <c r="L632" s="4"/>
      <c r="M632" s="4"/>
      <c r="N632" s="4"/>
      <c r="O632" s="4"/>
    </row>
    <row r="633" spans="11:15" ht="15.75" customHeight="1">
      <c r="K633" s="4"/>
      <c r="L633" s="4"/>
      <c r="M633" s="4"/>
      <c r="N633" s="4"/>
      <c r="O633" s="4"/>
    </row>
    <row r="634" spans="11:15" ht="15.75" customHeight="1">
      <c r="K634" s="4"/>
      <c r="L634" s="4"/>
      <c r="M634" s="4"/>
      <c r="N634" s="4"/>
      <c r="O634" s="4"/>
    </row>
    <row r="635" spans="11:15" ht="15.75" customHeight="1">
      <c r="K635" s="4"/>
      <c r="L635" s="4"/>
      <c r="M635" s="4"/>
      <c r="N635" s="4"/>
      <c r="O635" s="4"/>
    </row>
    <row r="636" spans="11:15" ht="15.75" customHeight="1">
      <c r="K636" s="4"/>
      <c r="L636" s="4"/>
      <c r="M636" s="4"/>
      <c r="N636" s="4"/>
      <c r="O636" s="4"/>
    </row>
    <row r="637" spans="11:15" ht="15.75" customHeight="1">
      <c r="K637" s="4"/>
      <c r="L637" s="4"/>
      <c r="M637" s="4"/>
      <c r="N637" s="4"/>
      <c r="O637" s="4"/>
    </row>
    <row r="638" spans="11:15" ht="15.75" customHeight="1">
      <c r="K638" s="4"/>
      <c r="L638" s="4"/>
      <c r="M638" s="4"/>
      <c r="N638" s="4"/>
      <c r="O638" s="4"/>
    </row>
    <row r="639" spans="11:15" ht="15.75" customHeight="1">
      <c r="K639" s="4"/>
      <c r="L639" s="4"/>
      <c r="M639" s="4"/>
      <c r="N639" s="4"/>
      <c r="O639" s="4"/>
    </row>
    <row r="640" spans="11:15" ht="15.75" customHeight="1">
      <c r="K640" s="4"/>
      <c r="L640" s="4"/>
      <c r="M640" s="4"/>
      <c r="N640" s="4"/>
      <c r="O640" s="4"/>
    </row>
    <row r="641" spans="11:15" ht="15.75" customHeight="1">
      <c r="K641" s="4"/>
      <c r="L641" s="4"/>
      <c r="M641" s="4"/>
      <c r="N641" s="4"/>
      <c r="O641" s="4"/>
    </row>
    <row r="642" spans="11:15" ht="15.75" customHeight="1">
      <c r="K642" s="4"/>
      <c r="L642" s="4"/>
      <c r="M642" s="4"/>
      <c r="N642" s="4"/>
      <c r="O642" s="4"/>
    </row>
    <row r="643" spans="11:15" ht="15.75" customHeight="1">
      <c r="K643" s="4"/>
      <c r="L643" s="4"/>
      <c r="M643" s="4"/>
      <c r="N643" s="4"/>
      <c r="O643" s="4"/>
    </row>
    <row r="644" spans="11:15" ht="15.75" customHeight="1">
      <c r="K644" s="4"/>
      <c r="L644" s="4"/>
      <c r="M644" s="4"/>
      <c r="N644" s="4"/>
      <c r="O644" s="4"/>
    </row>
    <row r="645" spans="11:15" ht="15.75" customHeight="1">
      <c r="K645" s="4"/>
      <c r="L645" s="4"/>
      <c r="M645" s="4"/>
      <c r="N645" s="4"/>
      <c r="O645" s="4"/>
    </row>
    <row r="646" spans="11:15" ht="15.75" customHeight="1">
      <c r="K646" s="4"/>
      <c r="L646" s="4"/>
      <c r="M646" s="4"/>
      <c r="N646" s="4"/>
      <c r="O646" s="4"/>
    </row>
    <row r="647" spans="11:15" ht="15.75" customHeight="1">
      <c r="K647" s="4"/>
      <c r="L647" s="4"/>
      <c r="M647" s="4"/>
      <c r="N647" s="4"/>
      <c r="O647" s="4"/>
    </row>
    <row r="648" spans="11:15" ht="15.75" customHeight="1">
      <c r="K648" s="4"/>
      <c r="L648" s="4"/>
      <c r="M648" s="4"/>
      <c r="N648" s="4"/>
      <c r="O648" s="4"/>
    </row>
    <row r="649" spans="11:15" ht="15.75" customHeight="1">
      <c r="K649" s="4"/>
      <c r="L649" s="4"/>
      <c r="M649" s="4"/>
      <c r="N649" s="4"/>
      <c r="O649" s="4"/>
    </row>
    <row r="650" spans="11:15" ht="15.75" customHeight="1">
      <c r="K650" s="4"/>
      <c r="L650" s="4"/>
      <c r="M650" s="4"/>
      <c r="N650" s="4"/>
      <c r="O650" s="4"/>
    </row>
    <row r="651" spans="11:15" ht="15.75" customHeight="1">
      <c r="K651" s="4"/>
      <c r="L651" s="4"/>
      <c r="M651" s="4"/>
      <c r="N651" s="4"/>
      <c r="O651" s="4"/>
    </row>
    <row r="652" spans="11:15" ht="15.75" customHeight="1">
      <c r="K652" s="4"/>
      <c r="L652" s="4"/>
      <c r="M652" s="4"/>
      <c r="N652" s="4"/>
      <c r="O652" s="4"/>
    </row>
    <row r="653" spans="11:15" ht="15.75" customHeight="1">
      <c r="K653" s="4"/>
      <c r="L653" s="4"/>
      <c r="M653" s="4"/>
      <c r="N653" s="4"/>
      <c r="O653" s="4"/>
    </row>
    <row r="654" spans="11:15" ht="15.75" customHeight="1">
      <c r="K654" s="4"/>
      <c r="L654" s="4"/>
      <c r="M654" s="4"/>
      <c r="N654" s="4"/>
      <c r="O654" s="4"/>
    </row>
    <row r="655" spans="11:15" ht="15.75" customHeight="1">
      <c r="K655" s="4"/>
      <c r="L655" s="4"/>
      <c r="M655" s="4"/>
      <c r="N655" s="4"/>
      <c r="O655" s="4"/>
    </row>
    <row r="656" spans="11:15" ht="15.75" customHeight="1">
      <c r="K656" s="4"/>
      <c r="L656" s="4"/>
      <c r="M656" s="4"/>
      <c r="N656" s="4"/>
      <c r="O656" s="4"/>
    </row>
    <row r="657" spans="11:15" ht="15.75" customHeight="1">
      <c r="K657" s="4"/>
      <c r="L657" s="4"/>
      <c r="M657" s="4"/>
      <c r="N657" s="4"/>
      <c r="O657" s="4"/>
    </row>
    <row r="658" spans="11:15" ht="15.75" customHeight="1">
      <c r="K658" s="4"/>
      <c r="L658" s="4"/>
      <c r="M658" s="4"/>
      <c r="N658" s="4"/>
      <c r="O658" s="4"/>
    </row>
    <row r="659" spans="11:15" ht="15.75" customHeight="1">
      <c r="K659" s="4"/>
      <c r="L659" s="4"/>
      <c r="M659" s="4"/>
      <c r="N659" s="4"/>
      <c r="O659" s="4"/>
    </row>
    <row r="660" spans="11:15" ht="15.75" customHeight="1">
      <c r="K660" s="4"/>
      <c r="L660" s="4"/>
      <c r="M660" s="4"/>
      <c r="N660" s="4"/>
      <c r="O660" s="4"/>
    </row>
    <row r="661" spans="11:15" ht="15.75" customHeight="1">
      <c r="K661" s="4"/>
      <c r="L661" s="4"/>
      <c r="M661" s="4"/>
      <c r="N661" s="4"/>
      <c r="O661" s="4"/>
    </row>
    <row r="662" spans="11:15" ht="15.75" customHeight="1">
      <c r="K662" s="4"/>
      <c r="L662" s="4"/>
      <c r="M662" s="4"/>
      <c r="N662" s="4"/>
      <c r="O662" s="4"/>
    </row>
    <row r="663" spans="11:15" ht="15.75" customHeight="1">
      <c r="K663" s="4"/>
      <c r="L663" s="4"/>
      <c r="M663" s="4"/>
      <c r="N663" s="4"/>
      <c r="O663" s="4"/>
    </row>
    <row r="664" spans="11:15" ht="15.75" customHeight="1">
      <c r="K664" s="4"/>
      <c r="L664" s="4"/>
      <c r="M664" s="4"/>
      <c r="N664" s="4"/>
      <c r="O664" s="4"/>
    </row>
    <row r="665" spans="11:15" ht="15.75" customHeight="1">
      <c r="K665" s="4"/>
      <c r="L665" s="4"/>
      <c r="M665" s="4"/>
      <c r="N665" s="4"/>
      <c r="O665" s="4"/>
    </row>
    <row r="666" spans="11:15" ht="15.75" customHeight="1">
      <c r="K666" s="4"/>
      <c r="L666" s="4"/>
      <c r="M666" s="4"/>
      <c r="N666" s="4"/>
      <c r="O666" s="4"/>
    </row>
    <row r="667" spans="11:15" ht="15.75" customHeight="1">
      <c r="K667" s="4"/>
      <c r="L667" s="4"/>
      <c r="M667" s="4"/>
      <c r="N667" s="4"/>
      <c r="O667" s="4"/>
    </row>
    <row r="668" spans="11:15" ht="15.75" customHeight="1">
      <c r="K668" s="4"/>
      <c r="L668" s="4"/>
      <c r="M668" s="4"/>
      <c r="N668" s="4"/>
      <c r="O668" s="4"/>
    </row>
    <row r="669" spans="11:15" ht="15.75" customHeight="1">
      <c r="K669" s="4"/>
      <c r="L669" s="4"/>
      <c r="M669" s="4"/>
      <c r="N669" s="4"/>
      <c r="O669" s="4"/>
    </row>
    <row r="670" spans="11:15" ht="15.75" customHeight="1">
      <c r="K670" s="4"/>
      <c r="L670" s="4"/>
      <c r="M670" s="4"/>
      <c r="N670" s="4"/>
      <c r="O670" s="4"/>
    </row>
    <row r="671" spans="11:15" ht="15.75" customHeight="1">
      <c r="K671" s="4"/>
      <c r="L671" s="4"/>
      <c r="M671" s="4"/>
      <c r="N671" s="4"/>
      <c r="O671" s="4"/>
    </row>
    <row r="672" spans="11:15" ht="15.75" customHeight="1">
      <c r="K672" s="4"/>
      <c r="L672" s="4"/>
      <c r="M672" s="4"/>
      <c r="N672" s="4"/>
      <c r="O672" s="4"/>
    </row>
    <row r="673" spans="11:15" ht="15.75" customHeight="1">
      <c r="K673" s="4"/>
      <c r="L673" s="4"/>
      <c r="M673" s="4"/>
      <c r="N673" s="4"/>
      <c r="O673" s="4"/>
    </row>
    <row r="674" spans="11:15" ht="15.75" customHeight="1">
      <c r="K674" s="4"/>
      <c r="L674" s="4"/>
      <c r="M674" s="4"/>
      <c r="N674" s="4"/>
      <c r="O674" s="4"/>
    </row>
    <row r="675" spans="11:15" ht="15.75" customHeight="1">
      <c r="K675" s="4"/>
      <c r="L675" s="4"/>
      <c r="M675" s="4"/>
      <c r="N675" s="4"/>
      <c r="O675" s="4"/>
    </row>
    <row r="676" spans="11:15" ht="15.75" customHeight="1">
      <c r="K676" s="4"/>
      <c r="L676" s="4"/>
      <c r="M676" s="4"/>
      <c r="N676" s="4"/>
      <c r="O676" s="4"/>
    </row>
    <row r="677" spans="11:15" ht="15.75" customHeight="1">
      <c r="K677" s="4"/>
      <c r="L677" s="4"/>
      <c r="M677" s="4"/>
      <c r="N677" s="4"/>
      <c r="O677" s="4"/>
    </row>
    <row r="678" spans="11:15" ht="15.75" customHeight="1">
      <c r="K678" s="4"/>
      <c r="L678" s="4"/>
      <c r="M678" s="4"/>
      <c r="N678" s="4"/>
      <c r="O678" s="4"/>
    </row>
    <row r="679" spans="11:15" ht="15.75" customHeight="1">
      <c r="K679" s="4"/>
      <c r="L679" s="4"/>
      <c r="M679" s="4"/>
      <c r="N679" s="4"/>
      <c r="O679" s="4"/>
    </row>
    <row r="680" spans="11:15" ht="15.75" customHeight="1">
      <c r="K680" s="4"/>
      <c r="L680" s="4"/>
      <c r="M680" s="4"/>
      <c r="N680" s="4"/>
      <c r="O680" s="4"/>
    </row>
    <row r="681" spans="11:15" ht="15.75" customHeight="1">
      <c r="K681" s="4"/>
      <c r="L681" s="4"/>
      <c r="M681" s="4"/>
      <c r="N681" s="4"/>
      <c r="O681" s="4"/>
    </row>
    <row r="682" spans="11:15" ht="15.75" customHeight="1">
      <c r="K682" s="4"/>
      <c r="L682" s="4"/>
      <c r="M682" s="4"/>
      <c r="N682" s="4"/>
      <c r="O682" s="4"/>
    </row>
    <row r="683" spans="11:15" ht="15.75" customHeight="1">
      <c r="K683" s="4"/>
      <c r="L683" s="4"/>
      <c r="M683" s="4"/>
      <c r="N683" s="4"/>
      <c r="O683" s="4"/>
    </row>
    <row r="684" spans="11:15" ht="15.75" customHeight="1">
      <c r="K684" s="4"/>
      <c r="L684" s="4"/>
      <c r="M684" s="4"/>
      <c r="N684" s="4"/>
      <c r="O684" s="4"/>
    </row>
    <row r="685" spans="11:15" ht="15.75" customHeight="1">
      <c r="K685" s="4"/>
      <c r="L685" s="4"/>
      <c r="M685" s="4"/>
      <c r="N685" s="4"/>
      <c r="O685" s="4"/>
    </row>
    <row r="686" spans="11:15" ht="15.75" customHeight="1">
      <c r="K686" s="4"/>
      <c r="L686" s="4"/>
      <c r="M686" s="4"/>
      <c r="N686" s="4"/>
      <c r="O686" s="4"/>
    </row>
    <row r="687" spans="11:15" ht="15.75" customHeight="1">
      <c r="K687" s="4"/>
      <c r="L687" s="4"/>
      <c r="M687" s="4"/>
      <c r="N687" s="4"/>
      <c r="O687" s="4"/>
    </row>
    <row r="688" spans="11:15" ht="15.75" customHeight="1">
      <c r="K688" s="4"/>
      <c r="L688" s="4"/>
      <c r="M688" s="4"/>
      <c r="N688" s="4"/>
      <c r="O688" s="4"/>
    </row>
    <row r="689" spans="11:15" ht="15.75" customHeight="1">
      <c r="K689" s="4"/>
      <c r="L689" s="4"/>
      <c r="M689" s="4"/>
      <c r="N689" s="4"/>
      <c r="O689" s="4"/>
    </row>
    <row r="690" spans="11:15" ht="15.75" customHeight="1">
      <c r="K690" s="4"/>
      <c r="L690" s="4"/>
      <c r="M690" s="4"/>
      <c r="N690" s="4"/>
      <c r="O690" s="4"/>
    </row>
    <row r="691" spans="11:15" ht="15.75" customHeight="1">
      <c r="K691" s="4"/>
      <c r="L691" s="4"/>
      <c r="M691" s="4"/>
      <c r="N691" s="4"/>
      <c r="O691" s="4"/>
    </row>
    <row r="692" spans="11:15" ht="15.75" customHeight="1">
      <c r="K692" s="4"/>
      <c r="L692" s="4"/>
      <c r="M692" s="4"/>
      <c r="N692" s="4"/>
      <c r="O692" s="4"/>
    </row>
    <row r="693" spans="11:15" ht="15.75" customHeight="1">
      <c r="K693" s="4"/>
      <c r="L693" s="4"/>
      <c r="M693" s="4"/>
      <c r="N693" s="4"/>
      <c r="O693" s="4"/>
    </row>
    <row r="694" spans="11:15" ht="15.75" customHeight="1">
      <c r="K694" s="4"/>
      <c r="L694" s="4"/>
      <c r="M694" s="4"/>
      <c r="N694" s="4"/>
      <c r="O694" s="4"/>
    </row>
    <row r="695" spans="11:15" ht="15.75" customHeight="1">
      <c r="K695" s="4"/>
      <c r="L695" s="4"/>
      <c r="M695" s="4"/>
      <c r="N695" s="4"/>
      <c r="O695" s="4"/>
    </row>
    <row r="696" spans="11:15" ht="15.75" customHeight="1">
      <c r="K696" s="4"/>
      <c r="L696" s="4"/>
      <c r="M696" s="4"/>
      <c r="N696" s="4"/>
      <c r="O696" s="4"/>
    </row>
    <row r="697" spans="11:15" ht="15.75" customHeight="1">
      <c r="K697" s="4"/>
      <c r="L697" s="4"/>
      <c r="M697" s="4"/>
      <c r="N697" s="4"/>
      <c r="O697" s="4"/>
    </row>
    <row r="698" spans="11:15" ht="15.75" customHeight="1">
      <c r="K698" s="4"/>
      <c r="L698" s="4"/>
      <c r="M698" s="4"/>
      <c r="N698" s="4"/>
      <c r="O698" s="4"/>
    </row>
    <row r="699" spans="11:15" ht="15.75" customHeight="1">
      <c r="K699" s="4"/>
      <c r="L699" s="4"/>
      <c r="M699" s="4"/>
      <c r="N699" s="4"/>
      <c r="O699" s="4"/>
    </row>
    <row r="700" spans="11:15" ht="15.75" customHeight="1">
      <c r="K700" s="4"/>
      <c r="L700" s="4"/>
      <c r="M700" s="4"/>
      <c r="N700" s="4"/>
      <c r="O700" s="4"/>
    </row>
    <row r="701" spans="11:15" ht="15.75" customHeight="1">
      <c r="K701" s="4"/>
      <c r="L701" s="4"/>
      <c r="M701" s="4"/>
      <c r="N701" s="4"/>
      <c r="O701" s="4"/>
    </row>
    <row r="702" spans="11:15" ht="15.75" customHeight="1">
      <c r="K702" s="4"/>
      <c r="L702" s="4"/>
      <c r="M702" s="4"/>
      <c r="N702" s="4"/>
      <c r="O702" s="4"/>
    </row>
    <row r="703" spans="11:15" ht="15.75" customHeight="1">
      <c r="K703" s="4"/>
      <c r="L703" s="4"/>
      <c r="M703" s="4"/>
      <c r="N703" s="4"/>
      <c r="O703" s="4"/>
    </row>
    <row r="704" spans="11:15" ht="15.75" customHeight="1">
      <c r="K704" s="4"/>
      <c r="L704" s="4"/>
      <c r="M704" s="4"/>
      <c r="N704" s="4"/>
      <c r="O704" s="4"/>
    </row>
    <row r="705" spans="11:15" ht="15.75" customHeight="1">
      <c r="K705" s="4"/>
      <c r="L705" s="4"/>
      <c r="M705" s="4"/>
      <c r="N705" s="4"/>
      <c r="O705" s="4"/>
    </row>
    <row r="706" spans="11:15" ht="15.75" customHeight="1">
      <c r="K706" s="4"/>
      <c r="L706" s="4"/>
      <c r="M706" s="4"/>
      <c r="N706" s="4"/>
      <c r="O706" s="4"/>
    </row>
    <row r="707" spans="11:15" ht="15.75" customHeight="1">
      <c r="K707" s="4"/>
      <c r="L707" s="4"/>
      <c r="M707" s="4"/>
      <c r="N707" s="4"/>
      <c r="O707" s="4"/>
    </row>
    <row r="708" spans="11:15" ht="15.75" customHeight="1">
      <c r="K708" s="4"/>
      <c r="L708" s="4"/>
      <c r="M708" s="4"/>
      <c r="N708" s="4"/>
      <c r="O708" s="4"/>
    </row>
    <row r="709" spans="11:15" ht="15.75" customHeight="1">
      <c r="K709" s="4"/>
      <c r="L709" s="4"/>
      <c r="M709" s="4"/>
      <c r="N709" s="4"/>
      <c r="O709" s="4"/>
    </row>
    <row r="710" spans="11:15" ht="15.75" customHeight="1">
      <c r="K710" s="4"/>
      <c r="L710" s="4"/>
      <c r="M710" s="4"/>
      <c r="N710" s="4"/>
      <c r="O710" s="4"/>
    </row>
    <row r="711" spans="11:15" ht="15.75" customHeight="1">
      <c r="K711" s="4"/>
      <c r="L711" s="4"/>
      <c r="M711" s="4"/>
      <c r="N711" s="4"/>
      <c r="O711" s="4"/>
    </row>
    <row r="712" spans="11:15" ht="15.75" customHeight="1">
      <c r="K712" s="4"/>
      <c r="L712" s="4"/>
      <c r="M712" s="4"/>
      <c r="N712" s="4"/>
      <c r="O712" s="4"/>
    </row>
    <row r="713" spans="11:15" ht="15.75" customHeight="1">
      <c r="K713" s="4"/>
      <c r="L713" s="4"/>
      <c r="M713" s="4"/>
      <c r="N713" s="4"/>
      <c r="O713" s="4"/>
    </row>
    <row r="714" spans="11:15" ht="15.75" customHeight="1">
      <c r="K714" s="4"/>
      <c r="L714" s="4"/>
      <c r="M714" s="4"/>
      <c r="N714" s="4"/>
      <c r="O714" s="4"/>
    </row>
    <row r="715" spans="11:15" ht="15.75" customHeight="1">
      <c r="K715" s="4"/>
      <c r="L715" s="4"/>
      <c r="M715" s="4"/>
      <c r="N715" s="4"/>
      <c r="O715" s="4"/>
    </row>
    <row r="716" spans="11:15" ht="15.75" customHeight="1">
      <c r="K716" s="4"/>
      <c r="L716" s="4"/>
      <c r="M716" s="4"/>
      <c r="N716" s="4"/>
      <c r="O716" s="4"/>
    </row>
    <row r="717" spans="11:15" ht="15.75" customHeight="1">
      <c r="K717" s="4"/>
      <c r="L717" s="4"/>
      <c r="M717" s="4"/>
      <c r="N717" s="4"/>
      <c r="O717" s="4"/>
    </row>
    <row r="718" spans="11:15" ht="15.75" customHeight="1">
      <c r="K718" s="4"/>
      <c r="L718" s="4"/>
      <c r="M718" s="4"/>
      <c r="N718" s="4"/>
      <c r="O718" s="4"/>
    </row>
    <row r="719" spans="11:15" ht="15.75" customHeight="1">
      <c r="K719" s="4"/>
      <c r="L719" s="4"/>
      <c r="M719" s="4"/>
      <c r="N719" s="4"/>
      <c r="O719" s="4"/>
    </row>
    <row r="720" spans="11:15" ht="15.75" customHeight="1">
      <c r="K720" s="4"/>
      <c r="L720" s="4"/>
      <c r="M720" s="4"/>
      <c r="N720" s="4"/>
      <c r="O720" s="4"/>
    </row>
    <row r="721" spans="11:15" ht="15.75" customHeight="1">
      <c r="K721" s="4"/>
      <c r="L721" s="4"/>
      <c r="M721" s="4"/>
      <c r="N721" s="4"/>
      <c r="O721" s="4"/>
    </row>
    <row r="722" spans="11:15" ht="15.75" customHeight="1">
      <c r="K722" s="4"/>
      <c r="L722" s="4"/>
      <c r="M722" s="4"/>
      <c r="N722" s="4"/>
      <c r="O722" s="4"/>
    </row>
    <row r="723" spans="11:15" ht="15.75" customHeight="1">
      <c r="K723" s="4"/>
      <c r="L723" s="4"/>
      <c r="M723" s="4"/>
      <c r="N723" s="4"/>
      <c r="O723" s="4"/>
    </row>
    <row r="724" spans="11:15" ht="15.75" customHeight="1">
      <c r="K724" s="4"/>
      <c r="L724" s="4"/>
      <c r="M724" s="4"/>
      <c r="N724" s="4"/>
      <c r="O724" s="4"/>
    </row>
    <row r="725" spans="11:15" ht="15.75" customHeight="1">
      <c r="K725" s="4"/>
      <c r="L725" s="4"/>
      <c r="M725" s="4"/>
      <c r="N725" s="4"/>
      <c r="O725" s="4"/>
    </row>
    <row r="726" spans="11:15" ht="15.75" customHeight="1">
      <c r="K726" s="4"/>
      <c r="L726" s="4"/>
      <c r="M726" s="4"/>
      <c r="N726" s="4"/>
      <c r="O726" s="4"/>
    </row>
    <row r="727" spans="11:15" ht="15.75" customHeight="1">
      <c r="K727" s="4"/>
      <c r="L727" s="4"/>
      <c r="M727" s="4"/>
      <c r="N727" s="4"/>
      <c r="O727" s="4"/>
    </row>
    <row r="728" spans="11:15" ht="15.75" customHeight="1">
      <c r="K728" s="4"/>
      <c r="L728" s="4"/>
      <c r="M728" s="4"/>
      <c r="N728" s="4"/>
      <c r="O728" s="4"/>
    </row>
    <row r="729" spans="11:15" ht="15.75" customHeight="1">
      <c r="K729" s="4"/>
      <c r="L729" s="4"/>
      <c r="M729" s="4"/>
      <c r="N729" s="4"/>
      <c r="O729" s="4"/>
    </row>
    <row r="730" spans="11:15" ht="15.75" customHeight="1">
      <c r="K730" s="4"/>
      <c r="L730" s="4"/>
      <c r="M730" s="4"/>
      <c r="N730" s="4"/>
      <c r="O730" s="4"/>
    </row>
    <row r="731" spans="11:15" ht="15.75" customHeight="1">
      <c r="K731" s="4"/>
      <c r="L731" s="4"/>
      <c r="M731" s="4"/>
      <c r="N731" s="4"/>
      <c r="O731" s="4"/>
    </row>
    <row r="732" spans="11:15" ht="15.75" customHeight="1">
      <c r="K732" s="4"/>
      <c r="L732" s="4"/>
      <c r="M732" s="4"/>
      <c r="N732" s="4"/>
      <c r="O732" s="4"/>
    </row>
    <row r="733" spans="11:15" ht="15.75" customHeight="1">
      <c r="K733" s="4"/>
      <c r="L733" s="4"/>
      <c r="M733" s="4"/>
      <c r="N733" s="4"/>
      <c r="O733" s="4"/>
    </row>
    <row r="734" spans="11:15" ht="15.75" customHeight="1">
      <c r="K734" s="4"/>
      <c r="L734" s="4"/>
      <c r="M734" s="4"/>
      <c r="N734" s="4"/>
      <c r="O734" s="4"/>
    </row>
    <row r="735" spans="11:15" ht="15.75" customHeight="1">
      <c r="K735" s="4"/>
      <c r="L735" s="4"/>
      <c r="M735" s="4"/>
      <c r="N735" s="4"/>
      <c r="O735" s="4"/>
    </row>
    <row r="736" spans="11:15" ht="15.75" customHeight="1">
      <c r="K736" s="4"/>
      <c r="L736" s="4"/>
      <c r="M736" s="4"/>
      <c r="N736" s="4"/>
      <c r="O736" s="4"/>
    </row>
    <row r="737" spans="11:15" ht="15.75" customHeight="1">
      <c r="K737" s="4"/>
      <c r="L737" s="4"/>
      <c r="M737" s="4"/>
      <c r="N737" s="4"/>
      <c r="O737" s="4"/>
    </row>
    <row r="738" spans="11:15" ht="15.75" customHeight="1">
      <c r="K738" s="4"/>
      <c r="L738" s="4"/>
      <c r="M738" s="4"/>
      <c r="N738" s="4"/>
      <c r="O738" s="4"/>
    </row>
    <row r="739" spans="11:15" ht="15.75" customHeight="1">
      <c r="K739" s="4"/>
      <c r="L739" s="4"/>
      <c r="M739" s="4"/>
      <c r="N739" s="4"/>
      <c r="O739" s="4"/>
    </row>
    <row r="740" spans="11:15" ht="15.75" customHeight="1">
      <c r="K740" s="4"/>
      <c r="L740" s="4"/>
      <c r="M740" s="4"/>
      <c r="N740" s="4"/>
      <c r="O740" s="4"/>
    </row>
    <row r="741" spans="11:15" ht="15.75" customHeight="1">
      <c r="K741" s="4"/>
      <c r="L741" s="4"/>
      <c r="M741" s="4"/>
      <c r="N741" s="4"/>
      <c r="O741" s="4"/>
    </row>
    <row r="742" spans="11:15" ht="15.75" customHeight="1">
      <c r="K742" s="4"/>
      <c r="L742" s="4"/>
      <c r="M742" s="4"/>
      <c r="N742" s="4"/>
      <c r="O742" s="4"/>
    </row>
    <row r="743" spans="11:15" ht="15.75" customHeight="1">
      <c r="K743" s="4"/>
      <c r="L743" s="4"/>
      <c r="M743" s="4"/>
      <c r="N743" s="4"/>
      <c r="O743" s="4"/>
    </row>
    <row r="744" spans="11:15" ht="15.75" customHeight="1">
      <c r="K744" s="4"/>
      <c r="L744" s="4"/>
      <c r="M744" s="4"/>
      <c r="N744" s="4"/>
      <c r="O744" s="4"/>
    </row>
    <row r="745" spans="11:15" ht="15.75" customHeight="1">
      <c r="K745" s="4"/>
      <c r="L745" s="4"/>
      <c r="M745" s="4"/>
      <c r="N745" s="4"/>
      <c r="O745" s="4"/>
    </row>
    <row r="746" spans="11:15" ht="15.75" customHeight="1">
      <c r="K746" s="4"/>
      <c r="L746" s="4"/>
      <c r="M746" s="4"/>
      <c r="N746" s="4"/>
      <c r="O746" s="4"/>
    </row>
    <row r="747" spans="11:15" ht="15.75" customHeight="1">
      <c r="K747" s="4"/>
      <c r="L747" s="4"/>
      <c r="M747" s="4"/>
      <c r="N747" s="4"/>
      <c r="O747" s="4"/>
    </row>
    <row r="748" spans="11:15" ht="15.75" customHeight="1">
      <c r="K748" s="4"/>
      <c r="L748" s="4"/>
      <c r="M748" s="4"/>
      <c r="N748" s="4"/>
      <c r="O748" s="4"/>
    </row>
    <row r="749" spans="11:15" ht="15.75" customHeight="1">
      <c r="K749" s="4"/>
      <c r="L749" s="4"/>
      <c r="M749" s="4"/>
      <c r="N749" s="4"/>
      <c r="O749" s="4"/>
    </row>
    <row r="750" spans="11:15" ht="15.75" customHeight="1">
      <c r="K750" s="4"/>
      <c r="L750" s="4"/>
      <c r="M750" s="4"/>
      <c r="N750" s="4"/>
      <c r="O750" s="4"/>
    </row>
    <row r="751" spans="11:15" ht="15.75" customHeight="1">
      <c r="K751" s="4"/>
      <c r="L751" s="4"/>
      <c r="M751" s="4"/>
      <c r="N751" s="4"/>
      <c r="O751" s="4"/>
    </row>
    <row r="752" spans="11:15" ht="15.75" customHeight="1">
      <c r="K752" s="4"/>
      <c r="L752" s="4"/>
      <c r="M752" s="4"/>
      <c r="N752" s="4"/>
      <c r="O752" s="4"/>
    </row>
    <row r="753" spans="11:15" ht="15.75" customHeight="1">
      <c r="K753" s="4"/>
      <c r="L753" s="4"/>
      <c r="M753" s="4"/>
      <c r="N753" s="4"/>
      <c r="O753" s="4"/>
    </row>
    <row r="754" spans="11:15" ht="15.75" customHeight="1">
      <c r="K754" s="4"/>
      <c r="L754" s="4"/>
      <c r="M754" s="4"/>
      <c r="N754" s="4"/>
      <c r="O754" s="4"/>
    </row>
    <row r="755" spans="11:15" ht="15.75" customHeight="1">
      <c r="K755" s="4"/>
      <c r="L755" s="4"/>
      <c r="M755" s="4"/>
      <c r="N755" s="4"/>
      <c r="O755" s="4"/>
    </row>
    <row r="756" spans="11:15" ht="15.75" customHeight="1">
      <c r="K756" s="4"/>
      <c r="L756" s="4"/>
      <c r="M756" s="4"/>
      <c r="N756" s="4"/>
      <c r="O756" s="4"/>
    </row>
    <row r="757" spans="11:15" ht="15.75" customHeight="1">
      <c r="K757" s="4"/>
      <c r="L757" s="4"/>
      <c r="M757" s="4"/>
      <c r="N757" s="4"/>
      <c r="O757" s="4"/>
    </row>
    <row r="758" spans="11:15" ht="15.75" customHeight="1">
      <c r="K758" s="4"/>
      <c r="L758" s="4"/>
      <c r="M758" s="4"/>
      <c r="N758" s="4"/>
      <c r="O758" s="4"/>
    </row>
    <row r="759" spans="11:15" ht="15.75" customHeight="1">
      <c r="K759" s="4"/>
      <c r="L759" s="4"/>
      <c r="M759" s="4"/>
      <c r="N759" s="4"/>
      <c r="O759" s="4"/>
    </row>
    <row r="760" spans="11:15" ht="15.75" customHeight="1">
      <c r="K760" s="4"/>
      <c r="L760" s="4"/>
      <c r="M760" s="4"/>
      <c r="N760" s="4"/>
      <c r="O760" s="4"/>
    </row>
    <row r="761" spans="11:15" ht="15.75" customHeight="1">
      <c r="K761" s="4"/>
      <c r="L761" s="4"/>
      <c r="M761" s="4"/>
      <c r="N761" s="4"/>
      <c r="O761" s="4"/>
    </row>
    <row r="762" spans="11:15" ht="15.75" customHeight="1">
      <c r="K762" s="4"/>
      <c r="L762" s="4"/>
      <c r="M762" s="4"/>
      <c r="N762" s="4"/>
      <c r="O762" s="4"/>
    </row>
    <row r="763" spans="11:15" ht="15.75" customHeight="1">
      <c r="K763" s="4"/>
      <c r="L763" s="4"/>
      <c r="M763" s="4"/>
      <c r="N763" s="4"/>
      <c r="O763" s="4"/>
    </row>
    <row r="764" spans="11:15" ht="15.75" customHeight="1">
      <c r="K764" s="4"/>
      <c r="L764" s="4"/>
      <c r="M764" s="4"/>
      <c r="N764" s="4"/>
      <c r="O764" s="4"/>
    </row>
    <row r="765" spans="11:15" ht="15.75" customHeight="1">
      <c r="K765" s="4"/>
      <c r="L765" s="4"/>
      <c r="M765" s="4"/>
      <c r="N765" s="4"/>
      <c r="O765" s="4"/>
    </row>
    <row r="766" spans="11:15" ht="15.75" customHeight="1">
      <c r="K766" s="4"/>
      <c r="L766" s="4"/>
      <c r="M766" s="4"/>
      <c r="N766" s="4"/>
      <c r="O766" s="4"/>
    </row>
    <row r="767" spans="11:15" ht="15.75" customHeight="1">
      <c r="K767" s="4"/>
      <c r="L767" s="4"/>
      <c r="M767" s="4"/>
      <c r="N767" s="4"/>
      <c r="O767" s="4"/>
    </row>
    <row r="768" spans="11:15" ht="15.75" customHeight="1">
      <c r="K768" s="4"/>
      <c r="L768" s="4"/>
      <c r="M768" s="4"/>
      <c r="N768" s="4"/>
      <c r="O768" s="4"/>
    </row>
    <row r="769" spans="11:15" ht="15.75" customHeight="1">
      <c r="K769" s="4"/>
      <c r="L769" s="4"/>
      <c r="M769" s="4"/>
      <c r="N769" s="4"/>
      <c r="O769" s="4"/>
    </row>
    <row r="770" spans="11:15" ht="15.75" customHeight="1">
      <c r="K770" s="4"/>
      <c r="L770" s="4"/>
      <c r="M770" s="4"/>
      <c r="N770" s="4"/>
      <c r="O770" s="4"/>
    </row>
    <row r="771" spans="11:15" ht="15.75" customHeight="1">
      <c r="K771" s="4"/>
      <c r="L771" s="4"/>
      <c r="M771" s="4"/>
      <c r="N771" s="4"/>
      <c r="O771" s="4"/>
    </row>
    <row r="772" spans="11:15" ht="15.75" customHeight="1">
      <c r="K772" s="4"/>
      <c r="L772" s="4"/>
      <c r="M772" s="4"/>
      <c r="N772" s="4"/>
      <c r="O772" s="4"/>
    </row>
    <row r="773" spans="11:15" ht="15.75" customHeight="1">
      <c r="K773" s="4"/>
      <c r="L773" s="4"/>
      <c r="M773" s="4"/>
      <c r="N773" s="4"/>
      <c r="O773" s="4"/>
    </row>
    <row r="774" spans="11:15" ht="15.75" customHeight="1">
      <c r="K774" s="4"/>
      <c r="L774" s="4"/>
      <c r="M774" s="4"/>
      <c r="N774" s="4"/>
      <c r="O774" s="4"/>
    </row>
    <row r="775" spans="11:15" ht="15.75" customHeight="1">
      <c r="K775" s="4"/>
      <c r="L775" s="4"/>
      <c r="M775" s="4"/>
      <c r="N775" s="4"/>
      <c r="O775" s="4"/>
    </row>
    <row r="776" spans="11:15" ht="15.75" customHeight="1">
      <c r="K776" s="4"/>
      <c r="L776" s="4"/>
      <c r="M776" s="4"/>
      <c r="N776" s="4"/>
      <c r="O776" s="4"/>
    </row>
    <row r="777" spans="11:15" ht="15.75" customHeight="1">
      <c r="K777" s="4"/>
      <c r="L777" s="4"/>
      <c r="M777" s="4"/>
      <c r="N777" s="4"/>
      <c r="O777" s="4"/>
    </row>
    <row r="778" spans="11:15" ht="15.75" customHeight="1">
      <c r="K778" s="4"/>
      <c r="L778" s="4"/>
      <c r="M778" s="4"/>
      <c r="N778" s="4"/>
      <c r="O778" s="4"/>
    </row>
    <row r="779" spans="11:15" ht="15.75" customHeight="1">
      <c r="K779" s="4"/>
      <c r="L779" s="4"/>
      <c r="M779" s="4"/>
      <c r="N779" s="4"/>
      <c r="O779" s="4"/>
    </row>
    <row r="780" spans="11:15" ht="15.75" customHeight="1">
      <c r="K780" s="4"/>
      <c r="L780" s="4"/>
      <c r="M780" s="4"/>
      <c r="N780" s="4"/>
      <c r="O780" s="4"/>
    </row>
    <row r="781" spans="11:15" ht="15.75" customHeight="1">
      <c r="K781" s="4"/>
      <c r="L781" s="4"/>
      <c r="M781" s="4"/>
      <c r="N781" s="4"/>
      <c r="O781" s="4"/>
    </row>
    <row r="782" spans="11:15" ht="15.75" customHeight="1">
      <c r="K782" s="4"/>
      <c r="L782" s="4"/>
      <c r="M782" s="4"/>
      <c r="N782" s="4"/>
      <c r="O782" s="4"/>
    </row>
    <row r="783" spans="11:15" ht="15.75" customHeight="1">
      <c r="K783" s="4"/>
      <c r="L783" s="4"/>
      <c r="M783" s="4"/>
      <c r="N783" s="4"/>
      <c r="O783" s="4"/>
    </row>
    <row r="784" spans="11:15" ht="15.75" customHeight="1">
      <c r="K784" s="4"/>
      <c r="L784" s="4"/>
      <c r="M784" s="4"/>
      <c r="N784" s="4"/>
      <c r="O784" s="4"/>
    </row>
    <row r="785" spans="11:15" ht="15.75" customHeight="1">
      <c r="K785" s="4"/>
      <c r="L785" s="4"/>
      <c r="M785" s="4"/>
      <c r="N785" s="4"/>
      <c r="O785" s="4"/>
    </row>
    <row r="786" spans="11:15" ht="15.75" customHeight="1">
      <c r="K786" s="4"/>
      <c r="L786" s="4"/>
      <c r="M786" s="4"/>
      <c r="N786" s="4"/>
      <c r="O786" s="4"/>
    </row>
    <row r="787" spans="11:15" ht="15.75" customHeight="1">
      <c r="K787" s="4"/>
      <c r="L787" s="4"/>
      <c r="M787" s="4"/>
      <c r="N787" s="4"/>
      <c r="O787" s="4"/>
    </row>
    <row r="788" spans="11:15" ht="15.75" customHeight="1">
      <c r="K788" s="4"/>
      <c r="L788" s="4"/>
      <c r="M788" s="4"/>
      <c r="N788" s="4"/>
      <c r="O788" s="4"/>
    </row>
    <row r="789" spans="11:15" ht="15.75" customHeight="1">
      <c r="K789" s="4"/>
      <c r="L789" s="4"/>
      <c r="M789" s="4"/>
      <c r="N789" s="4"/>
      <c r="O789" s="4"/>
    </row>
    <row r="790" spans="11:15" ht="15.75" customHeight="1">
      <c r="K790" s="4"/>
      <c r="L790" s="4"/>
      <c r="M790" s="4"/>
      <c r="N790" s="4"/>
      <c r="O790" s="4"/>
    </row>
    <row r="791" spans="11:15" ht="15.75" customHeight="1">
      <c r="K791" s="4"/>
      <c r="L791" s="4"/>
      <c r="M791" s="4"/>
      <c r="N791" s="4"/>
      <c r="O791" s="4"/>
    </row>
    <row r="792" spans="11:15" ht="15.75" customHeight="1">
      <c r="K792" s="4"/>
      <c r="L792" s="4"/>
      <c r="M792" s="4"/>
      <c r="N792" s="4"/>
      <c r="O792" s="4"/>
    </row>
    <row r="793" spans="11:15" ht="15.75" customHeight="1">
      <c r="K793" s="4"/>
      <c r="L793" s="4"/>
      <c r="M793" s="4"/>
      <c r="N793" s="4"/>
      <c r="O793" s="4"/>
    </row>
    <row r="794" spans="11:15" ht="15.75" customHeight="1">
      <c r="K794" s="4"/>
      <c r="L794" s="4"/>
      <c r="M794" s="4"/>
      <c r="N794" s="4"/>
      <c r="O794" s="4"/>
    </row>
    <row r="795" spans="11:15" ht="15.75" customHeight="1">
      <c r="K795" s="4"/>
      <c r="L795" s="4"/>
      <c r="M795" s="4"/>
      <c r="N795" s="4"/>
      <c r="O795" s="4"/>
    </row>
    <row r="796" spans="11:15" ht="15.75" customHeight="1">
      <c r="K796" s="4"/>
      <c r="L796" s="4"/>
      <c r="M796" s="4"/>
      <c r="N796" s="4"/>
      <c r="O796" s="4"/>
    </row>
    <row r="797" spans="11:15" ht="15.75" customHeight="1">
      <c r="K797" s="4"/>
      <c r="L797" s="4"/>
      <c r="M797" s="4"/>
      <c r="N797" s="4"/>
      <c r="O797" s="4"/>
    </row>
    <row r="798" spans="11:15" ht="15.75" customHeight="1">
      <c r="K798" s="4"/>
      <c r="L798" s="4"/>
      <c r="M798" s="4"/>
      <c r="N798" s="4"/>
      <c r="O798" s="4"/>
    </row>
    <row r="799" spans="11:15" ht="15.75" customHeight="1">
      <c r="K799" s="4"/>
      <c r="L799" s="4"/>
      <c r="M799" s="4"/>
      <c r="N799" s="4"/>
      <c r="O799" s="4"/>
    </row>
    <row r="800" spans="11:15" ht="15.75" customHeight="1">
      <c r="K800" s="4"/>
      <c r="L800" s="4"/>
      <c r="M800" s="4"/>
      <c r="N800" s="4"/>
      <c r="O800" s="4"/>
    </row>
    <row r="801" spans="11:15" ht="15.75" customHeight="1">
      <c r="K801" s="4"/>
      <c r="L801" s="4"/>
      <c r="M801" s="4"/>
      <c r="N801" s="4"/>
      <c r="O801" s="4"/>
    </row>
    <row r="802" spans="11:15" ht="15.75" customHeight="1">
      <c r="K802" s="4"/>
      <c r="L802" s="4"/>
      <c r="M802" s="4"/>
      <c r="N802" s="4"/>
      <c r="O802" s="4"/>
    </row>
    <row r="803" spans="11:15" ht="15.75" customHeight="1">
      <c r="K803" s="4"/>
      <c r="L803" s="4"/>
      <c r="M803" s="4"/>
      <c r="N803" s="4"/>
      <c r="O803" s="4"/>
    </row>
    <row r="804" spans="11:15" ht="15.75" customHeight="1">
      <c r="K804" s="4"/>
      <c r="L804" s="4"/>
      <c r="M804" s="4"/>
      <c r="N804" s="4"/>
      <c r="O804" s="4"/>
    </row>
    <row r="805" spans="11:15" ht="15.75" customHeight="1">
      <c r="K805" s="4"/>
      <c r="L805" s="4"/>
      <c r="M805" s="4"/>
      <c r="N805" s="4"/>
      <c r="O805" s="4"/>
    </row>
    <row r="806" spans="11:15" ht="15.75" customHeight="1">
      <c r="K806" s="4"/>
      <c r="L806" s="4"/>
      <c r="M806" s="4"/>
      <c r="N806" s="4"/>
      <c r="O806" s="4"/>
    </row>
    <row r="807" spans="11:15" ht="15.75" customHeight="1">
      <c r="K807" s="4"/>
      <c r="L807" s="4"/>
      <c r="M807" s="4"/>
      <c r="N807" s="4"/>
      <c r="O807" s="4"/>
    </row>
    <row r="808" spans="11:15" ht="15.75" customHeight="1">
      <c r="K808" s="4"/>
      <c r="L808" s="4"/>
      <c r="M808" s="4"/>
      <c r="N808" s="4"/>
      <c r="O808" s="4"/>
    </row>
    <row r="809" spans="11:15" ht="15.75" customHeight="1">
      <c r="K809" s="4"/>
      <c r="L809" s="4"/>
      <c r="M809" s="4"/>
      <c r="N809" s="4"/>
      <c r="O809" s="4"/>
    </row>
    <row r="810" spans="11:15" ht="15.75" customHeight="1">
      <c r="K810" s="4"/>
      <c r="L810" s="4"/>
      <c r="M810" s="4"/>
      <c r="N810" s="4"/>
      <c r="O810" s="4"/>
    </row>
    <row r="811" spans="11:15" ht="15.75" customHeight="1">
      <c r="K811" s="4"/>
      <c r="L811" s="4"/>
      <c r="M811" s="4"/>
      <c r="N811" s="4"/>
      <c r="O811" s="4"/>
    </row>
    <row r="812" spans="11:15" ht="15.75" customHeight="1">
      <c r="K812" s="4"/>
      <c r="L812" s="4"/>
      <c r="M812" s="4"/>
      <c r="N812" s="4"/>
      <c r="O812" s="4"/>
    </row>
    <row r="813" spans="11:15" ht="15.75" customHeight="1">
      <c r="K813" s="4"/>
      <c r="L813" s="4"/>
      <c r="M813" s="4"/>
      <c r="N813" s="4"/>
      <c r="O813" s="4"/>
    </row>
    <row r="814" spans="11:15" ht="15.75" customHeight="1">
      <c r="K814" s="4"/>
      <c r="L814" s="4"/>
      <c r="M814" s="4"/>
      <c r="N814" s="4"/>
      <c r="O814" s="4"/>
    </row>
    <row r="815" spans="11:15" ht="15.75" customHeight="1">
      <c r="K815" s="4"/>
      <c r="L815" s="4"/>
      <c r="M815" s="4"/>
      <c r="N815" s="4"/>
      <c r="O815" s="4"/>
    </row>
    <row r="816" spans="11:15" ht="15.75" customHeight="1">
      <c r="K816" s="4"/>
      <c r="L816" s="4"/>
      <c r="M816" s="4"/>
      <c r="N816" s="4"/>
      <c r="O816" s="4"/>
    </row>
    <row r="817" spans="11:15" ht="15.75" customHeight="1">
      <c r="K817" s="4"/>
      <c r="L817" s="4"/>
      <c r="M817" s="4"/>
      <c r="N817" s="4"/>
      <c r="O817" s="4"/>
    </row>
    <row r="818" spans="11:15" ht="15.75" customHeight="1">
      <c r="K818" s="4"/>
      <c r="L818" s="4"/>
      <c r="M818" s="4"/>
      <c r="N818" s="4"/>
      <c r="O818" s="4"/>
    </row>
    <row r="819" spans="11:15" ht="15.75" customHeight="1">
      <c r="K819" s="4"/>
      <c r="L819" s="4"/>
      <c r="M819" s="4"/>
      <c r="N819" s="4"/>
      <c r="O819" s="4"/>
    </row>
    <row r="820" spans="11:15" ht="15.75" customHeight="1">
      <c r="K820" s="4"/>
      <c r="L820" s="4"/>
      <c r="M820" s="4"/>
      <c r="N820" s="4"/>
      <c r="O820" s="4"/>
    </row>
    <row r="821" spans="11:15" ht="15.75" customHeight="1">
      <c r="K821" s="4"/>
      <c r="L821" s="4"/>
      <c r="M821" s="4"/>
      <c r="N821" s="4"/>
      <c r="O821" s="4"/>
    </row>
    <row r="822" spans="11:15" ht="15.75" customHeight="1">
      <c r="K822" s="4"/>
      <c r="L822" s="4"/>
      <c r="M822" s="4"/>
      <c r="N822" s="4"/>
      <c r="O822" s="4"/>
    </row>
    <row r="823" spans="11:15" ht="15.75" customHeight="1">
      <c r="K823" s="4"/>
      <c r="L823" s="4"/>
      <c r="M823" s="4"/>
      <c r="N823" s="4"/>
      <c r="O823" s="4"/>
    </row>
    <row r="824" spans="11:15" ht="15.75" customHeight="1">
      <c r="K824" s="4"/>
      <c r="L824" s="4"/>
      <c r="M824" s="4"/>
      <c r="N824" s="4"/>
      <c r="O824" s="4"/>
    </row>
    <row r="825" spans="11:15" ht="15.75" customHeight="1">
      <c r="K825" s="4"/>
      <c r="L825" s="4"/>
      <c r="M825" s="4"/>
      <c r="N825" s="4"/>
      <c r="O825" s="4"/>
    </row>
    <row r="826" spans="11:15" ht="15.75" customHeight="1">
      <c r="K826" s="4"/>
      <c r="L826" s="4"/>
      <c r="M826" s="4"/>
      <c r="N826" s="4"/>
      <c r="O826" s="4"/>
    </row>
    <row r="827" spans="11:15" ht="15.75" customHeight="1">
      <c r="K827" s="4"/>
      <c r="L827" s="4"/>
      <c r="M827" s="4"/>
      <c r="N827" s="4"/>
      <c r="O827" s="4"/>
    </row>
    <row r="828" spans="11:15" ht="15.75" customHeight="1">
      <c r="K828" s="4"/>
      <c r="L828" s="4"/>
      <c r="M828" s="4"/>
      <c r="N828" s="4"/>
      <c r="O828" s="4"/>
    </row>
    <row r="829" spans="11:15" ht="15.75" customHeight="1">
      <c r="K829" s="4"/>
      <c r="L829" s="4"/>
      <c r="M829" s="4"/>
      <c r="N829" s="4"/>
      <c r="O829" s="4"/>
    </row>
    <row r="830" spans="11:15" ht="15.75" customHeight="1">
      <c r="K830" s="4"/>
      <c r="L830" s="4"/>
      <c r="M830" s="4"/>
      <c r="N830" s="4"/>
      <c r="O830" s="4"/>
    </row>
    <row r="831" spans="11:15" ht="15.75" customHeight="1">
      <c r="K831" s="4"/>
      <c r="L831" s="4"/>
      <c r="M831" s="4"/>
      <c r="N831" s="4"/>
      <c r="O831" s="4"/>
    </row>
    <row r="832" spans="11:15" ht="15.75" customHeight="1">
      <c r="K832" s="4"/>
      <c r="L832" s="4"/>
      <c r="M832" s="4"/>
      <c r="N832" s="4"/>
      <c r="O832" s="4"/>
    </row>
    <row r="833" spans="11:15" ht="15.75" customHeight="1">
      <c r="K833" s="4"/>
      <c r="L833" s="4"/>
      <c r="M833" s="4"/>
      <c r="N833" s="4"/>
      <c r="O833" s="4"/>
    </row>
    <row r="834" spans="11:15" ht="15.75" customHeight="1">
      <c r="K834" s="4"/>
      <c r="L834" s="4"/>
      <c r="M834" s="4"/>
      <c r="N834" s="4"/>
      <c r="O834" s="4"/>
    </row>
    <row r="835" spans="11:15" ht="15.75" customHeight="1">
      <c r="K835" s="4"/>
      <c r="L835" s="4"/>
      <c r="M835" s="4"/>
      <c r="N835" s="4"/>
      <c r="O835" s="4"/>
    </row>
    <row r="836" spans="11:15" ht="15.75" customHeight="1">
      <c r="K836" s="4"/>
      <c r="L836" s="4"/>
      <c r="M836" s="4"/>
      <c r="N836" s="4"/>
      <c r="O836" s="4"/>
    </row>
    <row r="837" spans="11:15" ht="15.75" customHeight="1">
      <c r="K837" s="4"/>
      <c r="L837" s="4"/>
      <c r="M837" s="4"/>
      <c r="N837" s="4"/>
      <c r="O837" s="4"/>
    </row>
    <row r="838" spans="11:15" ht="15.75" customHeight="1">
      <c r="K838" s="4"/>
      <c r="L838" s="4"/>
      <c r="M838" s="4"/>
      <c r="N838" s="4"/>
      <c r="O838" s="4"/>
    </row>
    <row r="839" spans="11:15" ht="15.75" customHeight="1">
      <c r="K839" s="4"/>
      <c r="L839" s="4"/>
      <c r="M839" s="4"/>
      <c r="N839" s="4"/>
      <c r="O839" s="4"/>
    </row>
    <row r="840" spans="11:15" ht="15.75" customHeight="1">
      <c r="K840" s="4"/>
      <c r="L840" s="4"/>
      <c r="M840" s="4"/>
      <c r="N840" s="4"/>
      <c r="O840" s="4"/>
    </row>
    <row r="841" spans="11:15" ht="15.75" customHeight="1">
      <c r="K841" s="4"/>
      <c r="L841" s="4"/>
      <c r="M841" s="4"/>
      <c r="N841" s="4"/>
      <c r="O841" s="4"/>
    </row>
    <row r="842" spans="11:15" ht="15.75" customHeight="1">
      <c r="K842" s="4"/>
      <c r="L842" s="4"/>
      <c r="M842" s="4"/>
      <c r="N842" s="4"/>
      <c r="O842" s="4"/>
    </row>
    <row r="843" spans="11:15" ht="15.75" customHeight="1">
      <c r="K843" s="4"/>
      <c r="L843" s="4"/>
      <c r="M843" s="4"/>
      <c r="N843" s="4"/>
      <c r="O843" s="4"/>
    </row>
    <row r="844" spans="11:15" ht="15.75" customHeight="1">
      <c r="K844" s="4"/>
      <c r="L844" s="4"/>
      <c r="M844" s="4"/>
      <c r="N844" s="4"/>
      <c r="O844" s="4"/>
    </row>
    <row r="845" spans="11:15" ht="15.75" customHeight="1">
      <c r="K845" s="4"/>
      <c r="L845" s="4"/>
      <c r="M845" s="4"/>
      <c r="N845" s="4"/>
      <c r="O845" s="4"/>
    </row>
    <row r="846" spans="11:15" ht="15.75" customHeight="1">
      <c r="K846" s="4"/>
      <c r="L846" s="4"/>
      <c r="M846" s="4"/>
      <c r="N846" s="4"/>
      <c r="O846" s="4"/>
    </row>
    <row r="847" spans="11:15" ht="15.75" customHeight="1">
      <c r="K847" s="4"/>
      <c r="L847" s="4"/>
      <c r="M847" s="4"/>
      <c r="N847" s="4"/>
      <c r="O847" s="4"/>
    </row>
    <row r="848" spans="11:15" ht="15.75" customHeight="1">
      <c r="K848" s="4"/>
      <c r="L848" s="4"/>
      <c r="M848" s="4"/>
      <c r="N848" s="4"/>
      <c r="O848" s="4"/>
    </row>
    <row r="849" spans="11:15" ht="15.75" customHeight="1">
      <c r="K849" s="4"/>
      <c r="L849" s="4"/>
      <c r="M849" s="4"/>
      <c r="N849" s="4"/>
      <c r="O849" s="4"/>
    </row>
    <row r="850" spans="11:15" ht="15.75" customHeight="1">
      <c r="K850" s="4"/>
      <c r="L850" s="4"/>
      <c r="M850" s="4"/>
      <c r="N850" s="4"/>
      <c r="O850" s="4"/>
    </row>
    <row r="851" spans="11:15" ht="15.75" customHeight="1">
      <c r="K851" s="4"/>
      <c r="L851" s="4"/>
      <c r="M851" s="4"/>
      <c r="N851" s="4"/>
      <c r="O851" s="4"/>
    </row>
    <row r="852" spans="11:15" ht="15.75" customHeight="1">
      <c r="K852" s="4"/>
      <c r="L852" s="4"/>
      <c r="M852" s="4"/>
      <c r="N852" s="4"/>
      <c r="O852" s="4"/>
    </row>
    <row r="853" spans="11:15" ht="15.75" customHeight="1">
      <c r="K853" s="4"/>
      <c r="L853" s="4"/>
      <c r="M853" s="4"/>
      <c r="N853" s="4"/>
      <c r="O853" s="4"/>
    </row>
    <row r="854" spans="11:15" ht="15.75" customHeight="1">
      <c r="K854" s="4"/>
      <c r="L854" s="4"/>
      <c r="M854" s="4"/>
      <c r="N854" s="4"/>
      <c r="O854" s="4"/>
    </row>
    <row r="855" spans="11:15" ht="15.75" customHeight="1">
      <c r="K855" s="4"/>
      <c r="L855" s="4"/>
      <c r="M855" s="4"/>
      <c r="N855" s="4"/>
      <c r="O855" s="4"/>
    </row>
    <row r="856" spans="11:15" ht="15.75" customHeight="1">
      <c r="K856" s="4"/>
      <c r="L856" s="4"/>
      <c r="M856" s="4"/>
      <c r="N856" s="4"/>
      <c r="O856" s="4"/>
    </row>
    <row r="857" spans="11:15" ht="15.75" customHeight="1">
      <c r="K857" s="4"/>
      <c r="L857" s="4"/>
      <c r="M857" s="4"/>
      <c r="N857" s="4"/>
      <c r="O857" s="4"/>
    </row>
    <row r="858" spans="11:15" ht="15.75" customHeight="1">
      <c r="K858" s="4"/>
      <c r="L858" s="4"/>
      <c r="M858" s="4"/>
      <c r="N858" s="4"/>
      <c r="O858" s="4"/>
    </row>
    <row r="859" spans="11:15" ht="15.75" customHeight="1">
      <c r="K859" s="4"/>
      <c r="L859" s="4"/>
      <c r="M859" s="4"/>
      <c r="N859" s="4"/>
      <c r="O859" s="4"/>
    </row>
    <row r="860" spans="11:15" ht="15.75" customHeight="1">
      <c r="K860" s="4"/>
      <c r="L860" s="4"/>
      <c r="M860" s="4"/>
      <c r="N860" s="4"/>
      <c r="O860" s="4"/>
    </row>
    <row r="861" spans="11:15" ht="15.75" customHeight="1">
      <c r="K861" s="4"/>
      <c r="L861" s="4"/>
      <c r="M861" s="4"/>
      <c r="N861" s="4"/>
      <c r="O861" s="4"/>
    </row>
    <row r="862" spans="11:15" ht="15.75" customHeight="1">
      <c r="K862" s="4"/>
      <c r="L862" s="4"/>
      <c r="M862" s="4"/>
      <c r="N862" s="4"/>
      <c r="O862" s="4"/>
    </row>
    <row r="863" spans="11:15" ht="15.75" customHeight="1">
      <c r="K863" s="4"/>
      <c r="L863" s="4"/>
      <c r="M863" s="4"/>
      <c r="N863" s="4"/>
      <c r="O863" s="4"/>
    </row>
    <row r="864" spans="11:15" ht="15.75" customHeight="1">
      <c r="K864" s="4"/>
      <c r="L864" s="4"/>
      <c r="M864" s="4"/>
      <c r="N864" s="4"/>
      <c r="O864" s="4"/>
    </row>
    <row r="865" spans="11:15" ht="15.75" customHeight="1">
      <c r="K865" s="4"/>
      <c r="L865" s="4"/>
      <c r="M865" s="4"/>
      <c r="N865" s="4"/>
      <c r="O865" s="4"/>
    </row>
    <row r="866" spans="11:15" ht="15.75" customHeight="1">
      <c r="K866" s="4"/>
      <c r="L866" s="4"/>
      <c r="M866" s="4"/>
      <c r="N866" s="4"/>
      <c r="O866" s="4"/>
    </row>
    <row r="867" spans="11:15" ht="15.75" customHeight="1">
      <c r="K867" s="4"/>
      <c r="L867" s="4"/>
      <c r="M867" s="4"/>
      <c r="N867" s="4"/>
      <c r="O867" s="4"/>
    </row>
    <row r="868" spans="11:15" ht="15.75" customHeight="1">
      <c r="K868" s="4"/>
      <c r="L868" s="4"/>
      <c r="M868" s="4"/>
      <c r="N868" s="4"/>
      <c r="O868" s="4"/>
    </row>
    <row r="869" spans="11:15" ht="15.75" customHeight="1">
      <c r="K869" s="4"/>
      <c r="L869" s="4"/>
      <c r="M869" s="4"/>
      <c r="N869" s="4"/>
      <c r="O869" s="4"/>
    </row>
    <row r="870" spans="11:15" ht="15.75" customHeight="1">
      <c r="K870" s="4"/>
      <c r="L870" s="4"/>
      <c r="M870" s="4"/>
      <c r="N870" s="4"/>
      <c r="O870" s="4"/>
    </row>
    <row r="871" spans="11:15" ht="15.75" customHeight="1">
      <c r="K871" s="4"/>
      <c r="L871" s="4"/>
      <c r="M871" s="4"/>
      <c r="N871" s="4"/>
      <c r="O871" s="4"/>
    </row>
    <row r="872" spans="11:15" ht="15.75" customHeight="1">
      <c r="K872" s="4"/>
      <c r="L872" s="4"/>
      <c r="M872" s="4"/>
      <c r="N872" s="4"/>
      <c r="O872" s="4"/>
    </row>
    <row r="873" spans="11:15" ht="15.75" customHeight="1">
      <c r="K873" s="4"/>
      <c r="L873" s="4"/>
      <c r="M873" s="4"/>
      <c r="N873" s="4"/>
      <c r="O873" s="4"/>
    </row>
    <row r="874" spans="11:15" ht="15.75" customHeight="1">
      <c r="K874" s="4"/>
      <c r="L874" s="4"/>
      <c r="M874" s="4"/>
      <c r="N874" s="4"/>
      <c r="O874" s="4"/>
    </row>
    <row r="875" spans="11:15" ht="15.75" customHeight="1">
      <c r="K875" s="4"/>
      <c r="L875" s="4"/>
      <c r="M875" s="4"/>
      <c r="N875" s="4"/>
      <c r="O875" s="4"/>
    </row>
    <row r="876" spans="11:15" ht="15.75" customHeight="1">
      <c r="K876" s="4"/>
      <c r="L876" s="4"/>
      <c r="M876" s="4"/>
      <c r="N876" s="4"/>
      <c r="O876" s="4"/>
    </row>
    <row r="877" spans="11:15" ht="15.75" customHeight="1">
      <c r="K877" s="4"/>
      <c r="L877" s="4"/>
      <c r="M877" s="4"/>
      <c r="N877" s="4"/>
      <c r="O877" s="4"/>
    </row>
    <row r="878" spans="11:15" ht="15.75" customHeight="1">
      <c r="K878" s="4"/>
      <c r="L878" s="4"/>
      <c r="M878" s="4"/>
      <c r="N878" s="4"/>
      <c r="O878" s="4"/>
    </row>
    <row r="879" spans="11:15" ht="15.75" customHeight="1">
      <c r="K879" s="4"/>
      <c r="L879" s="4"/>
      <c r="M879" s="4"/>
      <c r="N879" s="4"/>
      <c r="O879" s="4"/>
    </row>
    <row r="880" spans="11:15" ht="15.75" customHeight="1">
      <c r="K880" s="4"/>
      <c r="L880" s="4"/>
      <c r="M880" s="4"/>
      <c r="N880" s="4"/>
      <c r="O880" s="4"/>
    </row>
    <row r="881" spans="11:15" ht="15.75" customHeight="1">
      <c r="K881" s="4"/>
      <c r="L881" s="4"/>
      <c r="M881" s="4"/>
      <c r="N881" s="4"/>
      <c r="O881" s="4"/>
    </row>
    <row r="882" spans="11:15" ht="15.75" customHeight="1">
      <c r="K882" s="4"/>
      <c r="L882" s="4"/>
      <c r="M882" s="4"/>
      <c r="N882" s="4"/>
      <c r="O882" s="4"/>
    </row>
    <row r="883" spans="11:15" ht="15.75" customHeight="1">
      <c r="K883" s="4"/>
      <c r="L883" s="4"/>
      <c r="M883" s="4"/>
      <c r="N883" s="4"/>
      <c r="O883" s="4"/>
    </row>
    <row r="884" spans="11:15" ht="15.75" customHeight="1">
      <c r="K884" s="4"/>
      <c r="L884" s="4"/>
      <c r="M884" s="4"/>
      <c r="N884" s="4"/>
      <c r="O884" s="4"/>
    </row>
    <row r="885" spans="11:15" ht="15.75" customHeight="1">
      <c r="K885" s="4"/>
      <c r="L885" s="4"/>
      <c r="M885" s="4"/>
      <c r="N885" s="4"/>
      <c r="O885" s="4"/>
    </row>
    <row r="886" spans="11:15" ht="15.75" customHeight="1">
      <c r="K886" s="4"/>
      <c r="L886" s="4"/>
      <c r="M886" s="4"/>
      <c r="N886" s="4"/>
      <c r="O886" s="4"/>
    </row>
    <row r="887" spans="11:15" ht="15.75" customHeight="1">
      <c r="K887" s="4"/>
      <c r="L887" s="4"/>
      <c r="M887" s="4"/>
      <c r="N887" s="4"/>
      <c r="O887" s="4"/>
    </row>
    <row r="888" spans="11:15" ht="15.75" customHeight="1">
      <c r="K888" s="4"/>
      <c r="L888" s="4"/>
      <c r="M888" s="4"/>
      <c r="N888" s="4"/>
      <c r="O888" s="4"/>
    </row>
    <row r="889" spans="11:15" ht="15.75" customHeight="1">
      <c r="K889" s="4"/>
      <c r="L889" s="4"/>
      <c r="M889" s="4"/>
      <c r="N889" s="4"/>
      <c r="O889" s="4"/>
    </row>
    <row r="890" spans="11:15" ht="15.75" customHeight="1">
      <c r="K890" s="4"/>
      <c r="L890" s="4"/>
      <c r="M890" s="4"/>
      <c r="N890" s="4"/>
      <c r="O890" s="4"/>
    </row>
    <row r="891" spans="11:15" ht="15.75" customHeight="1">
      <c r="K891" s="4"/>
      <c r="L891" s="4"/>
      <c r="M891" s="4"/>
      <c r="N891" s="4"/>
      <c r="O891" s="4"/>
    </row>
    <row r="892" spans="11:15" ht="15.75" customHeight="1">
      <c r="K892" s="4"/>
      <c r="L892" s="4"/>
      <c r="M892" s="4"/>
      <c r="N892" s="4"/>
      <c r="O892" s="4"/>
    </row>
    <row r="893" spans="11:15" ht="15.75" customHeight="1">
      <c r="K893" s="4"/>
      <c r="L893" s="4"/>
      <c r="M893" s="4"/>
      <c r="N893" s="4"/>
      <c r="O893" s="4"/>
    </row>
    <row r="894" spans="11:15" ht="15.75" customHeight="1">
      <c r="K894" s="4"/>
      <c r="L894" s="4"/>
      <c r="M894" s="4"/>
      <c r="N894" s="4"/>
      <c r="O894" s="4"/>
    </row>
    <row r="895" spans="11:15" ht="15.75" customHeight="1">
      <c r="K895" s="4"/>
      <c r="L895" s="4"/>
      <c r="M895" s="4"/>
      <c r="N895" s="4"/>
      <c r="O895" s="4"/>
    </row>
    <row r="896" spans="11:15" ht="15.75" customHeight="1">
      <c r="K896" s="4"/>
      <c r="L896" s="4"/>
      <c r="M896" s="4"/>
      <c r="N896" s="4"/>
      <c r="O896" s="4"/>
    </row>
    <row r="897" spans="11:15" ht="15.75" customHeight="1">
      <c r="K897" s="4"/>
      <c r="L897" s="4"/>
      <c r="M897" s="4"/>
      <c r="N897" s="4"/>
      <c r="O897" s="4"/>
    </row>
    <row r="898" spans="11:15" ht="15.75" customHeight="1">
      <c r="K898" s="4"/>
      <c r="L898" s="4"/>
      <c r="M898" s="4"/>
      <c r="N898" s="4"/>
      <c r="O898" s="4"/>
    </row>
    <row r="899" spans="11:15" ht="15.75" customHeight="1">
      <c r="K899" s="4"/>
      <c r="L899" s="4"/>
      <c r="M899" s="4"/>
      <c r="N899" s="4"/>
      <c r="O899" s="4"/>
    </row>
    <row r="900" spans="11:15" ht="15.75" customHeight="1">
      <c r="K900" s="4"/>
      <c r="L900" s="4"/>
      <c r="M900" s="4"/>
      <c r="N900" s="4"/>
      <c r="O900" s="4"/>
    </row>
    <row r="901" spans="11:15" ht="15.75" customHeight="1">
      <c r="K901" s="4"/>
      <c r="L901" s="4"/>
      <c r="M901" s="4"/>
      <c r="N901" s="4"/>
      <c r="O901" s="4"/>
    </row>
    <row r="902" spans="11:15" ht="15.75" customHeight="1">
      <c r="K902" s="4"/>
      <c r="L902" s="4"/>
      <c r="M902" s="4"/>
      <c r="N902" s="4"/>
      <c r="O902" s="4"/>
    </row>
    <row r="903" spans="11:15" ht="15.75" customHeight="1">
      <c r="K903" s="4"/>
      <c r="L903" s="4"/>
      <c r="M903" s="4"/>
      <c r="N903" s="4"/>
      <c r="O903" s="4"/>
    </row>
    <row r="904" spans="11:15" ht="15.75" customHeight="1">
      <c r="K904" s="4"/>
      <c r="L904" s="4"/>
      <c r="M904" s="4"/>
      <c r="N904" s="4"/>
      <c r="O904" s="4"/>
    </row>
    <row r="905" spans="11:15" ht="15.75" customHeight="1">
      <c r="K905" s="4"/>
      <c r="L905" s="4"/>
      <c r="M905" s="4"/>
      <c r="N905" s="4"/>
      <c r="O905" s="4"/>
    </row>
    <row r="906" spans="11:15" ht="15.75" customHeight="1">
      <c r="K906" s="4"/>
      <c r="L906" s="4"/>
      <c r="M906" s="4"/>
      <c r="N906" s="4"/>
      <c r="O906" s="4"/>
    </row>
    <row r="907" spans="11:15" ht="15.75" customHeight="1">
      <c r="K907" s="4"/>
      <c r="L907" s="4"/>
      <c r="M907" s="4"/>
      <c r="N907" s="4"/>
      <c r="O907" s="4"/>
    </row>
    <row r="908" spans="11:15" ht="15.75" customHeight="1">
      <c r="K908" s="4"/>
      <c r="L908" s="4"/>
      <c r="M908" s="4"/>
      <c r="N908" s="4"/>
      <c r="O908" s="4"/>
    </row>
    <row r="909" spans="11:15" ht="15.75" customHeight="1">
      <c r="K909" s="4"/>
      <c r="L909" s="4"/>
      <c r="M909" s="4"/>
      <c r="N909" s="4"/>
      <c r="O909" s="4"/>
    </row>
    <row r="910" spans="11:15" ht="15.75" customHeight="1">
      <c r="K910" s="4"/>
      <c r="L910" s="4"/>
      <c r="M910" s="4"/>
      <c r="N910" s="4"/>
      <c r="O910" s="4"/>
    </row>
    <row r="911" spans="11:15" ht="15.75" customHeight="1">
      <c r="K911" s="4"/>
      <c r="L911" s="4"/>
      <c r="M911" s="4"/>
      <c r="N911" s="4"/>
      <c r="O911" s="4"/>
    </row>
    <row r="912" spans="11:15" ht="15.75" customHeight="1">
      <c r="K912" s="4"/>
      <c r="L912" s="4"/>
      <c r="M912" s="4"/>
      <c r="N912" s="4"/>
      <c r="O912" s="4"/>
    </row>
    <row r="913" spans="11:15" ht="15.75" customHeight="1">
      <c r="K913" s="4"/>
      <c r="L913" s="4"/>
      <c r="M913" s="4"/>
      <c r="N913" s="4"/>
      <c r="O913" s="4"/>
    </row>
    <row r="914" spans="11:15" ht="15.75" customHeight="1">
      <c r="K914" s="4"/>
      <c r="L914" s="4"/>
      <c r="M914" s="4"/>
      <c r="N914" s="4"/>
      <c r="O914" s="4"/>
    </row>
    <row r="915" spans="11:15" ht="15.75" customHeight="1">
      <c r="K915" s="4"/>
      <c r="L915" s="4"/>
      <c r="M915" s="4"/>
      <c r="N915" s="4"/>
      <c r="O915" s="4"/>
    </row>
    <row r="916" spans="11:15" ht="15.75" customHeight="1">
      <c r="K916" s="4"/>
      <c r="L916" s="4"/>
      <c r="M916" s="4"/>
      <c r="N916" s="4"/>
      <c r="O916" s="4"/>
    </row>
    <row r="917" spans="11:15" ht="15.75" customHeight="1">
      <c r="K917" s="4"/>
      <c r="L917" s="4"/>
      <c r="M917" s="4"/>
      <c r="N917" s="4"/>
      <c r="O917" s="4"/>
    </row>
    <row r="918" spans="11:15" ht="15.75" customHeight="1">
      <c r="K918" s="4"/>
      <c r="L918" s="4"/>
      <c r="M918" s="4"/>
      <c r="N918" s="4"/>
      <c r="O918" s="4"/>
    </row>
    <row r="919" spans="11:15" ht="15.75" customHeight="1">
      <c r="K919" s="4"/>
      <c r="L919" s="4"/>
      <c r="M919" s="4"/>
      <c r="N919" s="4"/>
      <c r="O919" s="4"/>
    </row>
    <row r="920" spans="11:15" ht="15.75" customHeight="1">
      <c r="K920" s="4"/>
      <c r="L920" s="4"/>
      <c r="M920" s="4"/>
      <c r="N920" s="4"/>
      <c r="O920" s="4"/>
    </row>
    <row r="921" spans="11:15" ht="15.75" customHeight="1">
      <c r="K921" s="4"/>
      <c r="L921" s="4"/>
      <c r="M921" s="4"/>
      <c r="N921" s="4"/>
      <c r="O921" s="4"/>
    </row>
    <row r="922" spans="11:15" ht="15.75" customHeight="1">
      <c r="K922" s="4"/>
      <c r="L922" s="4"/>
      <c r="M922" s="4"/>
      <c r="N922" s="4"/>
      <c r="O922" s="4"/>
    </row>
    <row r="923" spans="11:15" ht="15.75" customHeight="1">
      <c r="K923" s="4"/>
      <c r="L923" s="4"/>
      <c r="M923" s="4"/>
      <c r="N923" s="4"/>
      <c r="O923" s="4"/>
    </row>
    <row r="924" spans="11:15" ht="15.75" customHeight="1">
      <c r="K924" s="4"/>
      <c r="L924" s="4"/>
      <c r="M924" s="4"/>
      <c r="N924" s="4"/>
      <c r="O924" s="4"/>
    </row>
    <row r="925" spans="11:15" ht="15.75" customHeight="1">
      <c r="K925" s="4"/>
      <c r="L925" s="4"/>
      <c r="M925" s="4"/>
      <c r="N925" s="4"/>
      <c r="O925" s="4"/>
    </row>
    <row r="926" spans="11:15" ht="15.75" customHeight="1">
      <c r="K926" s="4"/>
      <c r="L926" s="4"/>
      <c r="M926" s="4"/>
      <c r="N926" s="4"/>
      <c r="O926" s="4"/>
    </row>
    <row r="927" spans="11:15" ht="15.75" customHeight="1">
      <c r="K927" s="4"/>
      <c r="L927" s="4"/>
      <c r="M927" s="4"/>
      <c r="N927" s="4"/>
      <c r="O927" s="4"/>
    </row>
    <row r="928" spans="11:15" ht="15.75" customHeight="1">
      <c r="K928" s="4"/>
      <c r="L928" s="4"/>
      <c r="M928" s="4"/>
      <c r="N928" s="4"/>
      <c r="O928" s="4"/>
    </row>
    <row r="929" spans="11:15" ht="15.75" customHeight="1">
      <c r="K929" s="4"/>
      <c r="L929" s="4"/>
      <c r="M929" s="4"/>
      <c r="N929" s="4"/>
      <c r="O929" s="4"/>
    </row>
    <row r="930" spans="11:15" ht="15.75" customHeight="1">
      <c r="K930" s="4"/>
      <c r="L930" s="4"/>
      <c r="M930" s="4"/>
      <c r="N930" s="4"/>
      <c r="O930" s="4"/>
    </row>
    <row r="931" spans="11:15" ht="15.75" customHeight="1">
      <c r="K931" s="4"/>
      <c r="L931" s="4"/>
      <c r="M931" s="4"/>
      <c r="N931" s="4"/>
      <c r="O931" s="4"/>
    </row>
    <row r="932" spans="11:15" ht="15.75" customHeight="1">
      <c r="K932" s="4"/>
      <c r="L932" s="4"/>
      <c r="M932" s="4"/>
      <c r="N932" s="4"/>
      <c r="O932" s="4"/>
    </row>
    <row r="933" spans="11:15" ht="15.75" customHeight="1">
      <c r="K933" s="4"/>
      <c r="L933" s="4"/>
      <c r="M933" s="4"/>
      <c r="N933" s="4"/>
      <c r="O933" s="4"/>
    </row>
    <row r="934" spans="11:15" ht="15.75" customHeight="1">
      <c r="K934" s="4"/>
      <c r="L934" s="4"/>
      <c r="M934" s="4"/>
      <c r="N934" s="4"/>
      <c r="O934" s="4"/>
    </row>
    <row r="935" spans="11:15" ht="15.75" customHeight="1">
      <c r="K935" s="4"/>
      <c r="L935" s="4"/>
      <c r="M935" s="4"/>
      <c r="N935" s="4"/>
      <c r="O935" s="4"/>
    </row>
    <row r="936" spans="11:15" ht="15.75" customHeight="1">
      <c r="K936" s="4"/>
      <c r="L936" s="4"/>
      <c r="M936" s="4"/>
      <c r="N936" s="4"/>
      <c r="O936" s="4"/>
    </row>
    <row r="937" spans="11:15" ht="15.75" customHeight="1">
      <c r="K937" s="4"/>
      <c r="L937" s="4"/>
      <c r="M937" s="4"/>
      <c r="N937" s="4"/>
      <c r="O937" s="4"/>
    </row>
    <row r="938" spans="11:15" ht="15.75" customHeight="1">
      <c r="K938" s="4"/>
      <c r="L938" s="4"/>
      <c r="M938" s="4"/>
      <c r="N938" s="4"/>
      <c r="O938" s="4"/>
    </row>
    <row r="939" spans="11:15" ht="15.75" customHeight="1">
      <c r="K939" s="4"/>
      <c r="L939" s="4"/>
      <c r="M939" s="4"/>
      <c r="N939" s="4"/>
      <c r="O939" s="4"/>
    </row>
    <row r="940" spans="11:15" ht="15.75" customHeight="1">
      <c r="K940" s="4"/>
      <c r="L940" s="4"/>
      <c r="M940" s="4"/>
      <c r="N940" s="4"/>
      <c r="O940" s="4"/>
    </row>
    <row r="941" spans="11:15" ht="15.75" customHeight="1">
      <c r="K941" s="4"/>
      <c r="L941" s="4"/>
      <c r="M941" s="4"/>
      <c r="N941" s="4"/>
      <c r="O941" s="4"/>
    </row>
    <row r="942" spans="11:15" ht="15.75" customHeight="1">
      <c r="K942" s="4"/>
      <c r="L942" s="4"/>
      <c r="M942" s="4"/>
      <c r="N942" s="4"/>
      <c r="O942" s="4"/>
    </row>
    <row r="943" spans="11:15" ht="15.75" customHeight="1">
      <c r="K943" s="4"/>
      <c r="L943" s="4"/>
      <c r="M943" s="4"/>
      <c r="N943" s="4"/>
      <c r="O943" s="4"/>
    </row>
    <row r="944" spans="11:15" ht="15.75" customHeight="1">
      <c r="K944" s="4"/>
      <c r="L944" s="4"/>
      <c r="M944" s="4"/>
      <c r="N944" s="4"/>
      <c r="O944" s="4"/>
    </row>
    <row r="945" spans="11:15" ht="15.75" customHeight="1">
      <c r="K945" s="4"/>
      <c r="L945" s="4"/>
      <c r="M945" s="4"/>
      <c r="N945" s="4"/>
      <c r="O945" s="4"/>
    </row>
    <row r="946" spans="11:15" ht="15.75" customHeight="1">
      <c r="K946" s="4"/>
      <c r="L946" s="4"/>
      <c r="M946" s="4"/>
      <c r="N946" s="4"/>
      <c r="O946" s="4"/>
    </row>
    <row r="947" spans="11:15" ht="15.75" customHeight="1">
      <c r="K947" s="4"/>
      <c r="L947" s="4"/>
      <c r="M947" s="4"/>
      <c r="N947" s="4"/>
      <c r="O947" s="4"/>
    </row>
    <row r="948" spans="11:15" ht="15.75" customHeight="1">
      <c r="K948" s="4"/>
      <c r="L948" s="4"/>
      <c r="M948" s="4"/>
      <c r="N948" s="4"/>
      <c r="O948" s="4"/>
    </row>
    <row r="949" spans="11:15" ht="15.75" customHeight="1">
      <c r="K949" s="4"/>
      <c r="L949" s="4"/>
      <c r="M949" s="4"/>
      <c r="N949" s="4"/>
      <c r="O949" s="4"/>
    </row>
    <row r="950" spans="11:15" ht="15.75" customHeight="1">
      <c r="K950" s="4"/>
      <c r="L950" s="4"/>
      <c r="M950" s="4"/>
      <c r="N950" s="4"/>
      <c r="O950" s="4"/>
    </row>
    <row r="951" spans="11:15" ht="15.75" customHeight="1">
      <c r="K951" s="4"/>
      <c r="L951" s="4"/>
      <c r="M951" s="4"/>
      <c r="N951" s="4"/>
      <c r="O951" s="4"/>
    </row>
    <row r="952" spans="11:15" ht="15.75" customHeight="1">
      <c r="K952" s="4"/>
      <c r="L952" s="4"/>
      <c r="M952" s="4"/>
      <c r="N952" s="4"/>
      <c r="O952" s="4"/>
    </row>
    <row r="953" spans="11:15" ht="15.75" customHeight="1">
      <c r="K953" s="4"/>
      <c r="L953" s="4"/>
      <c r="M953" s="4"/>
      <c r="N953" s="4"/>
      <c r="O953" s="4"/>
    </row>
    <row r="954" spans="11:15" ht="15.75" customHeight="1">
      <c r="K954" s="4"/>
      <c r="L954" s="4"/>
      <c r="M954" s="4"/>
      <c r="N954" s="4"/>
      <c r="O954" s="4"/>
    </row>
    <row r="955" spans="11:15" ht="15.75" customHeight="1">
      <c r="K955" s="4"/>
      <c r="L955" s="4"/>
      <c r="M955" s="4"/>
      <c r="N955" s="4"/>
      <c r="O955" s="4"/>
    </row>
    <row r="956" spans="11:15" ht="15.75" customHeight="1">
      <c r="K956" s="4"/>
      <c r="L956" s="4"/>
      <c r="M956" s="4"/>
      <c r="N956" s="4"/>
      <c r="O956" s="4"/>
    </row>
    <row r="957" spans="11:15" ht="15.75" customHeight="1">
      <c r="K957" s="4"/>
      <c r="L957" s="4"/>
      <c r="M957" s="4"/>
      <c r="N957" s="4"/>
      <c r="O957" s="4"/>
    </row>
    <row r="958" spans="11:15" ht="15.75" customHeight="1">
      <c r="K958" s="4"/>
      <c r="L958" s="4"/>
      <c r="M958" s="4"/>
      <c r="N958" s="4"/>
      <c r="O958" s="4"/>
    </row>
    <row r="959" spans="11:15" ht="15.75" customHeight="1">
      <c r="K959" s="4"/>
      <c r="L959" s="4"/>
      <c r="M959" s="4"/>
      <c r="N959" s="4"/>
      <c r="O959" s="4"/>
    </row>
    <row r="960" spans="11:15" ht="15.75" customHeight="1">
      <c r="K960" s="4"/>
      <c r="L960" s="4"/>
      <c r="M960" s="4"/>
      <c r="N960" s="4"/>
      <c r="O960" s="4"/>
    </row>
    <row r="961" spans="11:15" ht="15.75" customHeight="1">
      <c r="K961" s="4"/>
      <c r="L961" s="4"/>
      <c r="M961" s="4"/>
      <c r="N961" s="4"/>
      <c r="O961" s="4"/>
    </row>
    <row r="962" spans="11:15" ht="15.75" customHeight="1">
      <c r="K962" s="4"/>
      <c r="L962" s="4"/>
      <c r="M962" s="4"/>
      <c r="N962" s="4"/>
      <c r="O962" s="4"/>
    </row>
    <row r="963" spans="11:15" ht="15.75" customHeight="1">
      <c r="K963" s="4"/>
      <c r="L963" s="4"/>
      <c r="M963" s="4"/>
      <c r="N963" s="4"/>
      <c r="O963" s="4"/>
    </row>
    <row r="964" spans="11:15" ht="15.75" customHeight="1">
      <c r="K964" s="4"/>
      <c r="L964" s="4"/>
      <c r="M964" s="4"/>
      <c r="N964" s="4"/>
      <c r="O964" s="4"/>
    </row>
    <row r="965" spans="11:15" ht="15.75" customHeight="1">
      <c r="K965" s="4"/>
      <c r="L965" s="4"/>
      <c r="M965" s="4"/>
      <c r="N965" s="4"/>
      <c r="O965" s="4"/>
    </row>
    <row r="966" spans="11:15" ht="15.75" customHeight="1">
      <c r="K966" s="4"/>
      <c r="L966" s="4"/>
      <c r="M966" s="4"/>
      <c r="N966" s="4"/>
      <c r="O966" s="4"/>
    </row>
    <row r="967" spans="11:15" ht="15.75" customHeight="1">
      <c r="K967" s="4"/>
      <c r="L967" s="4"/>
      <c r="M967" s="4"/>
      <c r="N967" s="4"/>
      <c r="O967" s="4"/>
    </row>
    <row r="968" spans="11:15" ht="15.75" customHeight="1">
      <c r="K968" s="4"/>
      <c r="L968" s="4"/>
      <c r="M968" s="4"/>
      <c r="N968" s="4"/>
      <c r="O968" s="4"/>
    </row>
    <row r="969" spans="11:15" ht="15.75" customHeight="1">
      <c r="K969" s="4"/>
      <c r="L969" s="4"/>
      <c r="M969" s="4"/>
      <c r="N969" s="4"/>
      <c r="O969" s="4"/>
    </row>
    <row r="970" spans="11:15" ht="15.75" customHeight="1">
      <c r="K970" s="4"/>
      <c r="L970" s="4"/>
      <c r="M970" s="4"/>
      <c r="N970" s="4"/>
      <c r="O970" s="4"/>
    </row>
    <row r="971" spans="11:15" ht="15.75" customHeight="1">
      <c r="K971" s="4"/>
      <c r="L971" s="4"/>
      <c r="M971" s="4"/>
      <c r="N971" s="4"/>
      <c r="O971" s="4"/>
    </row>
    <row r="972" spans="11:15" ht="15.75" customHeight="1">
      <c r="K972" s="4"/>
      <c r="L972" s="4"/>
      <c r="M972" s="4"/>
      <c r="N972" s="4"/>
      <c r="O972" s="4"/>
    </row>
    <row r="973" spans="11:15" ht="15.75" customHeight="1">
      <c r="K973" s="4"/>
      <c r="L973" s="4"/>
      <c r="M973" s="4"/>
      <c r="N973" s="4"/>
      <c r="O973" s="4"/>
    </row>
    <row r="974" spans="11:15" ht="15.75" customHeight="1">
      <c r="K974" s="4"/>
      <c r="L974" s="4"/>
      <c r="M974" s="4"/>
      <c r="N974" s="4"/>
      <c r="O974" s="4"/>
    </row>
    <row r="975" spans="11:15" ht="15.75" customHeight="1">
      <c r="K975" s="4"/>
      <c r="L975" s="4"/>
      <c r="M975" s="4"/>
      <c r="N975" s="4"/>
      <c r="O975" s="4"/>
    </row>
    <row r="976" spans="11:15" ht="15.75" customHeight="1">
      <c r="K976" s="4"/>
      <c r="L976" s="4"/>
      <c r="M976" s="4"/>
      <c r="N976" s="4"/>
      <c r="O976" s="4"/>
    </row>
    <row r="977" spans="11:15" ht="15.75" customHeight="1">
      <c r="K977" s="4"/>
      <c r="L977" s="4"/>
      <c r="M977" s="4"/>
      <c r="N977" s="4"/>
      <c r="O977" s="4"/>
    </row>
    <row r="978" spans="11:15" ht="15.75" customHeight="1">
      <c r="K978" s="4"/>
      <c r="L978" s="4"/>
      <c r="M978" s="4"/>
      <c r="N978" s="4"/>
      <c r="O978" s="4"/>
    </row>
    <row r="979" spans="11:15" ht="15.75" customHeight="1">
      <c r="K979" s="4"/>
      <c r="L979" s="4"/>
      <c r="M979" s="4"/>
      <c r="N979" s="4"/>
      <c r="O979" s="4"/>
    </row>
    <row r="980" spans="11:15" ht="15.75" customHeight="1">
      <c r="K980" s="4"/>
      <c r="L980" s="4"/>
      <c r="M980" s="4"/>
      <c r="N980" s="4"/>
      <c r="O980" s="4"/>
    </row>
    <row r="981" spans="11:15" ht="15.75" customHeight="1">
      <c r="K981" s="4"/>
      <c r="L981" s="4"/>
      <c r="M981" s="4"/>
      <c r="N981" s="4"/>
      <c r="O981" s="4"/>
    </row>
    <row r="982" spans="11:15" ht="15.75" customHeight="1">
      <c r="K982" s="4"/>
      <c r="L982" s="4"/>
      <c r="M982" s="4"/>
      <c r="N982" s="4"/>
      <c r="O982" s="4"/>
    </row>
    <row r="983" spans="11:15" ht="15.75" customHeight="1">
      <c r="K983" s="4"/>
      <c r="L983" s="4"/>
      <c r="M983" s="4"/>
      <c r="N983" s="4"/>
      <c r="O983" s="4"/>
    </row>
    <row r="984" spans="11:15" ht="15.75" customHeight="1">
      <c r="K984" s="4"/>
      <c r="L984" s="4"/>
      <c r="M984" s="4"/>
      <c r="N984" s="4"/>
      <c r="O984" s="4"/>
    </row>
    <row r="985" spans="11:15" ht="15.75" customHeight="1">
      <c r="K985" s="4"/>
      <c r="L985" s="4"/>
      <c r="M985" s="4"/>
      <c r="N985" s="4"/>
      <c r="O985" s="4"/>
    </row>
    <row r="986" spans="11:15" ht="15.75" customHeight="1">
      <c r="K986" s="4"/>
      <c r="L986" s="4"/>
      <c r="M986" s="4"/>
      <c r="N986" s="4"/>
      <c r="O986" s="4"/>
    </row>
    <row r="987" spans="11:15" ht="15.75" customHeight="1">
      <c r="K987" s="4"/>
      <c r="L987" s="4"/>
      <c r="M987" s="4"/>
      <c r="N987" s="4"/>
      <c r="O987" s="4"/>
    </row>
    <row r="988" spans="11:15" ht="15.75" customHeight="1">
      <c r="K988" s="4"/>
      <c r="L988" s="4"/>
      <c r="M988" s="4"/>
      <c r="N988" s="4"/>
      <c r="O988" s="4"/>
    </row>
    <row r="989" spans="11:15" ht="15.75" customHeight="1">
      <c r="K989" s="4"/>
      <c r="L989" s="4"/>
      <c r="M989" s="4"/>
      <c r="N989" s="4"/>
      <c r="O989" s="4"/>
    </row>
    <row r="990" spans="11:15" ht="15.75" customHeight="1">
      <c r="K990" s="4"/>
      <c r="L990" s="4"/>
      <c r="M990" s="4"/>
      <c r="N990" s="4"/>
      <c r="O990" s="4"/>
    </row>
    <row r="991" spans="11:15" ht="15.75" customHeight="1">
      <c r="K991" s="4"/>
      <c r="L991" s="4"/>
      <c r="M991" s="4"/>
      <c r="N991" s="4"/>
      <c r="O991" s="4"/>
    </row>
    <row r="992" spans="11:15" ht="15.75" customHeight="1">
      <c r="K992" s="4"/>
      <c r="L992" s="4"/>
      <c r="M992" s="4"/>
      <c r="N992" s="4"/>
      <c r="O992" s="4"/>
    </row>
    <row r="993" spans="11:15" ht="15.75" customHeight="1">
      <c r="K993" s="4"/>
      <c r="L993" s="4"/>
      <c r="M993" s="4"/>
      <c r="N993" s="4"/>
      <c r="O993" s="4"/>
    </row>
    <row r="994" spans="11:15" ht="15.75" customHeight="1">
      <c r="K994" s="4"/>
      <c r="L994" s="4"/>
      <c r="M994" s="4"/>
      <c r="N994" s="4"/>
      <c r="O994" s="4"/>
    </row>
    <row r="995" spans="11:15" ht="15.75" customHeight="1">
      <c r="K995" s="4"/>
      <c r="L995" s="4"/>
      <c r="M995" s="4"/>
      <c r="N995" s="4"/>
      <c r="O995" s="4"/>
    </row>
    <row r="996" spans="11:15" ht="15.75" customHeight="1">
      <c r="K996" s="4"/>
      <c r="L996" s="4"/>
      <c r="M996" s="4"/>
      <c r="N996" s="4"/>
      <c r="O996" s="4"/>
    </row>
    <row r="997" spans="11:15" ht="15.75" customHeight="1">
      <c r="K997" s="4"/>
      <c r="L997" s="4"/>
      <c r="M997" s="4"/>
      <c r="N997" s="4"/>
      <c r="O997" s="4"/>
    </row>
    <row r="998" spans="11:15" ht="15.75" customHeight="1">
      <c r="K998" s="4"/>
      <c r="L998" s="4"/>
      <c r="M998" s="4"/>
      <c r="N998" s="4"/>
      <c r="O998" s="4"/>
    </row>
    <row r="999" spans="11:15" ht="15.75" customHeight="1">
      <c r="K999" s="4"/>
      <c r="L999" s="4"/>
      <c r="M999" s="4"/>
      <c r="N999" s="4"/>
      <c r="O999" s="4"/>
    </row>
    <row r="1000" spans="11:15" ht="15" customHeight="1">
      <c r="N1000" s="4"/>
    </row>
  </sheetData>
  <conditionalFormatting sqref="J1:M1 J66:M999 O1:O999 J2:L2 M31:N33 N53:N1000 M53:M65 M27:N27 M24:N24 M19:N20 M13:N16 J3:K28 M6:N8 L3:L65">
    <cfRule type="cellIs" dxfId="152" priority="131" operator="equal">
      <formula>"KO"</formula>
    </cfRule>
  </conditionalFormatting>
  <conditionalFormatting sqref="J1:M1 J66:M999 O1:O999 J2:L2 M31:N33 N53:N1000 M53:M65 M27:N27 M24:N24 M19:N20 M13:N16 J3:K28 M6:N8 L3:L65">
    <cfRule type="cellIs" dxfId="151" priority="132" operator="equal">
      <formula>"OK"</formula>
    </cfRule>
  </conditionalFormatting>
  <conditionalFormatting sqref="O1:O999 L1:M1 M6:N8 M13:N16 M19:N20 M24:N24 M27:N27 M31:N33 N53:N1000 L66:M999 M53:M65 L2:L65">
    <cfRule type="cellIs" dxfId="150" priority="133" operator="equal">
      <formula>"SI"</formula>
    </cfRule>
  </conditionalFormatting>
  <conditionalFormatting sqref="J31:J32 J53:K65 J46:J50 J52">
    <cfRule type="cellIs" dxfId="149" priority="134" operator="equal">
      <formula>"KO"</formula>
    </cfRule>
  </conditionalFormatting>
  <conditionalFormatting sqref="J31:J32 J53:K65 J46:J50 J52">
    <cfRule type="cellIs" dxfId="148" priority="135" operator="equal">
      <formula>"OK"</formula>
    </cfRule>
  </conditionalFormatting>
  <conditionalFormatting sqref="K29:K41">
    <cfRule type="cellIs" dxfId="147" priority="136" operator="equal">
      <formula>"KO"</formula>
    </cfRule>
  </conditionalFormatting>
  <conditionalFormatting sqref="K29:K41">
    <cfRule type="cellIs" dxfId="146" priority="137" operator="equal">
      <formula>"OK"</formula>
    </cfRule>
  </conditionalFormatting>
  <conditionalFormatting sqref="J29">
    <cfRule type="cellIs" dxfId="145" priority="138" operator="equal">
      <formula>"KO"</formula>
    </cfRule>
  </conditionalFormatting>
  <conditionalFormatting sqref="J29">
    <cfRule type="cellIs" dxfId="144" priority="139" operator="equal">
      <formula>"OK"</formula>
    </cfRule>
  </conditionalFormatting>
  <conditionalFormatting sqref="J30">
    <cfRule type="cellIs" dxfId="143" priority="140" operator="equal">
      <formula>"KO"</formula>
    </cfRule>
  </conditionalFormatting>
  <conditionalFormatting sqref="J30">
    <cfRule type="cellIs" dxfId="142" priority="141" operator="equal">
      <formula>"OK"</formula>
    </cfRule>
  </conditionalFormatting>
  <conditionalFormatting sqref="J33">
    <cfRule type="cellIs" dxfId="141" priority="142" operator="equal">
      <formula>"KO"</formula>
    </cfRule>
  </conditionalFormatting>
  <conditionalFormatting sqref="J33">
    <cfRule type="cellIs" dxfId="140" priority="143" operator="equal">
      <formula>"OK"</formula>
    </cfRule>
  </conditionalFormatting>
  <conditionalFormatting sqref="J34">
    <cfRule type="cellIs" dxfId="139" priority="144" operator="equal">
      <formula>"KO"</formula>
    </cfRule>
  </conditionalFormatting>
  <conditionalFormatting sqref="J34">
    <cfRule type="cellIs" dxfId="138" priority="145" operator="equal">
      <formula>"OK"</formula>
    </cfRule>
  </conditionalFormatting>
  <conditionalFormatting sqref="J35">
    <cfRule type="cellIs" dxfId="137" priority="146" operator="equal">
      <formula>"KO"</formula>
    </cfRule>
  </conditionalFormatting>
  <conditionalFormatting sqref="J35">
    <cfRule type="cellIs" dxfId="136" priority="147" operator="equal">
      <formula>"OK"</formula>
    </cfRule>
  </conditionalFormatting>
  <conditionalFormatting sqref="J36">
    <cfRule type="cellIs" dxfId="135" priority="148" operator="equal">
      <formula>"KO"</formula>
    </cfRule>
  </conditionalFormatting>
  <conditionalFormatting sqref="J36">
    <cfRule type="cellIs" dxfId="134" priority="149" operator="equal">
      <formula>"OK"</formula>
    </cfRule>
  </conditionalFormatting>
  <conditionalFormatting sqref="J37">
    <cfRule type="cellIs" dxfId="133" priority="150" operator="equal">
      <formula>"KO"</formula>
    </cfRule>
  </conditionalFormatting>
  <conditionalFormatting sqref="J37">
    <cfRule type="cellIs" dxfId="132" priority="151" operator="equal">
      <formula>"OK"</formula>
    </cfRule>
  </conditionalFormatting>
  <conditionalFormatting sqref="J38">
    <cfRule type="cellIs" dxfId="131" priority="152" operator="equal">
      <formula>"KO"</formula>
    </cfRule>
  </conditionalFormatting>
  <conditionalFormatting sqref="J38">
    <cfRule type="cellIs" dxfId="130" priority="153" operator="equal">
      <formula>"OK"</formula>
    </cfRule>
  </conditionalFormatting>
  <conditionalFormatting sqref="J39">
    <cfRule type="cellIs" dxfId="129" priority="154" operator="equal">
      <formula>"KO"</formula>
    </cfRule>
  </conditionalFormatting>
  <conditionalFormatting sqref="J39">
    <cfRule type="cellIs" dxfId="128" priority="155" operator="equal">
      <formula>"OK"</formula>
    </cfRule>
  </conditionalFormatting>
  <conditionalFormatting sqref="J40">
    <cfRule type="cellIs" dxfId="127" priority="156" operator="equal">
      <formula>"KO"</formula>
    </cfRule>
  </conditionalFormatting>
  <conditionalFormatting sqref="J40">
    <cfRule type="cellIs" dxfId="126" priority="157" operator="equal">
      <formula>"OK"</formula>
    </cfRule>
  </conditionalFormatting>
  <conditionalFormatting sqref="J41">
    <cfRule type="cellIs" dxfId="125" priority="158" operator="equal">
      <formula>"KO"</formula>
    </cfRule>
  </conditionalFormatting>
  <conditionalFormatting sqref="J41">
    <cfRule type="cellIs" dxfId="124" priority="159" operator="equal">
      <formula>"OK"</formula>
    </cfRule>
  </conditionalFormatting>
  <conditionalFormatting sqref="J42:J45">
    <cfRule type="cellIs" dxfId="123" priority="129" operator="equal">
      <formula>"KO"</formula>
    </cfRule>
  </conditionalFormatting>
  <conditionalFormatting sqref="J42:J45">
    <cfRule type="cellIs" dxfId="122" priority="130" operator="equal">
      <formula>"OK"</formula>
    </cfRule>
  </conditionalFormatting>
  <conditionalFormatting sqref="J46">
    <cfRule type="cellIs" dxfId="121" priority="125" operator="equal">
      <formula>"KO"</formula>
    </cfRule>
  </conditionalFormatting>
  <conditionalFormatting sqref="J46">
    <cfRule type="cellIs" dxfId="120" priority="126" operator="equal">
      <formula>"OK"</formula>
    </cfRule>
  </conditionalFormatting>
  <conditionalFormatting sqref="J51">
    <cfRule type="cellIs" dxfId="119" priority="115" operator="equal">
      <formula>"KO"</formula>
    </cfRule>
  </conditionalFormatting>
  <conditionalFormatting sqref="J51">
    <cfRule type="cellIs" dxfId="118" priority="116" operator="equal">
      <formula>"OK"</formula>
    </cfRule>
  </conditionalFormatting>
  <conditionalFormatting sqref="J45">
    <cfRule type="cellIs" dxfId="117" priority="121" operator="equal">
      <formula>"KO"</formula>
    </cfRule>
  </conditionalFormatting>
  <conditionalFormatting sqref="J45">
    <cfRule type="cellIs" dxfId="116" priority="122" operator="equal">
      <formula>"OK"</formula>
    </cfRule>
  </conditionalFormatting>
  <conditionalFormatting sqref="K42:K52">
    <cfRule type="cellIs" dxfId="115" priority="117" operator="equal">
      <formula>"KO"</formula>
    </cfRule>
  </conditionalFormatting>
  <conditionalFormatting sqref="K42:K52">
    <cfRule type="cellIs" dxfId="114" priority="118" operator="equal">
      <formula>"OK"</formula>
    </cfRule>
  </conditionalFormatting>
  <conditionalFormatting sqref="M2:N2">
    <cfRule type="cellIs" dxfId="113" priority="112" operator="equal">
      <formula>"KO"</formula>
    </cfRule>
  </conditionalFormatting>
  <conditionalFormatting sqref="M2:N2">
    <cfRule type="cellIs" dxfId="112" priority="113" operator="equal">
      <formula>"OK"</formula>
    </cfRule>
  </conditionalFormatting>
  <conditionalFormatting sqref="M2:N2">
    <cfRule type="cellIs" dxfId="111" priority="114" operator="equal">
      <formula>"SI"</formula>
    </cfRule>
  </conditionalFormatting>
  <conditionalFormatting sqref="M3:N3">
    <cfRule type="cellIs" dxfId="110" priority="109" operator="equal">
      <formula>"KO"</formula>
    </cfRule>
  </conditionalFormatting>
  <conditionalFormatting sqref="M3:N3">
    <cfRule type="cellIs" dxfId="109" priority="110" operator="equal">
      <formula>"OK"</formula>
    </cfRule>
  </conditionalFormatting>
  <conditionalFormatting sqref="M3:N3">
    <cfRule type="cellIs" dxfId="108" priority="111" operator="equal">
      <formula>"SI"</formula>
    </cfRule>
  </conditionalFormatting>
  <conditionalFormatting sqref="M4:N4">
    <cfRule type="cellIs" dxfId="107" priority="106" operator="equal">
      <formula>"KO"</formula>
    </cfRule>
  </conditionalFormatting>
  <conditionalFormatting sqref="M4:N4">
    <cfRule type="cellIs" dxfId="106" priority="107" operator="equal">
      <formula>"OK"</formula>
    </cfRule>
  </conditionalFormatting>
  <conditionalFormatting sqref="M4:N4">
    <cfRule type="cellIs" dxfId="105" priority="108" operator="equal">
      <formula>"SI"</formula>
    </cfRule>
  </conditionalFormatting>
  <conditionalFormatting sqref="M5:N5">
    <cfRule type="cellIs" dxfId="104" priority="103" operator="equal">
      <formula>"KO"</formula>
    </cfRule>
  </conditionalFormatting>
  <conditionalFormatting sqref="M5:N5">
    <cfRule type="cellIs" dxfId="103" priority="104" operator="equal">
      <formula>"OK"</formula>
    </cfRule>
  </conditionalFormatting>
  <conditionalFormatting sqref="M5:N5">
    <cfRule type="cellIs" dxfId="102" priority="105" operator="equal">
      <formula>"SI"</formula>
    </cfRule>
  </conditionalFormatting>
  <conditionalFormatting sqref="M9:N9">
    <cfRule type="cellIs" dxfId="101" priority="100" operator="equal">
      <formula>"KO"</formula>
    </cfRule>
  </conditionalFormatting>
  <conditionalFormatting sqref="M9:N9">
    <cfRule type="cellIs" dxfId="100" priority="101" operator="equal">
      <formula>"OK"</formula>
    </cfRule>
  </conditionalFormatting>
  <conditionalFormatting sqref="M9:N9">
    <cfRule type="cellIs" dxfId="99" priority="102" operator="equal">
      <formula>"SI"</formula>
    </cfRule>
  </conditionalFormatting>
  <conditionalFormatting sqref="M10:N10">
    <cfRule type="cellIs" dxfId="98" priority="97" operator="equal">
      <formula>"KO"</formula>
    </cfRule>
  </conditionalFormatting>
  <conditionalFormatting sqref="M10:N10">
    <cfRule type="cellIs" dxfId="97" priority="98" operator="equal">
      <formula>"OK"</formula>
    </cfRule>
  </conditionalFormatting>
  <conditionalFormatting sqref="M10:N10">
    <cfRule type="cellIs" dxfId="96" priority="99" operator="equal">
      <formula>"SI"</formula>
    </cfRule>
  </conditionalFormatting>
  <conditionalFormatting sqref="M11:N11">
    <cfRule type="cellIs" dxfId="95" priority="94" operator="equal">
      <formula>"KO"</formula>
    </cfRule>
  </conditionalFormatting>
  <conditionalFormatting sqref="M11:N11">
    <cfRule type="cellIs" dxfId="94" priority="95" operator="equal">
      <formula>"OK"</formula>
    </cfRule>
  </conditionalFormatting>
  <conditionalFormatting sqref="M11:N11">
    <cfRule type="cellIs" dxfId="93" priority="96" operator="equal">
      <formula>"SI"</formula>
    </cfRule>
  </conditionalFormatting>
  <conditionalFormatting sqref="M12:N12">
    <cfRule type="cellIs" dxfId="92" priority="91" operator="equal">
      <formula>"KO"</formula>
    </cfRule>
  </conditionalFormatting>
  <conditionalFormatting sqref="M12:N12">
    <cfRule type="cellIs" dxfId="91" priority="92" operator="equal">
      <formula>"OK"</formula>
    </cfRule>
  </conditionalFormatting>
  <conditionalFormatting sqref="M12:N12">
    <cfRule type="cellIs" dxfId="90" priority="93" operator="equal">
      <formula>"SI"</formula>
    </cfRule>
  </conditionalFormatting>
  <conditionalFormatting sqref="M17:N17">
    <cfRule type="cellIs" dxfId="89" priority="88" operator="equal">
      <formula>"KO"</formula>
    </cfRule>
  </conditionalFormatting>
  <conditionalFormatting sqref="M17:N17">
    <cfRule type="cellIs" dxfId="88" priority="89" operator="equal">
      <formula>"OK"</formula>
    </cfRule>
  </conditionalFormatting>
  <conditionalFormatting sqref="M17:N17">
    <cfRule type="cellIs" dxfId="87" priority="90" operator="equal">
      <formula>"SI"</formula>
    </cfRule>
  </conditionalFormatting>
  <conditionalFormatting sqref="M21:N21">
    <cfRule type="cellIs" dxfId="86" priority="85" operator="equal">
      <formula>"KO"</formula>
    </cfRule>
  </conditionalFormatting>
  <conditionalFormatting sqref="M21:N21">
    <cfRule type="cellIs" dxfId="85" priority="86" operator="equal">
      <formula>"OK"</formula>
    </cfRule>
  </conditionalFormatting>
  <conditionalFormatting sqref="M21:N21">
    <cfRule type="cellIs" dxfId="84" priority="87" operator="equal">
      <formula>"SI"</formula>
    </cfRule>
  </conditionalFormatting>
  <conditionalFormatting sqref="M22:N22">
    <cfRule type="cellIs" dxfId="83" priority="82" operator="equal">
      <formula>"KO"</formula>
    </cfRule>
  </conditionalFormatting>
  <conditionalFormatting sqref="M22:N22">
    <cfRule type="cellIs" dxfId="82" priority="83" operator="equal">
      <formula>"OK"</formula>
    </cfRule>
  </conditionalFormatting>
  <conditionalFormatting sqref="M22:N22">
    <cfRule type="cellIs" dxfId="81" priority="84" operator="equal">
      <formula>"SI"</formula>
    </cfRule>
  </conditionalFormatting>
  <conditionalFormatting sqref="M23:N23">
    <cfRule type="cellIs" dxfId="80" priority="79" operator="equal">
      <formula>"KO"</formula>
    </cfRule>
  </conditionalFormatting>
  <conditionalFormatting sqref="M23:N23">
    <cfRule type="cellIs" dxfId="79" priority="80" operator="equal">
      <formula>"OK"</formula>
    </cfRule>
  </conditionalFormatting>
  <conditionalFormatting sqref="M23:N23">
    <cfRule type="cellIs" dxfId="78" priority="81" operator="equal">
      <formula>"SI"</formula>
    </cfRule>
  </conditionalFormatting>
  <conditionalFormatting sqref="M25:N25">
    <cfRule type="cellIs" dxfId="77" priority="76" operator="equal">
      <formula>"KO"</formula>
    </cfRule>
  </conditionalFormatting>
  <conditionalFormatting sqref="M25:N25">
    <cfRule type="cellIs" dxfId="76" priority="77" operator="equal">
      <formula>"OK"</formula>
    </cfRule>
  </conditionalFormatting>
  <conditionalFormatting sqref="M25:N25">
    <cfRule type="cellIs" dxfId="75" priority="78" operator="equal">
      <formula>"SI"</formula>
    </cfRule>
  </conditionalFormatting>
  <conditionalFormatting sqref="M26:N26">
    <cfRule type="cellIs" dxfId="74" priority="73" operator="equal">
      <formula>"KO"</formula>
    </cfRule>
  </conditionalFormatting>
  <conditionalFormatting sqref="M26:N26">
    <cfRule type="cellIs" dxfId="73" priority="74" operator="equal">
      <formula>"OK"</formula>
    </cfRule>
  </conditionalFormatting>
  <conditionalFormatting sqref="M26:N26">
    <cfRule type="cellIs" dxfId="72" priority="75" operator="equal">
      <formula>"SI"</formula>
    </cfRule>
  </conditionalFormatting>
  <conditionalFormatting sqref="M28:N28">
    <cfRule type="cellIs" dxfId="71" priority="70" operator="equal">
      <formula>"KO"</formula>
    </cfRule>
  </conditionalFormatting>
  <conditionalFormatting sqref="M28:N28">
    <cfRule type="cellIs" dxfId="70" priority="71" operator="equal">
      <formula>"OK"</formula>
    </cfRule>
  </conditionalFormatting>
  <conditionalFormatting sqref="M28:N28">
    <cfRule type="cellIs" dxfId="69" priority="72" operator="equal">
      <formula>"SI"</formula>
    </cfRule>
  </conditionalFormatting>
  <conditionalFormatting sqref="M29:N29">
    <cfRule type="cellIs" dxfId="68" priority="67" operator="equal">
      <formula>"KO"</formula>
    </cfRule>
  </conditionalFormatting>
  <conditionalFormatting sqref="M29:N29">
    <cfRule type="cellIs" dxfId="67" priority="68" operator="equal">
      <formula>"OK"</formula>
    </cfRule>
  </conditionalFormatting>
  <conditionalFormatting sqref="M29:N29">
    <cfRule type="cellIs" dxfId="66" priority="69" operator="equal">
      <formula>"SI"</formula>
    </cfRule>
  </conditionalFormatting>
  <conditionalFormatting sqref="M30:N30">
    <cfRule type="cellIs" dxfId="65" priority="64" operator="equal">
      <formula>"KO"</formula>
    </cfRule>
  </conditionalFormatting>
  <conditionalFormatting sqref="M30:N30">
    <cfRule type="cellIs" dxfId="64" priority="65" operator="equal">
      <formula>"OK"</formula>
    </cfRule>
  </conditionalFormatting>
  <conditionalFormatting sqref="M30:N30">
    <cfRule type="cellIs" dxfId="63" priority="66" operator="equal">
      <formula>"SI"</formula>
    </cfRule>
  </conditionalFormatting>
  <conditionalFormatting sqref="M34:N34">
    <cfRule type="cellIs" dxfId="62" priority="61" operator="equal">
      <formula>"KO"</formula>
    </cfRule>
  </conditionalFormatting>
  <conditionalFormatting sqref="M34:N34">
    <cfRule type="cellIs" dxfId="61" priority="62" operator="equal">
      <formula>"OK"</formula>
    </cfRule>
  </conditionalFormatting>
  <conditionalFormatting sqref="M34:N34">
    <cfRule type="cellIs" dxfId="60" priority="63" operator="equal">
      <formula>"SI"</formula>
    </cfRule>
  </conditionalFormatting>
  <conditionalFormatting sqref="M35:N35">
    <cfRule type="cellIs" dxfId="59" priority="58" operator="equal">
      <formula>"KO"</formula>
    </cfRule>
  </conditionalFormatting>
  <conditionalFormatting sqref="M35:N35">
    <cfRule type="cellIs" dxfId="58" priority="59" operator="equal">
      <formula>"OK"</formula>
    </cfRule>
  </conditionalFormatting>
  <conditionalFormatting sqref="M35:N35">
    <cfRule type="cellIs" dxfId="57" priority="60" operator="equal">
      <formula>"SI"</formula>
    </cfRule>
  </conditionalFormatting>
  <conditionalFormatting sqref="M36:N36">
    <cfRule type="cellIs" dxfId="56" priority="55" operator="equal">
      <formula>"KO"</formula>
    </cfRule>
  </conditionalFormatting>
  <conditionalFormatting sqref="M36:N36">
    <cfRule type="cellIs" dxfId="55" priority="56" operator="equal">
      <formula>"OK"</formula>
    </cfRule>
  </conditionalFormatting>
  <conditionalFormatting sqref="M36:N36">
    <cfRule type="cellIs" dxfId="54" priority="57" operator="equal">
      <formula>"SI"</formula>
    </cfRule>
  </conditionalFormatting>
  <conditionalFormatting sqref="M37:N37">
    <cfRule type="cellIs" dxfId="53" priority="52" operator="equal">
      <formula>"KO"</formula>
    </cfRule>
  </conditionalFormatting>
  <conditionalFormatting sqref="M37:N37">
    <cfRule type="cellIs" dxfId="52" priority="53" operator="equal">
      <formula>"OK"</formula>
    </cfRule>
  </conditionalFormatting>
  <conditionalFormatting sqref="M37:N37">
    <cfRule type="cellIs" dxfId="51" priority="54" operator="equal">
      <formula>"SI"</formula>
    </cfRule>
  </conditionalFormatting>
  <conditionalFormatting sqref="M38:N38">
    <cfRule type="cellIs" dxfId="50" priority="49" operator="equal">
      <formula>"KO"</formula>
    </cfRule>
  </conditionalFormatting>
  <conditionalFormatting sqref="M38:N38">
    <cfRule type="cellIs" dxfId="49" priority="50" operator="equal">
      <formula>"OK"</formula>
    </cfRule>
  </conditionalFormatting>
  <conditionalFormatting sqref="M38:N38">
    <cfRule type="cellIs" dxfId="48" priority="51" operator="equal">
      <formula>"SI"</formula>
    </cfRule>
  </conditionalFormatting>
  <conditionalFormatting sqref="M39:N39">
    <cfRule type="cellIs" dxfId="47" priority="46" operator="equal">
      <formula>"KO"</formula>
    </cfRule>
  </conditionalFormatting>
  <conditionalFormatting sqref="M39:N39">
    <cfRule type="cellIs" dxfId="46" priority="47" operator="equal">
      <formula>"OK"</formula>
    </cfRule>
  </conditionalFormatting>
  <conditionalFormatting sqref="M39:N39">
    <cfRule type="cellIs" dxfId="45" priority="48" operator="equal">
      <formula>"SI"</formula>
    </cfRule>
  </conditionalFormatting>
  <conditionalFormatting sqref="M40:N40">
    <cfRule type="cellIs" dxfId="44" priority="43" operator="equal">
      <formula>"KO"</formula>
    </cfRule>
  </conditionalFormatting>
  <conditionalFormatting sqref="M40:N40">
    <cfRule type="cellIs" dxfId="43" priority="44" operator="equal">
      <formula>"OK"</formula>
    </cfRule>
  </conditionalFormatting>
  <conditionalFormatting sqref="M40:N40">
    <cfRule type="cellIs" dxfId="42" priority="45" operator="equal">
      <formula>"SI"</formula>
    </cfRule>
  </conditionalFormatting>
  <conditionalFormatting sqref="M41:N41">
    <cfRule type="cellIs" dxfId="41" priority="40" operator="equal">
      <formula>"KO"</formula>
    </cfRule>
  </conditionalFormatting>
  <conditionalFormatting sqref="M41:N41">
    <cfRule type="cellIs" dxfId="40" priority="41" operator="equal">
      <formula>"OK"</formula>
    </cfRule>
  </conditionalFormatting>
  <conditionalFormatting sqref="M41:N41">
    <cfRule type="cellIs" dxfId="39" priority="42" operator="equal">
      <formula>"SI"</formula>
    </cfRule>
  </conditionalFormatting>
  <conditionalFormatting sqref="M42:N42">
    <cfRule type="cellIs" dxfId="38" priority="37" operator="equal">
      <formula>"KO"</formula>
    </cfRule>
  </conditionalFormatting>
  <conditionalFormatting sqref="M42:N42">
    <cfRule type="cellIs" dxfId="37" priority="38" operator="equal">
      <formula>"OK"</formula>
    </cfRule>
  </conditionalFormatting>
  <conditionalFormatting sqref="M42:N42">
    <cfRule type="cellIs" dxfId="36" priority="39" operator="equal">
      <formula>"SI"</formula>
    </cfRule>
  </conditionalFormatting>
  <conditionalFormatting sqref="M43:N43">
    <cfRule type="cellIs" dxfId="35" priority="34" operator="equal">
      <formula>"KO"</formula>
    </cfRule>
  </conditionalFormatting>
  <conditionalFormatting sqref="M43:N43">
    <cfRule type="cellIs" dxfId="34" priority="35" operator="equal">
      <formula>"OK"</formula>
    </cfRule>
  </conditionalFormatting>
  <conditionalFormatting sqref="M43:N43">
    <cfRule type="cellIs" dxfId="33" priority="36" operator="equal">
      <formula>"SI"</formula>
    </cfRule>
  </conditionalFormatting>
  <conditionalFormatting sqref="M44:N44">
    <cfRule type="cellIs" dxfId="32" priority="31" operator="equal">
      <formula>"KO"</formula>
    </cfRule>
  </conditionalFormatting>
  <conditionalFormatting sqref="M44:N44">
    <cfRule type="cellIs" dxfId="31" priority="32" operator="equal">
      <formula>"OK"</formula>
    </cfRule>
  </conditionalFormatting>
  <conditionalFormatting sqref="M44:N44">
    <cfRule type="cellIs" dxfId="30" priority="33" operator="equal">
      <formula>"SI"</formula>
    </cfRule>
  </conditionalFormatting>
  <conditionalFormatting sqref="M45:N45">
    <cfRule type="cellIs" dxfId="29" priority="28" operator="equal">
      <formula>"KO"</formula>
    </cfRule>
  </conditionalFormatting>
  <conditionalFormatting sqref="M45:N45">
    <cfRule type="cellIs" dxfId="28" priority="29" operator="equal">
      <formula>"OK"</formula>
    </cfRule>
  </conditionalFormatting>
  <conditionalFormatting sqref="M45:N45">
    <cfRule type="cellIs" dxfId="27" priority="30" operator="equal">
      <formula>"SI"</formula>
    </cfRule>
  </conditionalFormatting>
  <conditionalFormatting sqref="M46:N46">
    <cfRule type="cellIs" dxfId="26" priority="25" operator="equal">
      <formula>"KO"</formula>
    </cfRule>
  </conditionalFormatting>
  <conditionalFormatting sqref="M46:N46">
    <cfRule type="cellIs" dxfId="25" priority="26" operator="equal">
      <formula>"OK"</formula>
    </cfRule>
  </conditionalFormatting>
  <conditionalFormatting sqref="M46:N46">
    <cfRule type="cellIs" dxfId="24" priority="27" operator="equal">
      <formula>"SI"</formula>
    </cfRule>
  </conditionalFormatting>
  <conditionalFormatting sqref="M47:N47">
    <cfRule type="cellIs" dxfId="23" priority="22" operator="equal">
      <formula>"KO"</formula>
    </cfRule>
  </conditionalFormatting>
  <conditionalFormatting sqref="M47:N47">
    <cfRule type="cellIs" dxfId="22" priority="23" operator="equal">
      <formula>"OK"</formula>
    </cfRule>
  </conditionalFormatting>
  <conditionalFormatting sqref="M47:N47">
    <cfRule type="cellIs" dxfId="21" priority="24" operator="equal">
      <formula>"SI"</formula>
    </cfRule>
  </conditionalFormatting>
  <conditionalFormatting sqref="M48:N48">
    <cfRule type="cellIs" dxfId="20" priority="19" operator="equal">
      <formula>"KO"</formula>
    </cfRule>
  </conditionalFormatting>
  <conditionalFormatting sqref="M48:N48">
    <cfRule type="cellIs" dxfId="19" priority="20" operator="equal">
      <formula>"OK"</formula>
    </cfRule>
  </conditionalFormatting>
  <conditionalFormatting sqref="M48:N48">
    <cfRule type="cellIs" dxfId="18" priority="21" operator="equal">
      <formula>"SI"</formula>
    </cfRule>
  </conditionalFormatting>
  <conditionalFormatting sqref="M49:N49">
    <cfRule type="cellIs" dxfId="17" priority="16" operator="equal">
      <formula>"KO"</formula>
    </cfRule>
  </conditionalFormatting>
  <conditionalFormatting sqref="M49:N49">
    <cfRule type="cellIs" dxfId="16" priority="17" operator="equal">
      <formula>"OK"</formula>
    </cfRule>
  </conditionalFormatting>
  <conditionalFormatting sqref="M49:N49">
    <cfRule type="cellIs" dxfId="15" priority="18" operator="equal">
      <formula>"SI"</formula>
    </cfRule>
  </conditionalFormatting>
  <conditionalFormatting sqref="M50:N50">
    <cfRule type="cellIs" dxfId="14" priority="13" operator="equal">
      <formula>"KO"</formula>
    </cfRule>
  </conditionalFormatting>
  <conditionalFormatting sqref="M50:N50">
    <cfRule type="cellIs" dxfId="13" priority="14" operator="equal">
      <formula>"OK"</formula>
    </cfRule>
  </conditionalFormatting>
  <conditionalFormatting sqref="M50:N50">
    <cfRule type="cellIs" dxfId="12" priority="15" operator="equal">
      <formula>"SI"</formula>
    </cfRule>
  </conditionalFormatting>
  <conditionalFormatting sqref="M51:N51">
    <cfRule type="cellIs" dxfId="11" priority="10" operator="equal">
      <formula>"KO"</formula>
    </cfRule>
  </conditionalFormatting>
  <conditionalFormatting sqref="M51:N51">
    <cfRule type="cellIs" dxfId="10" priority="11" operator="equal">
      <formula>"OK"</formula>
    </cfRule>
  </conditionalFormatting>
  <conditionalFormatting sqref="M51:N51">
    <cfRule type="cellIs" dxfId="9" priority="12" operator="equal">
      <formula>"SI"</formula>
    </cfRule>
  </conditionalFormatting>
  <conditionalFormatting sqref="M52:N52">
    <cfRule type="cellIs" dxfId="8" priority="7" operator="equal">
      <formula>"KO"</formula>
    </cfRule>
  </conditionalFormatting>
  <conditionalFormatting sqref="M52:N52">
    <cfRule type="cellIs" dxfId="7" priority="8" operator="equal">
      <formula>"OK"</formula>
    </cfRule>
  </conditionalFormatting>
  <conditionalFormatting sqref="M52:N52">
    <cfRule type="cellIs" dxfId="6" priority="9" operator="equal">
      <formula>"SI"</formula>
    </cfRule>
  </conditionalFormatting>
  <conditionalFormatting sqref="M18">
    <cfRule type="cellIs" dxfId="5" priority="4" operator="equal">
      <formula>"KO"</formula>
    </cfRule>
  </conditionalFormatting>
  <conditionalFormatting sqref="M18">
    <cfRule type="cellIs" dxfId="4" priority="5" operator="equal">
      <formula>"OK"</formula>
    </cfRule>
  </conditionalFormatting>
  <conditionalFormatting sqref="M18">
    <cfRule type="cellIs" dxfId="3" priority="6" operator="equal">
      <formula>"SI"</formula>
    </cfRule>
  </conditionalFormatting>
  <conditionalFormatting sqref="N18">
    <cfRule type="cellIs" dxfId="2" priority="1" operator="equal">
      <formula>"KO"</formula>
    </cfRule>
  </conditionalFormatting>
  <conditionalFormatting sqref="N18">
    <cfRule type="cellIs" dxfId="1" priority="2" operator="equal">
      <formula>"OK"</formula>
    </cfRule>
  </conditionalFormatting>
  <conditionalFormatting sqref="N18">
    <cfRule type="cellIs" dxfId="0" priority="3" operator="equal">
      <formula>"SI"</formula>
    </cfRule>
  </conditionalFormatting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998"/>
  <sheetViews>
    <sheetView workbookViewId="0">
      <pane ySplit="1" topLeftCell="A24" activePane="bottomLeft" state="frozen"/>
      <selection pane="bottomLeft" activeCell="A30" sqref="A30:XFD30"/>
    </sheetView>
  </sheetViews>
  <sheetFormatPr baseColWidth="10" defaultColWidth="14.44140625" defaultRowHeight="15" customHeight="1"/>
  <cols>
    <col min="1" max="1" width="29.33203125" customWidth="1"/>
    <col min="2" max="2" width="20.44140625" customWidth="1"/>
    <col min="3" max="14" width="10.6640625" customWidth="1"/>
    <col min="15" max="15" width="11.5546875" customWidth="1"/>
    <col min="16" max="28" width="10.6640625" customWidth="1"/>
    <col min="29" max="29" width="76.88671875" bestFit="1" customWidth="1"/>
    <col min="30" max="30" width="10.6640625" customWidth="1"/>
    <col min="31" max="31" width="25.109375" customWidth="1"/>
    <col min="32" max="33" width="10.6640625" customWidth="1"/>
    <col min="34" max="34" width="17.44140625" customWidth="1"/>
    <col min="35" max="35" width="10.6640625" customWidth="1"/>
  </cols>
  <sheetData>
    <row r="1" spans="1:35" ht="14.25" customHeight="1">
      <c r="A1" s="4" t="s">
        <v>342</v>
      </c>
      <c r="B1" s="4" t="s">
        <v>343</v>
      </c>
      <c r="C1" s="4" t="s">
        <v>344</v>
      </c>
      <c r="D1" s="4" t="s">
        <v>345</v>
      </c>
      <c r="E1" s="4" t="s">
        <v>346</v>
      </c>
      <c r="F1" s="4" t="s">
        <v>347</v>
      </c>
      <c r="G1" s="4" t="s">
        <v>348</v>
      </c>
      <c r="H1" s="4" t="s">
        <v>349</v>
      </c>
      <c r="I1" s="4" t="s">
        <v>350</v>
      </c>
      <c r="J1" s="4" t="s">
        <v>351</v>
      </c>
      <c r="K1" s="4" t="s">
        <v>352</v>
      </c>
      <c r="L1" s="4" t="s">
        <v>353</v>
      </c>
      <c r="M1" s="4" t="s">
        <v>354</v>
      </c>
      <c r="N1" s="4" t="s">
        <v>355</v>
      </c>
      <c r="O1" s="19" t="s">
        <v>356</v>
      </c>
      <c r="P1" s="4" t="s">
        <v>357</v>
      </c>
      <c r="Q1" s="4" t="s">
        <v>358</v>
      </c>
      <c r="R1" s="4" t="s">
        <v>359</v>
      </c>
      <c r="S1" s="4" t="s">
        <v>360</v>
      </c>
      <c r="T1" s="4" t="s">
        <v>361</v>
      </c>
      <c r="U1" s="4" t="s">
        <v>362</v>
      </c>
      <c r="V1" s="4" t="s">
        <v>363</v>
      </c>
      <c r="W1" s="4" t="s">
        <v>364</v>
      </c>
      <c r="X1" s="4" t="s">
        <v>365</v>
      </c>
      <c r="Y1" s="4" t="s">
        <v>366</v>
      </c>
      <c r="Z1" s="4" t="s">
        <v>367</v>
      </c>
      <c r="AA1" s="4" t="s">
        <v>368</v>
      </c>
      <c r="AB1" s="4" t="s">
        <v>369</v>
      </c>
      <c r="AC1" s="4" t="s">
        <v>370</v>
      </c>
      <c r="AD1" s="4" t="s">
        <v>371</v>
      </c>
      <c r="AE1" s="4" t="s">
        <v>372</v>
      </c>
      <c r="AF1" s="4" t="s">
        <v>373</v>
      </c>
      <c r="AG1" s="4" t="s">
        <v>374</v>
      </c>
      <c r="AH1" s="4" t="s">
        <v>375</v>
      </c>
      <c r="AI1" s="4" t="s">
        <v>376</v>
      </c>
    </row>
    <row r="2" spans="1:35" ht="14.25" customHeight="1">
      <c r="A2" s="4" t="str">
        <f>CONCATENATE(IF(COUNTIF(ARBITROS!D:D,C2)&gt;0,"[ARB] ","[CUR] "),B2," ",D2)</f>
        <v>[CUR] Pablo  Sanagustín</v>
      </c>
      <c r="B2" s="4" t="str">
        <f>SOLICITUDES!J2</f>
        <v xml:space="preserve">Pablo </v>
      </c>
      <c r="C2" s="19" t="str">
        <f>SOLICITUDES!C2</f>
        <v>SANPAB</v>
      </c>
      <c r="D2" s="4" t="str">
        <f>SOLICITUDES!K2</f>
        <v>Sanagustín</v>
      </c>
      <c r="O2" s="19" t="str">
        <f>IFERROR(VLOOKUP(C2,ARBITROS!D:U,7,FALSE),"")</f>
        <v/>
      </c>
      <c r="AC2" s="4" t="str">
        <f>CONCATENATE("* My Contacts ::: ",IFERROR(VLOOKUP(C2,SOLICITUDES!C:V,6,FALSE),"KO")," ::: TEORICO_",IFERROR(VLOOKUP(C2,SOLICITUDES!C:V,3,FALSE),"KO")," ::: PRACTICO_",IFERROR(VLOOKUP(C2,SOLICITUDES!C:V,4,FALSE),"")," ::: ",IFERROR(VLOOKUP(C2,ARBITROS!D:AU,17,FALSE),""))</f>
        <v xml:space="preserve">* My Contacts ::: JUN22 ::: TEORICO_KO ::: PRACTICO_KO ::: </v>
      </c>
      <c r="AD2" s="4" t="s">
        <v>377</v>
      </c>
      <c r="AE2" s="4" t="str">
        <f>SOLICITUDES!N2</f>
        <v>pablosanag@gmail.com</v>
      </c>
      <c r="AF2" s="4" t="s">
        <v>378</v>
      </c>
      <c r="AG2" s="4" t="str">
        <f>IFERROR(VLOOKUP(C2,ARBITROS!D:U,9,FALSE),"")</f>
        <v/>
      </c>
      <c r="AI2" s="4" t="str">
        <f>IFERROR(VLOOKUP(C2,ARBITROS!D:U,10,FALSE),IFERROR(VLOOKUP(C2,SOLICITUDES!C:O,13,FALSE),""))</f>
        <v>+34680630821</v>
      </c>
    </row>
    <row r="3" spans="1:35" ht="14.25" customHeight="1">
      <c r="A3" s="4" t="str">
        <f>CONCATENATE(IF(COUNTIF(ARBITROS!D:D,C3)&gt;0,"[ARB] ","[CUR] "),B3," ",D3)</f>
        <v>[CUR] Susana  Martínez</v>
      </c>
      <c r="B3" s="4" t="str">
        <f>SOLICITUDES!J3</f>
        <v xml:space="preserve">Susana </v>
      </c>
      <c r="C3" s="19" t="str">
        <f>SOLICITUDES!C3</f>
        <v>MARSUS</v>
      </c>
      <c r="D3" s="4" t="str">
        <f>SOLICITUDES!K3</f>
        <v>Martínez</v>
      </c>
      <c r="E3" s="4"/>
      <c r="F3" s="4"/>
      <c r="G3" s="4"/>
      <c r="H3" s="4"/>
      <c r="I3" s="4"/>
      <c r="J3" s="4"/>
      <c r="K3" s="4"/>
      <c r="L3" s="4"/>
      <c r="M3" s="4"/>
      <c r="N3" s="4"/>
      <c r="O3" s="26" t="str">
        <f>IFERROR(VLOOKUP(C3,ARBITROS!D:U,7,FALSE),"")</f>
        <v/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 t="str">
        <f>CONCATENATE("* My Contacts ::: ",IFERROR(VLOOKUP(C3,SOLICITUDES!C:V,6,FALSE),"KO")," ::: TEORICO_",IFERROR(VLOOKUP(C3,SOLICITUDES!C:V,3,FALSE),"KO")," ::: PRACTICO_",IFERROR(VLOOKUP(C3,SOLICITUDES!C:V,4,FALSE),"")," ::: ",IFERROR(VLOOKUP(C3,ARBITROS!D:AU,17,FALSE),""))</f>
        <v xml:space="preserve">* My Contacts ::: JUN22 ::: TEORICO_KO ::: PRACTICO_KO ::: </v>
      </c>
      <c r="AD3" s="4" t="s">
        <v>377</v>
      </c>
      <c r="AE3" s="4" t="str">
        <f>SOLICITUDES!N3</f>
        <v>martinezvallessusana@gmail.com</v>
      </c>
      <c r="AF3" s="4" t="s">
        <v>378</v>
      </c>
      <c r="AG3" s="4" t="str">
        <f>IFERROR(VLOOKUP(C3,ARBITROS!D:U,9,FALSE),"")</f>
        <v/>
      </c>
      <c r="AH3" s="4"/>
      <c r="AI3" s="4">
        <f>IFERROR(VLOOKUP(C3,ARBITROS!D:U,10,FALSE),IFERROR(VLOOKUP(C3,SOLICITUDES!C:O,13,FALSE),""))</f>
        <v>0</v>
      </c>
    </row>
    <row r="4" spans="1:35" ht="14.25" customHeight="1">
      <c r="A4" s="4" t="str">
        <f>CONCATENATE(IF(COUNTIF(ARBITROS!D:D,C4)&gt;0,"[ARB] ","[CUR] "),B4," ",D4)</f>
        <v>[CUR] José Manuel  Freire</v>
      </c>
      <c r="B4" s="4" t="str">
        <f>SOLICITUDES!J4</f>
        <v xml:space="preserve">José Manuel </v>
      </c>
      <c r="C4" s="19" t="str">
        <f>SOLICITUDES!C4</f>
        <v>FREJOS</v>
      </c>
      <c r="D4" s="4" t="str">
        <f>SOLICITUDES!K4</f>
        <v>Freire</v>
      </c>
      <c r="E4" s="4"/>
      <c r="F4" s="4"/>
      <c r="G4" s="4"/>
      <c r="H4" s="4"/>
      <c r="I4" s="4"/>
      <c r="J4" s="4"/>
      <c r="K4" s="4"/>
      <c r="L4" s="4"/>
      <c r="M4" s="4"/>
      <c r="N4" s="4"/>
      <c r="O4" s="26" t="str">
        <f>IFERROR(VLOOKUP(C4,ARBITROS!D:U,7,FALSE),"")</f>
        <v/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 t="str">
        <f>CONCATENATE("* My Contacts ::: ",IFERROR(VLOOKUP(C4,SOLICITUDES!C:V,6,FALSE),"KO")," ::: TEORICO_",IFERROR(VLOOKUP(C4,SOLICITUDES!C:V,3,FALSE),"KO")," ::: PRACTICO_",IFERROR(VLOOKUP(C4,SOLICITUDES!C:V,4,FALSE),"")," ::: ",IFERROR(VLOOKUP(C4,ARBITROS!D:AU,17,FALSE),""))</f>
        <v xml:space="preserve">* My Contacts ::: JUN22 ::: TEORICO_OK ::: PRACTICO_OK ::: </v>
      </c>
      <c r="AD4" s="4" t="s">
        <v>377</v>
      </c>
      <c r="AE4" s="4" t="str">
        <f>SOLICITUDES!N4</f>
        <v>freirefutbol@gmail.com</v>
      </c>
      <c r="AF4" s="4" t="s">
        <v>378</v>
      </c>
      <c r="AG4" s="4" t="str">
        <f>IFERROR(VLOOKUP(C4,ARBITROS!D:U,9,FALSE),"")</f>
        <v/>
      </c>
      <c r="AH4" s="4"/>
      <c r="AI4" s="4" t="str">
        <f>IFERROR(VLOOKUP(C4,ARBITROS!D:U,10,FALSE),IFERROR(VLOOKUP(C4,SOLICITUDES!C:O,13,FALSE),""))</f>
        <v>+34646465753</v>
      </c>
    </row>
    <row r="5" spans="1:35" ht="14.25" customHeight="1">
      <c r="A5" s="4" t="str">
        <f>CONCATENATE(IF(COUNTIF(ARBITROS!D:D,C5)&gt;0,"[ARB] ","[CUR] "),B5," ",D5)</f>
        <v>[CUR] Oscar  Martínez</v>
      </c>
      <c r="B5" s="4" t="str">
        <f>SOLICITUDES!J5</f>
        <v xml:space="preserve">Oscar </v>
      </c>
      <c r="C5" s="19" t="str">
        <f>SOLICITUDES!C5</f>
        <v>MAROSC</v>
      </c>
      <c r="D5" s="4" t="str">
        <f>SOLICITUDES!K5</f>
        <v>Martínez</v>
      </c>
      <c r="E5" s="4"/>
      <c r="F5" s="4"/>
      <c r="G5" s="4"/>
      <c r="H5" s="4"/>
      <c r="I5" s="4"/>
      <c r="J5" s="4"/>
      <c r="K5" s="4"/>
      <c r="L5" s="4"/>
      <c r="M5" s="4"/>
      <c r="N5" s="4"/>
      <c r="O5" s="26" t="str">
        <f>IFERROR(VLOOKUP(C5,ARBITROS!D:U,7,FALSE),"")</f>
        <v/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 t="str">
        <f>CONCATENATE("* My Contacts ::: ",IFERROR(VLOOKUP(C5,SOLICITUDES!C:V,6,FALSE),"KO")," ::: TEORICO_",IFERROR(VLOOKUP(C5,SOLICITUDES!C:V,3,FALSE),"KO")," ::: PRACTICO_",IFERROR(VLOOKUP(C5,SOLICITUDES!C:V,4,FALSE),"")," ::: ",IFERROR(VLOOKUP(C5,ARBITROS!D:AU,17,FALSE),""))</f>
        <v xml:space="preserve">* My Contacts ::: JUN22 ::: TEORICO_OK ::: PRACTICO_KO ::: </v>
      </c>
      <c r="AD5" s="4" t="s">
        <v>377</v>
      </c>
      <c r="AE5" s="4" t="str">
        <f>SOLICITUDES!N5</f>
        <v>omv1979zgz@gmail.com</v>
      </c>
      <c r="AF5" s="4" t="s">
        <v>378</v>
      </c>
      <c r="AG5" s="4" t="str">
        <f>IFERROR(VLOOKUP(C5,ARBITROS!D:U,9,FALSE),"")</f>
        <v/>
      </c>
      <c r="AH5" s="4"/>
      <c r="AI5" s="4">
        <f>IFERROR(VLOOKUP(C5,ARBITROS!D:U,10,FALSE),IFERROR(VLOOKUP(C5,SOLICITUDES!C:O,13,FALSE),""))</f>
        <v>0</v>
      </c>
    </row>
    <row r="6" spans="1:35" ht="14.25" customHeight="1">
      <c r="A6" s="4" t="str">
        <f>CONCATENATE(IF(COUNTIF(ARBITROS!D:D,C6)&gt;0,"[ARB] ","[CUR] "),B6," ",D6)</f>
        <v>[ARB] Francisco Javier González</v>
      </c>
      <c r="B6" s="4" t="str">
        <f>SOLICITUDES!J6</f>
        <v>Francisco Javier</v>
      </c>
      <c r="C6" s="19" t="str">
        <f>SOLICITUDES!C6</f>
        <v>GONFRA</v>
      </c>
      <c r="D6" s="4" t="str">
        <f>SOLICITUDES!K6</f>
        <v>González</v>
      </c>
      <c r="E6" s="4"/>
      <c r="F6" s="4"/>
      <c r="G6" s="4"/>
      <c r="H6" s="4"/>
      <c r="I6" s="4"/>
      <c r="J6" s="4"/>
      <c r="K6" s="4"/>
      <c r="L6" s="4"/>
      <c r="M6" s="4"/>
      <c r="N6" s="4"/>
      <c r="O6" s="26">
        <f>IFERROR(VLOOKUP(C6,ARBITROS!D:U,7,FALSE),"")</f>
        <v>26325</v>
      </c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tr">
        <f>CONCATENATE("* My Contacts ::: ",IFERROR(VLOOKUP(C6,SOLICITUDES!C:V,6,FALSE),"KO")," ::: TEORICO_",IFERROR(VLOOKUP(C6,SOLICITUDES!C:V,3,FALSE),"KO")," ::: PRACTICO_",IFERROR(VLOOKUP(C6,SOLICITUDES!C:V,4,FALSE),"")," ::: ",IFERROR(VLOOKUP(C6,ARBITROS!D:AU,17,FALSE),""))</f>
        <v>* My Contacts ::: JUN22 ::: TEORICO_OK ::: PRACTICO_OK ::: 1er Nivel</v>
      </c>
      <c r="AD6" s="4" t="s">
        <v>377</v>
      </c>
      <c r="AE6" s="4" t="str">
        <f>SOLICITUDES!N6</f>
        <v>jgbaena6@gmail.com</v>
      </c>
      <c r="AF6" s="4" t="s">
        <v>378</v>
      </c>
      <c r="AG6" s="4" t="str">
        <f>IFERROR(VLOOKUP(C6,ARBITROS!D:U,9,FALSE),"")</f>
        <v>jgbaena6@gmail.com</v>
      </c>
      <c r="AH6" s="4"/>
      <c r="AI6" s="4" t="str">
        <f>IFERROR(VLOOKUP(C6,ARBITROS!D:U,10,FALSE),IFERROR(VLOOKUP(C6,SOLICITUDES!C:O,13,FALSE),""))</f>
        <v>+34630045042</v>
      </c>
    </row>
    <row r="7" spans="1:35" ht="14.25" customHeight="1">
      <c r="A7" s="4" t="str">
        <f>CONCATENATE(IF(COUNTIF(ARBITROS!D:D,C7)&gt;0,"[ARB] ","[CUR] "),B7," ",D7)</f>
        <v>[ARB] Julián Jiménez</v>
      </c>
      <c r="B7" s="4" t="str">
        <f>SOLICITUDES!J7</f>
        <v>Julián</v>
      </c>
      <c r="C7" s="19" t="str">
        <f>SOLICITUDES!C7</f>
        <v>JIMJUL</v>
      </c>
      <c r="D7" s="4" t="str">
        <f>SOLICITUDES!K7</f>
        <v>Jiménez</v>
      </c>
      <c r="E7" s="4"/>
      <c r="F7" s="4"/>
      <c r="G7" s="4"/>
      <c r="H7" s="4"/>
      <c r="I7" s="4"/>
      <c r="J7" s="4"/>
      <c r="K7" s="4"/>
      <c r="L7" s="4"/>
      <c r="M7" s="4"/>
      <c r="N7" s="4"/>
      <c r="O7" s="26">
        <f>IFERROR(VLOOKUP(C7,ARBITROS!D:U,7,FALSE),"")</f>
        <v>27296</v>
      </c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 t="str">
        <f>CONCATENATE("* My Contacts ::: ",IFERROR(VLOOKUP(C7,SOLICITUDES!C:V,6,FALSE),"KO")," ::: TEORICO_",IFERROR(VLOOKUP(C7,SOLICITUDES!C:V,3,FALSE),"KO")," ::: PRACTICO_",IFERROR(VLOOKUP(C7,SOLICITUDES!C:V,4,FALSE),"")," ::: ",IFERROR(VLOOKUP(C7,ARBITROS!D:AU,17,FALSE),""))</f>
        <v>* My Contacts ::: JUN22 ::: TEORICO_OK ::: PRACTICO_OK ::: 1er Nivel</v>
      </c>
      <c r="AD7" s="4" t="s">
        <v>377</v>
      </c>
      <c r="AE7" s="4" t="str">
        <f>SOLICITUDES!N7</f>
        <v>julian.jimenez.herrera@gmail.com</v>
      </c>
      <c r="AF7" s="4" t="s">
        <v>378</v>
      </c>
      <c r="AG7" s="4" t="str">
        <f>IFERROR(VLOOKUP(C7,ARBITROS!D:U,9,FALSE),"")</f>
        <v>julian.jimenez.herrera@gmail.com</v>
      </c>
      <c r="AH7" s="4"/>
      <c r="AI7" s="4" t="str">
        <f>IFERROR(VLOOKUP(C7,ARBITROS!D:U,10,FALSE),IFERROR(VLOOKUP(C7,SOLICITUDES!C:O,13,FALSE),""))</f>
        <v>+34670243162</v>
      </c>
    </row>
    <row r="8" spans="1:35" ht="14.25" customHeight="1">
      <c r="A8" s="4" t="str">
        <f>CONCATENATE(IF(COUNTIF(ARBITROS!D:D,C8)&gt;0,"[ARB] ","[CUR] "),B8," ",D8)</f>
        <v>[ARB] Eloy Jesús Sánchez-Cid</v>
      </c>
      <c r="B8" s="4" t="str">
        <f>SOLICITUDES!J8</f>
        <v>Eloy Jesús</v>
      </c>
      <c r="C8" s="19" t="str">
        <f>SOLICITUDES!C8</f>
        <v>SANELO</v>
      </c>
      <c r="D8" s="4" t="str">
        <f>SOLICITUDES!K8</f>
        <v>Sánchez-Cid</v>
      </c>
      <c r="E8" s="4"/>
      <c r="F8" s="4"/>
      <c r="G8" s="4"/>
      <c r="H8" s="4"/>
      <c r="I8" s="4"/>
      <c r="J8" s="4"/>
      <c r="K8" s="4"/>
      <c r="L8" s="4"/>
      <c r="M8" s="4"/>
      <c r="N8" s="4"/>
      <c r="O8" s="26">
        <f>IFERROR(VLOOKUP(C8,ARBITROS!D:U,7,FALSE),"")</f>
        <v>21163</v>
      </c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 t="str">
        <f>CONCATENATE("* My Contacts ::: ",IFERROR(VLOOKUP(C8,SOLICITUDES!C:V,6,FALSE),"KO")," ::: TEORICO_",IFERROR(VLOOKUP(C8,SOLICITUDES!C:V,3,FALSE),"KO")," ::: PRACTICO_",IFERROR(VLOOKUP(C8,SOLICITUDES!C:V,4,FALSE),"")," ::: ",IFERROR(VLOOKUP(C8,ARBITROS!D:AU,17,FALSE),""))</f>
        <v>* My Contacts ::: JUN22 ::: TEORICO_OK ::: PRACTICO_OK ::: 1er Nivel</v>
      </c>
      <c r="AD8" s="4" t="s">
        <v>377</v>
      </c>
      <c r="AE8" s="4" t="str">
        <f>SOLICITUDES!N8</f>
        <v>ejsanchezcidg@gmail.com</v>
      </c>
      <c r="AF8" s="4" t="s">
        <v>378</v>
      </c>
      <c r="AG8" s="4" t="str">
        <f>IFERROR(VLOOKUP(C8,ARBITROS!D:U,9,FALSE),"")</f>
        <v>ejsanchezcidg@gmail.com</v>
      </c>
      <c r="AH8" s="4"/>
      <c r="AI8" s="4" t="str">
        <f>IFERROR(VLOOKUP(C8,ARBITROS!D:U,10,FALSE),IFERROR(VLOOKUP(C8,SOLICITUDES!C:O,13,FALSE),""))</f>
        <v>+34633298235</v>
      </c>
    </row>
    <row r="9" spans="1:35" ht="14.25" customHeight="1">
      <c r="A9" s="4" t="str">
        <f>CONCATENATE(IF(COUNTIF(ARBITROS!D:D,C9)&gt;0,"[ARB] ","[CUR] "),B9," ",D9)</f>
        <v>[CUR] Paco Luis  Navarro</v>
      </c>
      <c r="B9" s="4" t="str">
        <f>SOLICITUDES!J9</f>
        <v xml:space="preserve">Paco Luis </v>
      </c>
      <c r="C9" s="19" t="str">
        <f>SOLICITUDES!C9</f>
        <v>NAVPAC</v>
      </c>
      <c r="D9" s="4" t="str">
        <f>SOLICITUDES!K9</f>
        <v>Navarro</v>
      </c>
      <c r="E9" s="4"/>
      <c r="F9" s="4"/>
      <c r="G9" s="4"/>
      <c r="H9" s="4"/>
      <c r="I9" s="4"/>
      <c r="J9" s="4"/>
      <c r="K9" s="4"/>
      <c r="L9" s="4"/>
      <c r="M9" s="4"/>
      <c r="N9" s="4"/>
      <c r="O9" s="26" t="str">
        <f>IFERROR(VLOOKUP(C9,ARBITROS!D:U,7,FALSE),"")</f>
        <v/>
      </c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 t="str">
        <f>CONCATENATE("* My Contacts ::: ",IFERROR(VLOOKUP(C9,SOLICITUDES!C:V,6,FALSE),"KO")," ::: TEORICO_",IFERROR(VLOOKUP(C9,SOLICITUDES!C:V,3,FALSE),"KO")," ::: PRACTICO_",IFERROR(VLOOKUP(C9,SOLICITUDES!C:V,4,FALSE),"")," ::: ",IFERROR(VLOOKUP(C9,ARBITROS!D:AU,17,FALSE),""))</f>
        <v xml:space="preserve">* My Contacts ::: JUN22 ::: TEORICO_OK ::: PRACTICO_KO ::: </v>
      </c>
      <c r="AD9" s="4" t="s">
        <v>377</v>
      </c>
      <c r="AE9" s="4" t="str">
        <f>SOLICITUDES!N9</f>
        <v>pacoluis.navarro@gmail.com</v>
      </c>
      <c r="AF9" s="4" t="s">
        <v>378</v>
      </c>
      <c r="AG9" s="4" t="str">
        <f>IFERROR(VLOOKUP(C9,ARBITROS!D:U,9,FALSE),"")</f>
        <v/>
      </c>
      <c r="AH9" s="4"/>
      <c r="AI9" s="4" t="str">
        <f>IFERROR(VLOOKUP(C9,ARBITROS!D:U,10,FALSE),IFERROR(VLOOKUP(C9,SOLICITUDES!C:O,13,FALSE),""))</f>
        <v>+34639639424</v>
      </c>
    </row>
    <row r="10" spans="1:35" ht="14.25" customHeight="1">
      <c r="A10" s="4" t="str">
        <f>CONCATENATE(IF(COUNTIF(ARBITROS!D:D,C10)&gt;0,"[ARB] ","[CUR] "),B10," ",D10)</f>
        <v>[CUR] Jose Miguel  Moreno</v>
      </c>
      <c r="B10" s="4" t="str">
        <f>SOLICITUDES!J10</f>
        <v xml:space="preserve">Jose Miguel </v>
      </c>
      <c r="C10" s="19" t="str">
        <f>SOLICITUDES!C10</f>
        <v>MORJOS</v>
      </c>
      <c r="D10" s="4" t="str">
        <f>SOLICITUDES!K10</f>
        <v>Moreno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26" t="str">
        <f>IFERROR(VLOOKUP(C10,ARBITROS!D:U,7,FALSE),"")</f>
        <v/>
      </c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tr">
        <f>CONCATENATE("* My Contacts ::: ",IFERROR(VLOOKUP(C10,SOLICITUDES!C:V,6,FALSE),"KO")," ::: TEORICO_",IFERROR(VLOOKUP(C10,SOLICITUDES!C:V,3,FALSE),"KO")," ::: PRACTICO_",IFERROR(VLOOKUP(C10,SOLICITUDES!C:V,4,FALSE),"")," ::: ",IFERROR(VLOOKUP(C10,ARBITROS!D:AU,17,FALSE),""))</f>
        <v xml:space="preserve">* My Contacts ::: JUN22 ::: TEORICO_OK ::: PRACTICO_KO ::: </v>
      </c>
      <c r="AD10" s="4" t="s">
        <v>377</v>
      </c>
      <c r="AE10" s="4" t="str">
        <f>SOLICITUDES!N10</f>
        <v>j_m_m_verdejo@hotmail.com</v>
      </c>
      <c r="AF10" s="4" t="s">
        <v>378</v>
      </c>
      <c r="AG10" s="4" t="str">
        <f>IFERROR(VLOOKUP(C10,ARBITROS!D:U,9,FALSE),"")</f>
        <v/>
      </c>
      <c r="AH10" s="4"/>
      <c r="AI10" s="4" t="str">
        <f>IFERROR(VLOOKUP(C10,ARBITROS!D:U,10,FALSE),IFERROR(VLOOKUP(C10,SOLICITUDES!C:O,13,FALSE),""))</f>
        <v>+34628789733</v>
      </c>
    </row>
    <row r="11" spans="1:35" ht="14.25" customHeight="1">
      <c r="A11" s="4" t="str">
        <f>CONCATENATE(IF(COUNTIF(ARBITROS!D:D,C11)&gt;0,"[ARB] ","[CUR] "),B11," ",D11)</f>
        <v>[CUR] Mercedes  Peris</v>
      </c>
      <c r="B11" s="4" t="str">
        <f>SOLICITUDES!J11</f>
        <v xml:space="preserve">Mercedes </v>
      </c>
      <c r="C11" s="19" t="str">
        <f>SOLICITUDES!C11</f>
        <v>PERMER</v>
      </c>
      <c r="D11" s="4" t="str">
        <f>SOLICITUDES!K11</f>
        <v>Peris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26" t="str">
        <f>IFERROR(VLOOKUP(C11,ARBITROS!D:U,7,FALSE),"")</f>
        <v/>
      </c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 t="str">
        <f>CONCATENATE("* My Contacts ::: ",IFERROR(VLOOKUP(C11,SOLICITUDES!C:V,6,FALSE),"KO")," ::: TEORICO_",IFERROR(VLOOKUP(C11,SOLICITUDES!C:V,3,FALSE),"KO")," ::: PRACTICO_",IFERROR(VLOOKUP(C11,SOLICITUDES!C:V,4,FALSE),"")," ::: ",IFERROR(VLOOKUP(C11,ARBITROS!D:AU,17,FALSE),""))</f>
        <v xml:space="preserve">* My Contacts ::: JUN22 ::: TEORICO_KO ::: PRACTICO_KO ::: </v>
      </c>
      <c r="AD11" s="4" t="s">
        <v>377</v>
      </c>
      <c r="AE11" s="4" t="str">
        <f>SOLICITUDES!N11</f>
        <v>mercedesperislopez@gmail.com</v>
      </c>
      <c r="AF11" s="4" t="s">
        <v>378</v>
      </c>
      <c r="AG11" s="4" t="str">
        <f>IFERROR(VLOOKUP(C11,ARBITROS!D:U,9,FALSE),"")</f>
        <v/>
      </c>
      <c r="AH11" s="4"/>
      <c r="AI11" s="4" t="str">
        <f>IFERROR(VLOOKUP(C11,ARBITROS!D:U,10,FALSE),IFERROR(VLOOKUP(C11,SOLICITUDES!C:O,13,FALSE),""))</f>
        <v>+34617068551</v>
      </c>
    </row>
    <row r="12" spans="1:35" ht="14.25" customHeight="1">
      <c r="A12" s="4" t="str">
        <f>CONCATENATE(IF(COUNTIF(ARBITROS!D:D,C12)&gt;0,"[ARB] ","[CUR] "),B12," ",D12)</f>
        <v>[ARB] Roberto Pérez</v>
      </c>
      <c r="B12" s="4" t="str">
        <f>SOLICITUDES!J12</f>
        <v>Roberto</v>
      </c>
      <c r="C12" s="19" t="str">
        <f>SOLICITUDES!C12</f>
        <v>PERROB</v>
      </c>
      <c r="D12" s="4" t="str">
        <f>SOLICITUDES!K12</f>
        <v>Pérez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26">
        <f>IFERROR(VLOOKUP(C12,ARBITROS!D:U,7,FALSE),"")</f>
        <v>27013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 t="str">
        <f>CONCATENATE("* My Contacts ::: ",IFERROR(VLOOKUP(C12,SOLICITUDES!C:V,6,FALSE),"KO")," ::: TEORICO_",IFERROR(VLOOKUP(C12,SOLICITUDES!C:V,3,FALSE),"KO")," ::: PRACTICO_",IFERROR(VLOOKUP(C12,SOLICITUDES!C:V,4,FALSE),"")," ::: ",IFERROR(VLOOKUP(C12,ARBITROS!D:AU,17,FALSE),""))</f>
        <v>* My Contacts ::: JUN22 ::: TEORICO_OK ::: PRACTICO_OK ::: 1er Nivel</v>
      </c>
      <c r="AD12" s="4" t="s">
        <v>377</v>
      </c>
      <c r="AE12" s="4" t="str">
        <f>SOLICITUDES!N12</f>
        <v>robertoperez@pickleball.rfet.es</v>
      </c>
      <c r="AF12" s="4" t="s">
        <v>378</v>
      </c>
      <c r="AG12" s="4" t="str">
        <f>IFERROR(VLOOKUP(C12,ARBITROS!D:U,9,FALSE),"")</f>
        <v>robertoperez@pickleball.rfet.es</v>
      </c>
      <c r="AH12" s="4"/>
      <c r="AI12" s="4" t="str">
        <f>IFERROR(VLOOKUP(C12,ARBITROS!D:U,10,FALSE),IFERROR(VLOOKUP(C12,SOLICITUDES!C:O,13,FALSE),""))</f>
        <v>+34649619989</v>
      </c>
    </row>
    <row r="13" spans="1:35" ht="14.25" customHeight="1">
      <c r="A13" s="4" t="str">
        <f>CONCATENATE(IF(COUNTIF(ARBITROS!D:D,C13)&gt;0,"[ARB] ","[CUR] "),B13," ",D13)</f>
        <v>[ARB] Pilar Begoña Serrano</v>
      </c>
      <c r="B13" s="4" t="str">
        <f>SOLICITUDES!J13</f>
        <v>Pilar Begoña</v>
      </c>
      <c r="C13" s="19" t="str">
        <f>SOLICITUDES!C13</f>
        <v>SERPIL</v>
      </c>
      <c r="D13" s="4" t="str">
        <f>SOLICITUDES!K13</f>
        <v>Serrano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26">
        <f>IFERROR(VLOOKUP(C13,ARBITROS!D:U,7,FALSE),"")</f>
        <v>24134</v>
      </c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 t="str">
        <f>CONCATENATE("* My Contacts ::: ",IFERROR(VLOOKUP(C13,SOLICITUDES!C:V,6,FALSE),"KO")," ::: TEORICO_",IFERROR(VLOOKUP(C13,SOLICITUDES!C:V,3,FALSE),"KO")," ::: PRACTICO_",IFERROR(VLOOKUP(C13,SOLICITUDES!C:V,4,FALSE),"")," ::: ",IFERROR(VLOOKUP(C13,ARBITROS!D:AU,17,FALSE),""))</f>
        <v>* My Contacts ::: JUN22 ::: TEORICO_OK ::: PRACTICO_OK ::: 1er Nivel</v>
      </c>
      <c r="AD13" s="4" t="s">
        <v>377</v>
      </c>
      <c r="AE13" s="4" t="str">
        <f>SOLICITUDES!N13</f>
        <v>pilumpilon@hotmail.com</v>
      </c>
      <c r="AF13" s="4" t="s">
        <v>378</v>
      </c>
      <c r="AG13" s="4" t="str">
        <f>IFERROR(VLOOKUP(C13,ARBITROS!D:U,9,FALSE),"")</f>
        <v>pilumpilon@hotmail.com</v>
      </c>
      <c r="AH13" s="4"/>
      <c r="AI13" s="4" t="str">
        <f>IFERROR(VLOOKUP(C13,ARBITROS!D:U,10,FALSE),IFERROR(VLOOKUP(C13,SOLICITUDES!C:O,13,FALSE),""))</f>
        <v>+34600710323</v>
      </c>
    </row>
    <row r="14" spans="1:35" ht="14.25" customHeight="1">
      <c r="A14" s="4" t="str">
        <f>CONCATENATE(IF(COUNTIF(ARBITROS!D:D,C14)&gt;0,"[ARB] ","[CUR] "),B14," ",D14)</f>
        <v>[ARB] Concha Delgado</v>
      </c>
      <c r="B14" s="4" t="str">
        <f>SOLICITUDES!J14</f>
        <v>Concha</v>
      </c>
      <c r="C14" s="19" t="str">
        <f>SOLICITUDES!C14</f>
        <v>DELCON</v>
      </c>
      <c r="D14" s="4" t="str">
        <f>SOLICITUDES!K14</f>
        <v>Delgado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26">
        <f>IFERROR(VLOOKUP(C14,ARBITROS!D:U,7,FALSE),"")</f>
        <v>21892</v>
      </c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 t="str">
        <f>CONCATENATE("* My Contacts ::: ",IFERROR(VLOOKUP(C14,SOLICITUDES!C:V,6,FALSE),"KO")," ::: TEORICO_",IFERROR(VLOOKUP(C14,SOLICITUDES!C:V,3,FALSE),"KO")," ::: PRACTICO_",IFERROR(VLOOKUP(C14,SOLICITUDES!C:V,4,FALSE),"")," ::: ",IFERROR(VLOOKUP(C14,ARBITROS!D:AU,17,FALSE),""))</f>
        <v>* My Contacts ::: JUN22 ::: TEORICO_OK ::: PRACTICO_OK ::: 1er Nivel</v>
      </c>
      <c r="AD14" s="4" t="s">
        <v>377</v>
      </c>
      <c r="AE14" s="4" t="str">
        <f>SOLICITUDES!N14</f>
        <v>delra.pick@gmail.com</v>
      </c>
      <c r="AF14" s="4" t="s">
        <v>378</v>
      </c>
      <c r="AG14" s="4" t="str">
        <f>IFERROR(VLOOKUP(C14,ARBITROS!D:U,9,FALSE),"")</f>
        <v>delra.pick@gmail.com</v>
      </c>
      <c r="AH14" s="4"/>
      <c r="AI14" s="4" t="str">
        <f>IFERROR(VLOOKUP(C14,ARBITROS!D:U,10,FALSE),IFERROR(VLOOKUP(C14,SOLICITUDES!C:O,13,FALSE),""))</f>
        <v>+34675089376</v>
      </c>
    </row>
    <row r="15" spans="1:35" ht="14.25" customHeight="1">
      <c r="A15" s="4" t="str">
        <f>CONCATENATE(IF(COUNTIF(ARBITROS!D:D,C15)&gt;0,"[ARB] ","[CUR] "),B15," ",D15)</f>
        <v>[ARB] Juan Carlos García</v>
      </c>
      <c r="B15" s="4" t="str">
        <f>SOLICITUDES!J15</f>
        <v>Juan Carlos</v>
      </c>
      <c r="C15" s="19" t="str">
        <f>SOLICITUDES!C15</f>
        <v>GARJUA</v>
      </c>
      <c r="D15" s="4" t="str">
        <f>SOLICITUDES!K15</f>
        <v>García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26">
        <f>IFERROR(VLOOKUP(C15,ARBITROS!D:U,7,FALSE),"")</f>
        <v>23268</v>
      </c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 t="str">
        <f>CONCATENATE("* My Contacts ::: ",IFERROR(VLOOKUP(C15,SOLICITUDES!C:V,6,FALSE),"KO")," ::: TEORICO_",IFERROR(VLOOKUP(C15,SOLICITUDES!C:V,3,FALSE),"KO")," ::: PRACTICO_",IFERROR(VLOOKUP(C15,SOLICITUDES!C:V,4,FALSE),"")," ::: ",IFERROR(VLOOKUP(C15,ARBITROS!D:AU,17,FALSE),""))</f>
        <v>* My Contacts ::: JUN22 ::: TEORICO_OK ::: PRACTICO_OK ::: 1er Nivel</v>
      </c>
      <c r="AD15" s="4" t="s">
        <v>377</v>
      </c>
      <c r="AE15" s="4" t="str">
        <f>SOLICITUDES!N15</f>
        <v>jcgarflo@gmail.com</v>
      </c>
      <c r="AF15" s="4" t="s">
        <v>378</v>
      </c>
      <c r="AG15" s="4" t="str">
        <f>IFERROR(VLOOKUP(C15,ARBITROS!D:U,9,FALSE),"")</f>
        <v>jcgarflo@gmail.com</v>
      </c>
      <c r="AH15" s="4"/>
      <c r="AI15" s="4" t="str">
        <f>IFERROR(VLOOKUP(C15,ARBITROS!D:U,10,FALSE),IFERROR(VLOOKUP(C15,SOLICITUDES!C:O,13,FALSE),""))</f>
        <v>+34611493755</v>
      </c>
    </row>
    <row r="16" spans="1:35" ht="14.25" customHeight="1">
      <c r="A16" s="4" t="str">
        <f>CONCATENATE(IF(COUNTIF(ARBITROS!D:D,C16)&gt;0,"[ARB] ","[CUR] "),B16," ",D16)</f>
        <v>[ARB] Maria Luisa Saez</v>
      </c>
      <c r="B16" s="4" t="str">
        <f>SOLICITUDES!J16</f>
        <v>Maria Luisa</v>
      </c>
      <c r="C16" s="19" t="str">
        <f>SOLICITUDES!C16</f>
        <v>SAEMAR</v>
      </c>
      <c r="D16" s="4" t="str">
        <f>SOLICITUDES!K16</f>
        <v>Saez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26">
        <f>IFERROR(VLOOKUP(C16,ARBITROS!D:U,7,FALSE),"")</f>
        <v>25380</v>
      </c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 t="str">
        <f>CONCATENATE("* My Contacts ::: ",IFERROR(VLOOKUP(C16,SOLICITUDES!C:V,6,FALSE),"KO")," ::: TEORICO_",IFERROR(VLOOKUP(C16,SOLICITUDES!C:V,3,FALSE),"KO")," ::: PRACTICO_",IFERROR(VLOOKUP(C16,SOLICITUDES!C:V,4,FALSE),"")," ::: ",IFERROR(VLOOKUP(C16,ARBITROS!D:AU,17,FALSE),""))</f>
        <v>* My Contacts ::: JUN22 ::: TEORICO_OK ::: PRACTICO_OK ::: 1er Nivel</v>
      </c>
      <c r="AD16" s="4" t="s">
        <v>377</v>
      </c>
      <c r="AE16" s="4" t="str">
        <f>SOLICITUDES!N16</f>
        <v>detodounpoco6919@gmail.com</v>
      </c>
      <c r="AF16" s="4" t="s">
        <v>378</v>
      </c>
      <c r="AG16" s="4" t="str">
        <f>IFERROR(VLOOKUP(C16,ARBITROS!D:U,9,FALSE),"")</f>
        <v>detodounpoco6919@gmail.com</v>
      </c>
      <c r="AH16" s="4"/>
      <c r="AI16" s="4" t="str">
        <f>IFERROR(VLOOKUP(C16,ARBITROS!D:U,10,FALSE),IFERROR(VLOOKUP(C16,SOLICITUDES!C:O,13,FALSE),""))</f>
        <v>+34670740862</v>
      </c>
    </row>
    <row r="17" spans="1:35" ht="14.25" customHeight="1">
      <c r="A17" s="4" t="str">
        <f>CONCATENATE(IF(COUNTIF(ARBITROS!D:D,C17)&gt;0,"[ARB] ","[CUR] "),B17," ",D17)</f>
        <v>[CUR] Enrique  Carrera</v>
      </c>
      <c r="B17" s="4" t="str">
        <f>SOLICITUDES!J17</f>
        <v xml:space="preserve">Enrique </v>
      </c>
      <c r="C17" s="19" t="str">
        <f>SOLICITUDES!C17</f>
        <v>CARENR</v>
      </c>
      <c r="D17" s="4" t="str">
        <f>SOLICITUDES!K17</f>
        <v>Carrera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26" t="str">
        <f>IFERROR(VLOOKUP(C17,ARBITROS!D:U,7,FALSE),"")</f>
        <v/>
      </c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 t="str">
        <f>CONCATENATE("* My Contacts ::: ",IFERROR(VLOOKUP(C17,SOLICITUDES!C:V,6,FALSE),"KO")," ::: TEORICO_",IFERROR(VLOOKUP(C17,SOLICITUDES!C:V,3,FALSE),"KO")," ::: PRACTICO_",IFERROR(VLOOKUP(C17,SOLICITUDES!C:V,4,FALSE),"")," ::: ",IFERROR(VLOOKUP(C17,ARBITROS!D:AU,17,FALSE),""))</f>
        <v xml:space="preserve">* My Contacts ::: JUN22 ::: TEORICO_KO ::: PRACTICO_KO ::: </v>
      </c>
      <c r="AD17" s="4" t="s">
        <v>377</v>
      </c>
      <c r="AE17" s="4" t="str">
        <f>SOLICITUDES!N17</f>
        <v>quiquegoretti@gmail.com</v>
      </c>
      <c r="AF17" s="4" t="s">
        <v>378</v>
      </c>
      <c r="AG17" s="4" t="str">
        <f>IFERROR(VLOOKUP(C17,ARBITROS!D:U,9,FALSE),"")</f>
        <v/>
      </c>
      <c r="AH17" s="4"/>
      <c r="AI17" s="4" t="str">
        <f>IFERROR(VLOOKUP(C17,ARBITROS!D:U,10,FALSE),IFERROR(VLOOKUP(C17,SOLICITUDES!C:O,13,FALSE),""))</f>
        <v>+34609639739</v>
      </c>
    </row>
    <row r="18" spans="1:35" ht="14.25" customHeight="1">
      <c r="A18" s="4" t="str">
        <f>CONCATENATE(IF(COUNTIF(ARBITROS!D:D,C18)&gt;0,"[ARB] ","[CUR] "),B18," ",D18)</f>
        <v>[ARB] Alberto Hernando López</v>
      </c>
      <c r="B18" s="4" t="str">
        <f>SOLICITUDES!J18</f>
        <v>Alberto Hernando</v>
      </c>
      <c r="C18" s="19" t="str">
        <f>SOLICITUDES!C18</f>
        <v>LOPALB</v>
      </c>
      <c r="D18" s="4" t="str">
        <f>SOLICITUDES!K18</f>
        <v>López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26">
        <f>IFERROR(VLOOKUP(C18,ARBITROS!D:U,7,FALSE),"")</f>
        <v>31511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 t="str">
        <f>CONCATENATE("* My Contacts ::: ",IFERROR(VLOOKUP(C18,SOLICITUDES!C:V,6,FALSE),"KO")," ::: TEORICO_",IFERROR(VLOOKUP(C18,SOLICITUDES!C:V,3,FALSE),"KO")," ::: PRACTICO_",IFERROR(VLOOKUP(C18,SOLICITUDES!C:V,4,FALSE),"")," ::: ",IFERROR(VLOOKUP(C18,ARBITROS!D:AU,17,FALSE),""))</f>
        <v>* My Contacts ::: JUN22 ::: TEORICO_OK ::: PRACTICO_OK ::: 1er Nivel</v>
      </c>
      <c r="AD18" s="4" t="s">
        <v>377</v>
      </c>
      <c r="AE18" s="4" t="str">
        <f>SOLICITUDES!N18</f>
        <v>delfinocamela@outlook.es</v>
      </c>
      <c r="AF18" s="4" t="s">
        <v>378</v>
      </c>
      <c r="AG18" s="4" t="str">
        <f>IFERROR(VLOOKUP(C18,ARBITROS!D:U,9,FALSE),"")</f>
        <v>delfinocamela@outlook.es</v>
      </c>
      <c r="AH18" s="4"/>
      <c r="AI18" s="4" t="str">
        <f>IFERROR(VLOOKUP(C18,ARBITROS!D:U,10,FALSE),IFERROR(VLOOKUP(C18,SOLICITUDES!C:O,13,FALSE),""))</f>
        <v>+34658269870</v>
      </c>
    </row>
    <row r="19" spans="1:35" ht="14.25" customHeight="1">
      <c r="A19" s="4" t="str">
        <f>CONCATENATE(IF(COUNTIF(ARBITROS!D:D,C19)&gt;0,"[ARB] ","[CUR] "),B19," ",D19)</f>
        <v>[ARB] Javier  Otero</v>
      </c>
      <c r="B19" s="4" t="str">
        <f>SOLICITUDES!J19</f>
        <v xml:space="preserve">Javier </v>
      </c>
      <c r="C19" s="19" t="str">
        <f>SOLICITUDES!C19</f>
        <v>OTEJAV</v>
      </c>
      <c r="D19" s="4" t="str">
        <f>SOLICITUDES!K19</f>
        <v>Otero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26">
        <f>IFERROR(VLOOKUP(C19,ARBITROS!D:U,7,FALSE),"")</f>
        <v>27279</v>
      </c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 t="str">
        <f>CONCATENATE("* My Contacts ::: ",IFERROR(VLOOKUP(C19,SOLICITUDES!C:V,6,FALSE),"KO")," ::: TEORICO_",IFERROR(VLOOKUP(C19,SOLICITUDES!C:V,3,FALSE),"KO")," ::: PRACTICO_",IFERROR(VLOOKUP(C19,SOLICITUDES!C:V,4,FALSE),"")," ::: ",IFERROR(VLOOKUP(C19,ARBITROS!D:AU,17,FALSE),""))</f>
        <v>* My Contacts ::: JUN22 ::: TEORICO_OK ::: PRACTICO_OK ::: 1er Nivel</v>
      </c>
      <c r="AD19" s="4" t="s">
        <v>377</v>
      </c>
      <c r="AE19" s="4" t="str">
        <f>SOLICITUDES!N19</f>
        <v>joterode@gmail.com</v>
      </c>
      <c r="AF19" s="4" t="s">
        <v>378</v>
      </c>
      <c r="AG19" s="4" t="str">
        <f>IFERROR(VLOOKUP(C19,ARBITROS!D:U,9,FALSE),"")</f>
        <v>joterode@gmail.com</v>
      </c>
      <c r="AH19" s="4"/>
      <c r="AI19" s="4" t="str">
        <f>IFERROR(VLOOKUP(C19,ARBITROS!D:U,10,FALSE),IFERROR(VLOOKUP(C19,SOLICITUDES!C:O,13,FALSE),""))</f>
        <v>+34656819580</v>
      </c>
    </row>
    <row r="20" spans="1:35" ht="14.25" customHeight="1">
      <c r="A20" s="4" t="str">
        <f>CONCATENATE(IF(COUNTIF(ARBITROS!D:D,C20)&gt;0,"[ARB] ","[CUR] "),B20," ",D20)</f>
        <v>[ARB] Daniel Hernando</v>
      </c>
      <c r="B20" s="4" t="str">
        <f>SOLICITUDES!J20</f>
        <v>Daniel</v>
      </c>
      <c r="C20" s="19" t="str">
        <f>SOLICITUDES!C20</f>
        <v>HERDAN</v>
      </c>
      <c r="D20" s="4" t="str">
        <f>SOLICITUDES!K20</f>
        <v>Hernando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26">
        <f>IFERROR(VLOOKUP(C20,ARBITROS!D:U,7,FALSE),"")</f>
        <v>30002</v>
      </c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 t="str">
        <f>CONCATENATE("* My Contacts ::: ",IFERROR(VLOOKUP(C20,SOLICITUDES!C:V,6,FALSE),"KO")," ::: TEORICO_",IFERROR(VLOOKUP(C20,SOLICITUDES!C:V,3,FALSE),"KO")," ::: PRACTICO_",IFERROR(VLOOKUP(C20,SOLICITUDES!C:V,4,FALSE),"")," ::: ",IFERROR(VLOOKUP(C20,ARBITROS!D:AU,17,FALSE),""))</f>
        <v>* My Contacts ::: JUN22 ::: TEORICO_OK ::: PRACTICO_OK ::: 1er Nivel</v>
      </c>
      <c r="AD20" s="4" t="s">
        <v>377</v>
      </c>
      <c r="AE20" s="4" t="str">
        <f>SOLICITUDES!N20</f>
        <v>nanielhg@gmail.com</v>
      </c>
      <c r="AF20" s="4" t="s">
        <v>378</v>
      </c>
      <c r="AG20" s="4" t="str">
        <f>IFERROR(VLOOKUP(C20,ARBITROS!D:U,9,FALSE),"")</f>
        <v>nanielhg@gmail.com</v>
      </c>
      <c r="AH20" s="4"/>
      <c r="AI20" s="4" t="str">
        <f>IFERROR(VLOOKUP(C20,ARBITROS!D:U,10,FALSE),IFERROR(VLOOKUP(C20,SOLICITUDES!C:O,13,FALSE),""))</f>
        <v>+34653689295</v>
      </c>
    </row>
    <row r="21" spans="1:35" ht="14.25" customHeight="1">
      <c r="A21" s="4" t="str">
        <f>CONCATENATE(IF(COUNTIF(ARBITROS!D:D,C21)&gt;0,"[ARB] ","[CUR] "),B21," ",D21)</f>
        <v>[ARB] Alicia  Yanes</v>
      </c>
      <c r="B21" s="4" t="str">
        <f>SOLICITUDES!J21</f>
        <v xml:space="preserve">Alicia </v>
      </c>
      <c r="C21" s="19" t="str">
        <f>SOLICITUDES!C21</f>
        <v>YANALI</v>
      </c>
      <c r="D21" s="4" t="str">
        <f>SOLICITUDES!K21</f>
        <v>Yanes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26">
        <f>IFERROR(VLOOKUP(C21,ARBITROS!D:U,7,FALSE),"")</f>
        <v>25737</v>
      </c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 t="str">
        <f>CONCATENATE("* My Contacts ::: ",IFERROR(VLOOKUP(C21,SOLICITUDES!C:V,6,FALSE),"KO")," ::: TEORICO_",IFERROR(VLOOKUP(C21,SOLICITUDES!C:V,3,FALSE),"KO")," ::: PRACTICO_",IFERROR(VLOOKUP(C21,SOLICITUDES!C:V,4,FALSE),"")," ::: ",IFERROR(VLOOKUP(C21,ARBITROS!D:AU,17,FALSE),""))</f>
        <v>* My Contacts ::: JUN22 ::: TEORICO_OK ::: PRACTICO_OK ::: 1er Nivel</v>
      </c>
      <c r="AD21" s="4" t="s">
        <v>377</v>
      </c>
      <c r="AE21" s="4" t="str">
        <f>SOLICITUDES!N21</f>
        <v>ayanesc@gmail.com</v>
      </c>
      <c r="AF21" s="4" t="s">
        <v>378</v>
      </c>
      <c r="AG21" s="4" t="str">
        <f>IFERROR(VLOOKUP(C21,ARBITROS!D:U,9,FALSE),"")</f>
        <v>ayanesc@gmail.com</v>
      </c>
      <c r="AH21" s="4"/>
      <c r="AI21" s="4" t="str">
        <f>IFERROR(VLOOKUP(C21,ARBITROS!D:U,10,FALSE),IFERROR(VLOOKUP(C21,SOLICITUDES!C:O,13,FALSE),""))</f>
        <v>+34656895471</v>
      </c>
    </row>
    <row r="22" spans="1:35" ht="14.25" customHeight="1">
      <c r="A22" s="4" t="str">
        <f>CONCATENATE(IF(COUNTIF(ARBITROS!D:D,C22)&gt;0,"[ARB] ","[CUR] "),B22," ",D22)</f>
        <v>[ARB] Araceli Senciales</v>
      </c>
      <c r="B22" s="4" t="str">
        <f>SOLICITUDES!J22</f>
        <v>Araceli</v>
      </c>
      <c r="C22" s="19" t="str">
        <f>SOLICITUDES!C22</f>
        <v>SENARA</v>
      </c>
      <c r="D22" s="4" t="str">
        <f>SOLICITUDES!K22</f>
        <v>Senciales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26">
        <f>IFERROR(VLOOKUP(C22,ARBITROS!D:U,7,FALSE),"")</f>
        <v>26255</v>
      </c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 t="str">
        <f>CONCATENATE("* My Contacts ::: ",IFERROR(VLOOKUP(C22,SOLICITUDES!C:V,6,FALSE),"KO")," ::: TEORICO_",IFERROR(VLOOKUP(C22,SOLICITUDES!C:V,3,FALSE),"KO")," ::: PRACTICO_",IFERROR(VLOOKUP(C22,SOLICITUDES!C:V,4,FALSE),"")," ::: ",IFERROR(VLOOKUP(C22,ARBITROS!D:AU,17,FALSE),""))</f>
        <v>* My Contacts ::: JUN22 ::: TEORICO_OK ::: PRACTICO_OK ::: 1er Nivel</v>
      </c>
      <c r="AD22" s="4" t="s">
        <v>377</v>
      </c>
      <c r="AE22" s="4" t="str">
        <f>SOLICITUDES!N22</f>
        <v>chelisenciales@hotmail.com</v>
      </c>
      <c r="AF22" s="4" t="s">
        <v>378</v>
      </c>
      <c r="AG22" s="4" t="str">
        <f>IFERROR(VLOOKUP(C22,ARBITROS!D:U,9,FALSE),"")</f>
        <v>chelisenciales@hotmail.com</v>
      </c>
      <c r="AH22" s="4"/>
      <c r="AI22" s="4" t="str">
        <f>IFERROR(VLOOKUP(C22,ARBITROS!D:U,10,FALSE),IFERROR(VLOOKUP(C22,SOLICITUDES!C:O,13,FALSE),""))</f>
        <v>+34636758445</v>
      </c>
    </row>
    <row r="23" spans="1:35" ht="14.25" customHeight="1">
      <c r="A23" s="4" t="str">
        <f>CONCATENATE(IF(COUNTIF(ARBITROS!D:D,C23)&gt;0,"[ARB] ","[CUR] "),B23," ",D23)</f>
        <v>[CUR] Xavier  García</v>
      </c>
      <c r="B23" s="4" t="str">
        <f>SOLICITUDES!J23</f>
        <v xml:space="preserve">Xavier </v>
      </c>
      <c r="C23" s="19" t="str">
        <f>SOLICITUDES!C23</f>
        <v>GARXAV</v>
      </c>
      <c r="D23" s="4" t="str">
        <f>SOLICITUDES!K23</f>
        <v>García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26" t="str">
        <f>IFERROR(VLOOKUP(C23,ARBITROS!D:U,7,FALSE),"")</f>
        <v/>
      </c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 t="str">
        <f>CONCATENATE("* My Contacts ::: ",IFERROR(VLOOKUP(C23,SOLICITUDES!C:V,6,FALSE),"KO")," ::: TEORICO_",IFERROR(VLOOKUP(C23,SOLICITUDES!C:V,3,FALSE),"KO")," ::: PRACTICO_",IFERROR(VLOOKUP(C23,SOLICITUDES!C:V,4,FALSE),"")," ::: ",IFERROR(VLOOKUP(C23,ARBITROS!D:AU,17,FALSE),""))</f>
        <v xml:space="preserve">* My Contacts ::: JUN22 ::: TEORICO_OK ::: PRACTICO_KO ::: </v>
      </c>
      <c r="AD23" s="4" t="s">
        <v>377</v>
      </c>
      <c r="AE23" s="4" t="str">
        <f>SOLICITUDES!N23</f>
        <v>jgarcia@sportmadness.es</v>
      </c>
      <c r="AF23" s="4" t="s">
        <v>378</v>
      </c>
      <c r="AG23" s="4" t="str">
        <f>IFERROR(VLOOKUP(C23,ARBITROS!D:U,9,FALSE),"")</f>
        <v/>
      </c>
      <c r="AH23" s="4"/>
      <c r="AI23" s="4">
        <f>IFERROR(VLOOKUP(C23,ARBITROS!D:U,10,FALSE),IFERROR(VLOOKUP(C23,SOLICITUDES!C:O,13,FALSE),""))</f>
        <v>0</v>
      </c>
    </row>
    <row r="24" spans="1:35" ht="14.25" customHeight="1">
      <c r="A24" s="4" t="str">
        <f>CONCATENATE(IF(COUNTIF(ARBITROS!D:D,C24)&gt;0,"[ARB] ","[CUR] "),B24," ",D24)</f>
        <v>[ARB] Javier Ruiz</v>
      </c>
      <c r="B24" s="4" t="str">
        <f>SOLICITUDES!J24</f>
        <v>Javier</v>
      </c>
      <c r="C24" s="19" t="str">
        <f>SOLICITUDES!C24</f>
        <v>RUIJAV</v>
      </c>
      <c r="D24" s="4" t="str">
        <f>SOLICITUDES!K24</f>
        <v>Ruiz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26">
        <f>IFERROR(VLOOKUP(C24,ARBITROS!D:U,7,FALSE),"")</f>
        <v>30209</v>
      </c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 t="str">
        <f>CONCATENATE("* My Contacts ::: ",IFERROR(VLOOKUP(C24,SOLICITUDES!C:V,6,FALSE),"KO")," ::: TEORICO_",IFERROR(VLOOKUP(C24,SOLICITUDES!C:V,3,FALSE),"KO")," ::: PRACTICO_",IFERROR(VLOOKUP(C24,SOLICITUDES!C:V,4,FALSE),"")," ::: ",IFERROR(VLOOKUP(C24,ARBITROS!D:AU,17,FALSE),""))</f>
        <v>* My Contacts ::: JUN22 ::: TEORICO_OK ::: PRACTICO_OK ::: 1er Nivel</v>
      </c>
      <c r="AD24" s="4" t="s">
        <v>377</v>
      </c>
      <c r="AE24" s="4" t="str">
        <f>SOLICITUDES!N24</f>
        <v>javiruiz1982@gmail.com</v>
      </c>
      <c r="AF24" s="4" t="s">
        <v>378</v>
      </c>
      <c r="AG24" s="4" t="str">
        <f>IFERROR(VLOOKUP(C24,ARBITROS!D:U,9,FALSE),"")</f>
        <v>javiruiz1982@gmail.com</v>
      </c>
      <c r="AH24" s="4"/>
      <c r="AI24" s="4" t="str">
        <f>IFERROR(VLOOKUP(C24,ARBITROS!D:U,10,FALSE),IFERROR(VLOOKUP(C24,SOLICITUDES!C:O,13,FALSE),""))</f>
        <v>+34696803918</v>
      </c>
    </row>
    <row r="25" spans="1:35" ht="14.25" customHeight="1">
      <c r="A25" s="4" t="str">
        <f>CONCATENATE(IF(COUNTIF(ARBITROS!D:D,C25)&gt;0,"[ARB] ","[CUR] "),B25," ",D25)</f>
        <v>[ARB] Katlin  Savva</v>
      </c>
      <c r="B25" s="4" t="str">
        <f>SOLICITUDES!J25</f>
        <v xml:space="preserve">Katlin </v>
      </c>
      <c r="C25" s="19" t="str">
        <f>SOLICITUDES!C25</f>
        <v>SAVKAT</v>
      </c>
      <c r="D25" s="4" t="str">
        <f>SOLICITUDES!K25</f>
        <v>Savva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26">
        <f>IFERROR(VLOOKUP(C25,ARBITROS!D:U,7,FALSE),"")</f>
        <v>32943</v>
      </c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 t="str">
        <f>CONCATENATE("* My Contacts ::: ",IFERROR(VLOOKUP(C25,SOLICITUDES!C:V,6,FALSE),"KO")," ::: TEORICO_",IFERROR(VLOOKUP(C25,SOLICITUDES!C:V,3,FALSE),"KO")," ::: PRACTICO_",IFERROR(VLOOKUP(C25,SOLICITUDES!C:V,4,FALSE),"")," ::: ",IFERROR(VLOOKUP(C25,ARBITROS!D:AU,17,FALSE),""))</f>
        <v>* My Contacts ::: JUN22 ::: TEORICO_OK ::: PRACTICO_OK ::: 1er Nivel</v>
      </c>
      <c r="AD25" s="4" t="s">
        <v>377</v>
      </c>
      <c r="AE25" s="4" t="str">
        <f>SOLICITUDES!N25</f>
        <v>katlinsavva@hotmail.com</v>
      </c>
      <c r="AF25" s="4" t="s">
        <v>378</v>
      </c>
      <c r="AG25" s="4" t="str">
        <f>IFERROR(VLOOKUP(C25,ARBITROS!D:U,9,FALSE),"")</f>
        <v>katlinsavva@hotmail.com</v>
      </c>
      <c r="AH25" s="4"/>
      <c r="AI25" s="4" t="str">
        <f>IFERROR(VLOOKUP(C25,ARBITROS!D:U,10,FALSE),IFERROR(VLOOKUP(C25,SOLICITUDES!C:O,13,FALSE),""))</f>
        <v>+34644375576</v>
      </c>
    </row>
    <row r="26" spans="1:35" ht="14.25" customHeight="1">
      <c r="A26" s="4" t="str">
        <f>CONCATENATE(IF(COUNTIF(ARBITROS!D:D,C26)&gt;0,"[ARB] ","[CUR] "),B26," ",D26)</f>
        <v>[CUR] David  Gutiérrez</v>
      </c>
      <c r="B26" s="4" t="str">
        <f>SOLICITUDES!J26</f>
        <v xml:space="preserve">David </v>
      </c>
      <c r="C26" s="19" t="str">
        <f>SOLICITUDES!C26</f>
        <v>GUTDAV</v>
      </c>
      <c r="D26" s="4" t="str">
        <f>SOLICITUDES!K26</f>
        <v>Gutiérrez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26" t="str">
        <f>IFERROR(VLOOKUP(C26,ARBITROS!D:U,7,FALSE),"")</f>
        <v/>
      </c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 t="str">
        <f>CONCATENATE("* My Contacts ::: ",IFERROR(VLOOKUP(C26,SOLICITUDES!C:V,6,FALSE),"KO")," ::: TEORICO_",IFERROR(VLOOKUP(C26,SOLICITUDES!C:V,3,FALSE),"KO")," ::: PRACTICO_",IFERROR(VLOOKUP(C26,SOLICITUDES!C:V,4,FALSE),"")," ::: ",IFERROR(VLOOKUP(C26,ARBITROS!D:AU,17,FALSE),""))</f>
        <v xml:space="preserve">* My Contacts ::: JUN22 ::: TEORICO_KO ::: PRACTICO_KO ::: </v>
      </c>
      <c r="AD26" s="4" t="s">
        <v>377</v>
      </c>
      <c r="AE26" s="4" t="str">
        <f>SOLICITUDES!N26</f>
        <v>dabiciti@gmail.com</v>
      </c>
      <c r="AF26" s="4" t="s">
        <v>378</v>
      </c>
      <c r="AG26" s="4" t="str">
        <f>IFERROR(VLOOKUP(C26,ARBITROS!D:U,9,FALSE),"")</f>
        <v/>
      </c>
      <c r="AH26" s="4"/>
      <c r="AI26" s="4" t="str">
        <f>IFERROR(VLOOKUP(C26,ARBITROS!D:U,10,FALSE),IFERROR(VLOOKUP(C26,SOLICITUDES!C:O,13,FALSE),""))</f>
        <v>+34655652065</v>
      </c>
    </row>
    <row r="27" spans="1:35" ht="14.25" customHeight="1">
      <c r="A27" s="4" t="str">
        <f>CONCATENATE(IF(COUNTIF(ARBITROS!D:D,C27)&gt;0,"[ARB] ","[CUR] "),B27," ",D27)</f>
        <v>[ARB] Gema García</v>
      </c>
      <c r="B27" s="4" t="str">
        <f>SOLICITUDES!J27</f>
        <v>Gema</v>
      </c>
      <c r="C27" s="19" t="str">
        <f>SOLICITUDES!C27</f>
        <v>GARGEM</v>
      </c>
      <c r="D27" s="4" t="str">
        <f>SOLICITUDES!K27</f>
        <v>García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26">
        <f>IFERROR(VLOOKUP(C27,ARBITROS!D:U,7,FALSE),"")</f>
        <v>28661</v>
      </c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 t="str">
        <f>CONCATENATE("* My Contacts ::: ",IFERROR(VLOOKUP(C27,SOLICITUDES!C:V,6,FALSE),"KO")," ::: TEORICO_",IFERROR(VLOOKUP(C27,SOLICITUDES!C:V,3,FALSE),"KO")," ::: PRACTICO_",IFERROR(VLOOKUP(C27,SOLICITUDES!C:V,4,FALSE),"")," ::: ",IFERROR(VLOOKUP(C27,ARBITROS!D:AU,17,FALSE),""))</f>
        <v>* My Contacts ::: JUN22 ::: TEORICO_OK ::: PRACTICO_OK ::: 1er Nivel</v>
      </c>
      <c r="AD27" s="4" t="s">
        <v>377</v>
      </c>
      <c r="AE27" s="4" t="str">
        <f>SOLICITUDES!N27</f>
        <v>gemuas1@yahoo.es</v>
      </c>
      <c r="AF27" s="4" t="s">
        <v>378</v>
      </c>
      <c r="AG27" s="4" t="str">
        <f>IFERROR(VLOOKUP(C27,ARBITROS!D:U,9,FALSE),"")</f>
        <v>gemuas1@yahoo.es</v>
      </c>
      <c r="AH27" s="4"/>
      <c r="AI27" s="4" t="str">
        <f>IFERROR(VLOOKUP(C27,ARBITROS!D:U,10,FALSE),IFERROR(VLOOKUP(C27,SOLICITUDES!C:O,13,FALSE),""))</f>
        <v>+34635688935</v>
      </c>
    </row>
    <row r="28" spans="1:35" ht="14.25" customHeight="1">
      <c r="A28" s="4" t="str">
        <f>CONCATENATE(IF(COUNTIF(ARBITROS!D:D,C28)&gt;0,"[ARB] ","[CUR] "),B28," ",D28)</f>
        <v>[CUR] Carlos Fararoni</v>
      </c>
      <c r="B28" s="4" t="str">
        <f>SOLICITUDES!J28</f>
        <v>Carlos</v>
      </c>
      <c r="C28" s="19" t="str">
        <f>SOLICITUDES!C28</f>
        <v>FARCAR</v>
      </c>
      <c r="D28" s="4" t="str">
        <f>SOLICITUDES!K28</f>
        <v>Fararoni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26" t="str">
        <f>IFERROR(VLOOKUP(C28,ARBITROS!D:U,7,FALSE),"")</f>
        <v/>
      </c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tr">
        <f>CONCATENATE("* My Contacts ::: ",IFERROR(VLOOKUP(C28,SOLICITUDES!C:V,6,FALSE),"KO")," ::: TEORICO_",IFERROR(VLOOKUP(C28,SOLICITUDES!C:V,3,FALSE),"KO")," ::: PRACTICO_",IFERROR(VLOOKUP(C28,SOLICITUDES!C:V,4,FALSE),"")," ::: ",IFERROR(VLOOKUP(C28,ARBITROS!D:AU,17,FALSE),""))</f>
        <v xml:space="preserve">* My Contacts ::: JUN22 ::: TEORICO_KO ::: PRACTICO_KO ::: </v>
      </c>
      <c r="AD28" s="4" t="s">
        <v>377</v>
      </c>
      <c r="AE28" s="4" t="str">
        <f>SOLICITUDES!N28</f>
        <v>alejandrofararoni@gmail.com</v>
      </c>
      <c r="AF28" s="4" t="s">
        <v>378</v>
      </c>
      <c r="AG28" s="4" t="str">
        <f>IFERROR(VLOOKUP(C28,ARBITROS!D:U,9,FALSE),"")</f>
        <v/>
      </c>
      <c r="AH28" s="4"/>
      <c r="AI28" s="4" t="str">
        <f>IFERROR(VLOOKUP(C28,ARBITROS!D:U,10,FALSE),IFERROR(VLOOKUP(C28,SOLICITUDES!C:O,13,FALSE),""))</f>
        <v>+34665786742</v>
      </c>
    </row>
    <row r="29" spans="1:35" ht="14.25" customHeight="1">
      <c r="A29" s="4" t="str">
        <f>CONCATENATE(IF(COUNTIF(ARBITROS!D:D,C29)&gt;0,"[ARB] ","[CUR] "),B29," ",D29)</f>
        <v>[CUR] Miguel Arostegui</v>
      </c>
      <c r="B29" s="4" t="str">
        <f>SOLICITUDES!J29</f>
        <v>Miguel</v>
      </c>
      <c r="C29" s="19" t="str">
        <f>SOLICITUDES!C29</f>
        <v>AROMIG</v>
      </c>
      <c r="D29" s="4" t="str">
        <f>SOLICITUDES!K29</f>
        <v>Arostegui</v>
      </c>
      <c r="E29" s="4"/>
      <c r="F29" s="4"/>
      <c r="G29" s="4"/>
      <c r="H29" s="4"/>
      <c r="I29" s="4"/>
      <c r="J29" s="4"/>
      <c r="K29" s="4"/>
      <c r="L29" s="4"/>
      <c r="M29" s="4"/>
      <c r="N29" s="4"/>
      <c r="O29" s="26" t="str">
        <f>IFERROR(VLOOKUP(C29,ARBITROS!D:U,7,FALSE),"")</f>
        <v/>
      </c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 t="str">
        <f>CONCATENATE("* My Contacts ::: ",IFERROR(VLOOKUP(C29,SOLICITUDES!C:V,6,FALSE),"KO")," ::: TEORICO_",IFERROR(VLOOKUP(C29,SOLICITUDES!C:V,3,FALSE),"KO")," ::: PRACTICO_",IFERROR(VLOOKUP(C29,SOLICITUDES!C:V,4,FALSE),"")," ::: ",IFERROR(VLOOKUP(C29,ARBITROS!D:AU,17,FALSE),""))</f>
        <v xml:space="preserve">* My Contacts ::: JUL23 ::: TEORICO_KO ::: PRACTICO_KO ::: </v>
      </c>
      <c r="AD29" s="4" t="s">
        <v>377</v>
      </c>
      <c r="AE29" s="4" t="str">
        <f>SOLICITUDES!N29</f>
        <v>miguel.arostegui@pickleball-club.com</v>
      </c>
      <c r="AF29" s="4" t="s">
        <v>378</v>
      </c>
      <c r="AG29" s="4" t="str">
        <f>IFERROR(VLOOKUP(C29,ARBITROS!D:U,9,FALSE),"")</f>
        <v/>
      </c>
      <c r="AH29" s="4"/>
      <c r="AI29" s="4" t="str">
        <f>IFERROR(VLOOKUP(C29,ARBITROS!D:U,10,FALSE),IFERROR(VLOOKUP(C29,SOLICITUDES!C:O,13,FALSE),""))</f>
        <v>+34622042342</v>
      </c>
    </row>
    <row r="30" spans="1:35" ht="14.25" customHeight="1">
      <c r="A30" s="4" t="str">
        <f>CONCATENATE(IF(COUNTIF(ARBITROS!D:D,C30)&gt;0,"[ARB] ","[CUR] "),B30," ",D30)</f>
        <v>[ARB] Tomás Santiago</v>
      </c>
      <c r="B30" s="4" t="str">
        <f>SOLICITUDES!J30</f>
        <v>Tomás</v>
      </c>
      <c r="C30" s="19" t="str">
        <f>SOLICITUDES!C30</f>
        <v>SANTOM</v>
      </c>
      <c r="D30" s="4" t="str">
        <f>SOLICITUDES!K30</f>
        <v>Santiago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26">
        <f>IFERROR(VLOOKUP(C30,ARBITROS!D:U,7,FALSE),"")</f>
        <v>33812</v>
      </c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 t="str">
        <f>CONCATENATE("* My Contacts ::: ",IFERROR(VLOOKUP(C30,SOLICITUDES!C:V,6,FALSE),"KO")," ::: TEORICO_",IFERROR(VLOOKUP(C30,SOLICITUDES!C:V,3,FALSE),"KO")," ::: PRACTICO_",IFERROR(VLOOKUP(C30,SOLICITUDES!C:V,4,FALSE),"")," ::: ",IFERROR(VLOOKUP(C30,ARBITROS!D:AU,17,FALSE),""))</f>
        <v>* My Contacts ::: JUL23 ::: TEORICO_OK ::: PRACTICO_OK ::: 1er Nivel</v>
      </c>
      <c r="AD30" s="4" t="s">
        <v>377</v>
      </c>
      <c r="AE30" s="4" t="str">
        <f>SOLICITUDES!N30</f>
        <v>tomassantiagootero@gmail.com</v>
      </c>
      <c r="AF30" s="4" t="s">
        <v>378</v>
      </c>
      <c r="AG30" s="4" t="str">
        <f>IFERROR(VLOOKUP(C30,ARBITROS!D:U,9,FALSE),"")</f>
        <v>tomassantiagootero@gmail.com</v>
      </c>
      <c r="AH30" s="4"/>
      <c r="AI30" s="4" t="str">
        <f>IFERROR(VLOOKUP(C30,ARBITROS!D:U,10,FALSE),IFERROR(VLOOKUP(C30,SOLICITUDES!C:O,13,FALSE),""))</f>
        <v>+34638415240</v>
      </c>
    </row>
    <row r="31" spans="1:35" ht="14.25" customHeight="1">
      <c r="A31" s="4" t="str">
        <f>CONCATENATE(IF(COUNTIF(ARBITROS!D:D,C31)&gt;0,"[ARB] ","[CUR] "),B31," ",D31)</f>
        <v>[ARB] Víctor Báez</v>
      </c>
      <c r="B31" s="4" t="str">
        <f>SOLICITUDES!J31</f>
        <v>Víctor</v>
      </c>
      <c r="C31" s="19" t="str">
        <f>SOLICITUDES!C31</f>
        <v>BAEVIC</v>
      </c>
      <c r="D31" s="4" t="str">
        <f>SOLICITUDES!K31</f>
        <v>Báez</v>
      </c>
      <c r="E31" s="4"/>
      <c r="F31" s="4"/>
      <c r="G31" s="4"/>
      <c r="H31" s="4"/>
      <c r="I31" s="4"/>
      <c r="J31" s="4"/>
      <c r="K31" s="4"/>
      <c r="L31" s="4"/>
      <c r="M31" s="4"/>
      <c r="N31" s="4"/>
      <c r="O31" s="26">
        <f>IFERROR(VLOOKUP(C31,ARBITROS!D:U,7,FALSE),"")</f>
        <v>30723</v>
      </c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 t="str">
        <f>CONCATENATE("* My Contacts ::: ",IFERROR(VLOOKUP(C31,SOLICITUDES!C:V,6,FALSE),"KO")," ::: TEORICO_",IFERROR(VLOOKUP(C31,SOLICITUDES!C:V,3,FALSE),"KO")," ::: PRACTICO_",IFERROR(VLOOKUP(C31,SOLICITUDES!C:V,4,FALSE),"")," ::: ",IFERROR(VLOOKUP(C31,ARBITROS!D:AU,17,FALSE),""))</f>
        <v>* My Contacts ::: JUL23 ::: TEORICO_OK ::: PRACTICO_OK ::: 1er Nivel</v>
      </c>
      <c r="AD31" s="4" t="s">
        <v>377</v>
      </c>
      <c r="AE31" s="4" t="str">
        <f>SOLICITUDES!N31</f>
        <v>victorbaezf@gmail.com</v>
      </c>
      <c r="AF31" s="4" t="s">
        <v>378</v>
      </c>
      <c r="AG31" s="4" t="str">
        <f>IFERROR(VLOOKUP(C31,ARBITROS!D:U,9,FALSE),"")</f>
        <v>victorbaezf@gmail.com</v>
      </c>
      <c r="AH31" s="4"/>
      <c r="AI31" s="4" t="str">
        <f>IFERROR(VLOOKUP(C31,ARBITROS!D:U,10,FALSE),IFERROR(VLOOKUP(C31,SOLICITUDES!C:O,13,FALSE),""))</f>
        <v>+34658436672</v>
      </c>
    </row>
    <row r="32" spans="1:35" ht="14.25" customHeight="1">
      <c r="A32" s="4" t="str">
        <f>CONCATENATE(IF(COUNTIF(ARBITROS!D:D,C32)&gt;0,"[ARB] ","[CUR] "),B32," ",D32)</f>
        <v>[ARB] Patricia García</v>
      </c>
      <c r="B32" s="4" t="str">
        <f>SOLICITUDES!J32</f>
        <v>Patricia</v>
      </c>
      <c r="C32" s="19" t="str">
        <f>SOLICITUDES!C32</f>
        <v>GARPAT</v>
      </c>
      <c r="D32" s="4" t="str">
        <f>SOLICITUDES!K32</f>
        <v>García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26">
        <f>IFERROR(VLOOKUP(C32,ARBITROS!D:U,7,FALSE),"")</f>
        <v>32946</v>
      </c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 t="str">
        <f>CONCATENATE("* My Contacts ::: ",IFERROR(VLOOKUP(C32,SOLICITUDES!C:V,6,FALSE),"KO")," ::: TEORICO_",IFERROR(VLOOKUP(C32,SOLICITUDES!C:V,3,FALSE),"KO")," ::: PRACTICO_",IFERROR(VLOOKUP(C32,SOLICITUDES!C:V,4,FALSE),"")," ::: ",IFERROR(VLOOKUP(C32,ARBITROS!D:AU,17,FALSE),""))</f>
        <v>* My Contacts ::: JUL23 ::: TEORICO_OK ::: PRACTICO_OK ::: 1er Nivel</v>
      </c>
      <c r="AD32" s="4" t="s">
        <v>377</v>
      </c>
      <c r="AE32" s="4" t="str">
        <f>SOLICITUDES!N32</f>
        <v>gartorpat@gmail.com</v>
      </c>
      <c r="AF32" s="4" t="s">
        <v>378</v>
      </c>
      <c r="AG32" s="4" t="str">
        <f>IFERROR(VLOOKUP(C32,ARBITROS!D:U,9,FALSE),"")</f>
        <v>gartorpat@gmail.com</v>
      </c>
      <c r="AH32" s="4"/>
      <c r="AI32" s="4" t="str">
        <f>IFERROR(VLOOKUP(C32,ARBITROS!D:U,10,FALSE),IFERROR(VLOOKUP(C32,SOLICITUDES!C:O,13,FALSE),""))</f>
        <v>+34680667293</v>
      </c>
    </row>
    <row r="33" spans="1:35" ht="14.25" customHeight="1">
      <c r="A33" s="4" t="str">
        <f>CONCATENATE(IF(COUNTIF(ARBITROS!D:D,C33)&gt;0,"[ARB] ","[CUR] "),B33," ",D33)</f>
        <v>[ARB] Salvador Calvo</v>
      </c>
      <c r="B33" s="4" t="str">
        <f>SOLICITUDES!J33</f>
        <v>Salvador</v>
      </c>
      <c r="C33" s="19" t="str">
        <f>SOLICITUDES!C33</f>
        <v>CALSAL</v>
      </c>
      <c r="D33" s="4" t="str">
        <f>SOLICITUDES!K33</f>
        <v>Calvo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26">
        <f>IFERROR(VLOOKUP(C33,ARBITROS!D:U,7,FALSE),"")</f>
        <v>29659</v>
      </c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 t="str">
        <f>CONCATENATE("* My Contacts ::: ",IFERROR(VLOOKUP(C33,SOLICITUDES!C:V,6,FALSE),"KO")," ::: TEORICO_",IFERROR(VLOOKUP(C33,SOLICITUDES!C:V,3,FALSE),"KO")," ::: PRACTICO_",IFERROR(VLOOKUP(C33,SOLICITUDES!C:V,4,FALSE),"")," ::: ",IFERROR(VLOOKUP(C33,ARBITROS!D:AU,17,FALSE),""))</f>
        <v>* My Contacts ::: JUL23 ::: TEORICO_OK ::: PRACTICO_OK ::: 1er Nivel</v>
      </c>
      <c r="AD33" s="4" t="s">
        <v>377</v>
      </c>
      <c r="AE33" s="4" t="str">
        <f>SOLICITUDES!N33</f>
        <v>salva.calvocastello@gmail.com</v>
      </c>
      <c r="AF33" s="4" t="s">
        <v>378</v>
      </c>
      <c r="AG33" s="4" t="str">
        <f>IFERROR(VLOOKUP(C33,ARBITROS!D:U,9,FALSE),"")</f>
        <v>salva.calvocastello@gmail.com</v>
      </c>
      <c r="AH33" s="4"/>
      <c r="AI33" s="4" t="str">
        <f>IFERROR(VLOOKUP(C33,ARBITROS!D:U,10,FALSE),IFERROR(VLOOKUP(C33,SOLICITUDES!C:O,13,FALSE),""))</f>
        <v>+34657812104</v>
      </c>
    </row>
    <row r="34" spans="1:35" ht="14.25" customHeight="1">
      <c r="A34" s="4" t="str">
        <f>CONCATENATE(IF(COUNTIF(ARBITROS!D:D,C34)&gt;0,"[ARB] ","[CUR] "),B34," ",D34)</f>
        <v>[CUR] Edgar Alexander Monagas</v>
      </c>
      <c r="B34" s="4" t="str">
        <f>SOLICITUDES!J34</f>
        <v>Edgar Alexander</v>
      </c>
      <c r="C34" s="19" t="str">
        <f>SOLICITUDES!C34</f>
        <v>MONEDG</v>
      </c>
      <c r="D34" s="4" t="str">
        <f>SOLICITUDES!K34</f>
        <v>Monagas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26" t="str">
        <f>IFERROR(VLOOKUP(C34,ARBITROS!D:U,7,FALSE),"")</f>
        <v/>
      </c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 t="str">
        <f>CONCATENATE("* My Contacts ::: ",IFERROR(VLOOKUP(C34,SOLICITUDES!C:V,6,FALSE),"KO")," ::: TEORICO_",IFERROR(VLOOKUP(C34,SOLICITUDES!C:V,3,FALSE),"KO")," ::: PRACTICO_",IFERROR(VLOOKUP(C34,SOLICITUDES!C:V,4,FALSE),"")," ::: ",IFERROR(VLOOKUP(C34,ARBITROS!D:AU,17,FALSE),""))</f>
        <v xml:space="preserve">* My Contacts ::: JUL23 ::: TEORICO_KO ::: PRACTICO_KO ::: </v>
      </c>
      <c r="AD34" s="4" t="s">
        <v>377</v>
      </c>
      <c r="AE34" s="4" t="str">
        <f>SOLICITUDES!N34</f>
        <v>edalex@gmail.com</v>
      </c>
      <c r="AF34" s="4" t="s">
        <v>378</v>
      </c>
      <c r="AG34" s="4" t="str">
        <f>IFERROR(VLOOKUP(C34,ARBITROS!D:U,9,FALSE),"")</f>
        <v/>
      </c>
      <c r="AH34" s="4"/>
      <c r="AI34" s="4" t="str">
        <f>IFERROR(VLOOKUP(C34,ARBITROS!D:U,10,FALSE),IFERROR(VLOOKUP(C34,SOLICITUDES!C:O,13,FALSE),""))</f>
        <v>+34624452622</v>
      </c>
    </row>
    <row r="35" spans="1:35" ht="14.25" customHeight="1">
      <c r="A35" s="4" t="str">
        <f>CONCATENATE(IF(COUNTIF(ARBITROS!D:D,C35)&gt;0,"[ARB] ","[CUR] "),B35," ",D35)</f>
        <v>[CUR] Paulino Aliseda</v>
      </c>
      <c r="B35" s="4" t="str">
        <f>SOLICITUDES!J35</f>
        <v>Paulino</v>
      </c>
      <c r="C35" s="19" t="str">
        <f>SOLICITUDES!C35</f>
        <v>ALIPAU</v>
      </c>
      <c r="D35" s="4" t="str">
        <f>SOLICITUDES!K35</f>
        <v>Aliseda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26" t="str">
        <f>IFERROR(VLOOKUP(C35,ARBITROS!D:U,7,FALSE),"")</f>
        <v/>
      </c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 t="str">
        <f>CONCATENATE("* My Contacts ::: ",IFERROR(VLOOKUP(C35,SOLICITUDES!C:V,6,FALSE),"KO")," ::: TEORICO_",IFERROR(VLOOKUP(C35,SOLICITUDES!C:V,3,FALSE),"KO")," ::: PRACTICO_",IFERROR(VLOOKUP(C35,SOLICITUDES!C:V,4,FALSE),"")," ::: ",IFERROR(VLOOKUP(C35,ARBITROS!D:AU,17,FALSE),""))</f>
        <v xml:space="preserve">* My Contacts ::: JUL23 ::: TEORICO_KO ::: PRACTICO_KO ::: </v>
      </c>
      <c r="AD35" s="4" t="s">
        <v>377</v>
      </c>
      <c r="AE35" s="4" t="str">
        <f>SOLICITUDES!N35</f>
        <v>pau.cursos1@gmail.com</v>
      </c>
      <c r="AF35" s="4" t="s">
        <v>378</v>
      </c>
      <c r="AG35" s="4" t="str">
        <f>IFERROR(VLOOKUP(C35,ARBITROS!D:U,9,FALSE),"")</f>
        <v/>
      </c>
      <c r="AH35" s="4"/>
      <c r="AI35" s="4" t="str">
        <f>IFERROR(VLOOKUP(C35,ARBITROS!D:U,10,FALSE),IFERROR(VLOOKUP(C35,SOLICITUDES!C:O,13,FALSE),""))</f>
        <v>+34660282882</v>
      </c>
    </row>
    <row r="36" spans="1:35" ht="14.25" customHeight="1">
      <c r="A36" s="4" t="str">
        <f>CONCATENATE(IF(COUNTIF(ARBITROS!D:D,C36)&gt;0,"[ARB] ","[CUR] "),B36," ",D36)</f>
        <v>[CUR] Ana Domínguez</v>
      </c>
      <c r="B36" s="4" t="str">
        <f>SOLICITUDES!J36</f>
        <v>Ana</v>
      </c>
      <c r="C36" s="19" t="str">
        <f>SOLICITUDES!C36</f>
        <v>DOMANA</v>
      </c>
      <c r="D36" s="4" t="str">
        <f>SOLICITUDES!K36</f>
        <v>Domínguez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26" t="str">
        <f>IFERROR(VLOOKUP(C36,ARBITROS!D:U,7,FALSE),"")</f>
        <v/>
      </c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 t="str">
        <f>CONCATENATE("* My Contacts ::: ",IFERROR(VLOOKUP(C36,SOLICITUDES!C:V,6,FALSE),"KO")," ::: TEORICO_",IFERROR(VLOOKUP(C36,SOLICITUDES!C:V,3,FALSE),"KO")," ::: PRACTICO_",IFERROR(VLOOKUP(C36,SOLICITUDES!C:V,4,FALSE),"")," ::: ",IFERROR(VLOOKUP(C36,ARBITROS!D:AU,17,FALSE),""))</f>
        <v xml:space="preserve">* My Contacts ::: JUL23 ::: TEORICO_OK ::: PRACTICO_KO ::: </v>
      </c>
      <c r="AD36" s="4" t="s">
        <v>377</v>
      </c>
      <c r="AE36" s="4" t="str">
        <f>SOLICITUDES!N36</f>
        <v>anautwo@gmail.com</v>
      </c>
      <c r="AF36" s="4" t="s">
        <v>378</v>
      </c>
      <c r="AG36" s="4" t="str">
        <f>IFERROR(VLOOKUP(C36,ARBITROS!D:U,9,FALSE),"")</f>
        <v/>
      </c>
      <c r="AH36" s="4"/>
      <c r="AI36" s="4" t="str">
        <f>IFERROR(VLOOKUP(C36,ARBITROS!D:U,10,FALSE),IFERROR(VLOOKUP(C36,SOLICITUDES!C:O,13,FALSE),""))</f>
        <v>+34665325860</v>
      </c>
    </row>
    <row r="37" spans="1:35" ht="14.25" customHeight="1">
      <c r="A37" s="4" t="str">
        <f>CONCATENATE(IF(COUNTIF(ARBITROS!D:D,C37)&gt;0,"[ARB] ","[CUR] "),B37," ",D37)</f>
        <v>[CUR] Jorge Artigas</v>
      </c>
      <c r="B37" s="4" t="str">
        <f>SOLICITUDES!J37</f>
        <v>Jorge</v>
      </c>
      <c r="C37" s="19" t="str">
        <f>SOLICITUDES!C37</f>
        <v>ARTJOR</v>
      </c>
      <c r="D37" s="4" t="str">
        <f>SOLICITUDES!K37</f>
        <v>Artigas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26" t="str">
        <f>IFERROR(VLOOKUP(C37,ARBITROS!D:U,7,FALSE),"")</f>
        <v/>
      </c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 t="str">
        <f>CONCATENATE("* My Contacts ::: ",IFERROR(VLOOKUP(C37,SOLICITUDES!C:V,6,FALSE),"KO")," ::: TEORICO_",IFERROR(VLOOKUP(C37,SOLICITUDES!C:V,3,FALSE),"KO")," ::: PRACTICO_",IFERROR(VLOOKUP(C37,SOLICITUDES!C:V,4,FALSE),"")," ::: ",IFERROR(VLOOKUP(C37,ARBITROS!D:AU,17,FALSE),""))</f>
        <v xml:space="preserve">* My Contacts ::: JUL23 ::: TEORICO_KO ::: PRACTICO_KO ::: </v>
      </c>
      <c r="AD37" s="4" t="s">
        <v>377</v>
      </c>
      <c r="AE37" s="4" t="str">
        <f>SOLICITUDES!N37</f>
        <v>jorgeartigas47@gmail.com</v>
      </c>
      <c r="AF37" s="4" t="s">
        <v>378</v>
      </c>
      <c r="AG37" s="4" t="str">
        <f>IFERROR(VLOOKUP(C37,ARBITROS!D:U,9,FALSE),"")</f>
        <v/>
      </c>
      <c r="AH37" s="4"/>
      <c r="AI37" s="4" t="str">
        <f>IFERROR(VLOOKUP(C37,ARBITROS!D:U,10,FALSE),IFERROR(VLOOKUP(C37,SOLICITUDES!C:O,13,FALSE),""))</f>
        <v>+34617093487</v>
      </c>
    </row>
    <row r="38" spans="1:35" ht="14.25" customHeight="1">
      <c r="A38" s="4" t="str">
        <f>CONCATENATE(IF(COUNTIF(ARBITROS!D:D,C38)&gt;0,"[ARB] ","[CUR] "),B38," ",D38)</f>
        <v>[CUR] Elisa Gomez</v>
      </c>
      <c r="B38" s="4" t="str">
        <f>SOLICITUDES!J38</f>
        <v>Elisa</v>
      </c>
      <c r="C38" s="19" t="str">
        <f>SOLICITUDES!C38</f>
        <v>GOMELI</v>
      </c>
      <c r="D38" s="4" t="str">
        <f>SOLICITUDES!K38</f>
        <v>Gomez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26" t="str">
        <f>IFERROR(VLOOKUP(C38,ARBITROS!D:U,7,FALSE),"")</f>
        <v/>
      </c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 t="str">
        <f>CONCATENATE("* My Contacts ::: ",IFERROR(VLOOKUP(C38,SOLICITUDES!C:V,6,FALSE),"KO")," ::: TEORICO_",IFERROR(VLOOKUP(C38,SOLICITUDES!C:V,3,FALSE),"KO")," ::: PRACTICO_",IFERROR(VLOOKUP(C38,SOLICITUDES!C:V,4,FALSE),"")," ::: ",IFERROR(VLOOKUP(C38,ARBITROS!D:AU,17,FALSE),""))</f>
        <v xml:space="preserve">* My Contacts ::: JUL23 ::: TEORICO_KO ::: PRACTICO_KO ::: </v>
      </c>
      <c r="AD38" s="4" t="s">
        <v>377</v>
      </c>
      <c r="AE38" s="4" t="str">
        <f>SOLICITUDES!N38</f>
        <v>gomezgilelisa@gmail.com</v>
      </c>
      <c r="AF38" s="4" t="s">
        <v>378</v>
      </c>
      <c r="AG38" s="4" t="str">
        <f>IFERROR(VLOOKUP(C38,ARBITROS!D:U,9,FALSE),"")</f>
        <v/>
      </c>
      <c r="AH38" s="4"/>
      <c r="AI38" s="4" t="str">
        <f>IFERROR(VLOOKUP(C38,ARBITROS!D:U,10,FALSE),IFERROR(VLOOKUP(C38,SOLICITUDES!C:O,13,FALSE),""))</f>
        <v>+34689366108</v>
      </c>
    </row>
    <row r="39" spans="1:35" ht="14.25" customHeight="1">
      <c r="A39" s="4" t="str">
        <f>CONCATENATE(IF(COUNTIF(ARBITROS!D:D,C39)&gt;0,"[ARB] ","[CUR] "),B39," ",D39)</f>
        <v>[CUR] Maria Rodriguez</v>
      </c>
      <c r="B39" s="4" t="str">
        <f>SOLICITUDES!J39</f>
        <v>Maria</v>
      </c>
      <c r="C39" s="19" t="str">
        <f>SOLICITUDES!C39</f>
        <v>RODMAR</v>
      </c>
      <c r="D39" s="4" t="str">
        <f>SOLICITUDES!K39</f>
        <v>Rodriguez</v>
      </c>
      <c r="E39" s="4"/>
      <c r="F39" s="4"/>
      <c r="G39" s="4"/>
      <c r="H39" s="4"/>
      <c r="I39" s="4"/>
      <c r="J39" s="4"/>
      <c r="K39" s="4"/>
      <c r="L39" s="4"/>
      <c r="M39" s="4"/>
      <c r="N39" s="4"/>
      <c r="O39" s="26" t="str">
        <f>IFERROR(VLOOKUP(C39,ARBITROS!D:U,7,FALSE),"")</f>
        <v/>
      </c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 t="str">
        <f>CONCATENATE("* My Contacts ::: ",IFERROR(VLOOKUP(C39,SOLICITUDES!C:V,6,FALSE),"KO")," ::: TEORICO_",IFERROR(VLOOKUP(C39,SOLICITUDES!C:V,3,FALSE),"KO")," ::: PRACTICO_",IFERROR(VLOOKUP(C39,SOLICITUDES!C:V,4,FALSE),"")," ::: ",IFERROR(VLOOKUP(C39,ARBITROS!D:AU,17,FALSE),""))</f>
        <v xml:space="preserve">* My Contacts ::: JUL23 ::: TEORICO_KO ::: PRACTICO_KO ::: </v>
      </c>
      <c r="AD39" s="4" t="s">
        <v>377</v>
      </c>
      <c r="AE39" s="4" t="str">
        <f>SOLICITUDES!N39</f>
        <v>geno64670@hotmail.com</v>
      </c>
      <c r="AF39" s="4" t="s">
        <v>378</v>
      </c>
      <c r="AG39" s="4" t="str">
        <f>IFERROR(VLOOKUP(C39,ARBITROS!D:U,9,FALSE),"")</f>
        <v/>
      </c>
      <c r="AH39" s="4"/>
      <c r="AI39" s="4" t="str">
        <f>IFERROR(VLOOKUP(C39,ARBITROS!D:U,10,FALSE),IFERROR(VLOOKUP(C39,SOLICITUDES!C:O,13,FALSE),""))</f>
        <v>+34622088691</v>
      </c>
    </row>
    <row r="40" spans="1:35" ht="14.25" customHeight="1">
      <c r="A40" s="4" t="str">
        <f>CONCATENATE(IF(COUNTIF(ARBITROS!D:D,C40)&gt;0,"[ARB] ","[CUR] "),B40," ",D40)</f>
        <v>[CUR] Jesús Lucas</v>
      </c>
      <c r="B40" s="4" t="str">
        <f>SOLICITUDES!J40</f>
        <v>Jesús</v>
      </c>
      <c r="C40" s="19" t="str">
        <f>SOLICITUDES!C40</f>
        <v>LUCJES</v>
      </c>
      <c r="D40" s="4" t="str">
        <f>SOLICITUDES!K40</f>
        <v>Lucas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26" t="str">
        <f>IFERROR(VLOOKUP(C40,ARBITROS!D:U,7,FALSE),"")</f>
        <v/>
      </c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 t="str">
        <f>CONCATENATE("* My Contacts ::: ",IFERROR(VLOOKUP(C40,SOLICITUDES!C:V,6,FALSE),"KO")," ::: TEORICO_",IFERROR(VLOOKUP(C40,SOLICITUDES!C:V,3,FALSE),"KO")," ::: PRACTICO_",IFERROR(VLOOKUP(C40,SOLICITUDES!C:V,4,FALSE),"")," ::: ",IFERROR(VLOOKUP(C40,ARBITROS!D:AU,17,FALSE),""))</f>
        <v xml:space="preserve">* My Contacts ::: JUL23 ::: TEORICO_KO ::: PRACTICO_KO ::: </v>
      </c>
      <c r="AD40" s="4" t="s">
        <v>377</v>
      </c>
      <c r="AE40" s="4" t="str">
        <f>SOLICITUDES!N40</f>
        <v>jesusluc@gmail.com</v>
      </c>
      <c r="AF40" s="4" t="s">
        <v>378</v>
      </c>
      <c r="AG40" s="4" t="str">
        <f>IFERROR(VLOOKUP(C40,ARBITROS!D:U,9,FALSE),"")</f>
        <v/>
      </c>
      <c r="AH40" s="4"/>
      <c r="AI40" s="4" t="str">
        <f>IFERROR(VLOOKUP(C40,ARBITROS!D:U,10,FALSE),IFERROR(VLOOKUP(C40,SOLICITUDES!C:O,13,FALSE),""))</f>
        <v>+34610875257</v>
      </c>
    </row>
    <row r="41" spans="1:35" ht="14.25" customHeight="1">
      <c r="A41" s="4" t="str">
        <f>CONCATENATE(IF(COUNTIF(ARBITROS!D:D,C41)&gt;0,"[ARB] ","[CUR] "),B41," ",D41)</f>
        <v>[CUR] Fraga Fernando</v>
      </c>
      <c r="B41" s="4" t="str">
        <f>SOLICITUDES!J41</f>
        <v>Fraga</v>
      </c>
      <c r="C41" s="19" t="str">
        <f>SOLICITUDES!C41</f>
        <v>FERFRA</v>
      </c>
      <c r="D41" s="4" t="str">
        <f>SOLICITUDES!K41</f>
        <v>Fernando</v>
      </c>
      <c r="E41" s="4"/>
      <c r="F41" s="4"/>
      <c r="G41" s="4"/>
      <c r="H41" s="4"/>
      <c r="I41" s="4"/>
      <c r="J41" s="4"/>
      <c r="K41" s="4"/>
      <c r="L41" s="4"/>
      <c r="M41" s="4"/>
      <c r="N41" s="4"/>
      <c r="O41" s="26" t="str">
        <f>IFERROR(VLOOKUP(C41,ARBITROS!D:U,7,FALSE),"")</f>
        <v/>
      </c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 t="str">
        <f>CONCATENATE("* My Contacts ::: ",IFERROR(VLOOKUP(C41,SOLICITUDES!C:V,6,FALSE),"KO")," ::: TEORICO_",IFERROR(VLOOKUP(C41,SOLICITUDES!C:V,3,FALSE),"KO")," ::: PRACTICO_",IFERROR(VLOOKUP(C41,SOLICITUDES!C:V,4,FALSE),"")," ::: ",IFERROR(VLOOKUP(C41,ARBITROS!D:AU,17,FALSE),""))</f>
        <v xml:space="preserve">* My Contacts ::: JUL23 ::: TEORICO_KO ::: PRACTICO_KO ::: </v>
      </c>
      <c r="AD41" s="4" t="s">
        <v>377</v>
      </c>
      <c r="AE41" s="4" t="str">
        <f>SOLICITUDES!N41</f>
        <v>fjorgefraga@hotmail.com</v>
      </c>
      <c r="AF41" s="4" t="s">
        <v>378</v>
      </c>
      <c r="AG41" s="4" t="str">
        <f>IFERROR(VLOOKUP(C41,ARBITROS!D:U,9,FALSE),"")</f>
        <v/>
      </c>
      <c r="AH41" s="4"/>
      <c r="AI41" s="4" t="str">
        <f>IFERROR(VLOOKUP(C41,ARBITROS!D:U,10,FALSE),IFERROR(VLOOKUP(C41,SOLICITUDES!C:O,13,FALSE),""))</f>
        <v>+3519367751512</v>
      </c>
    </row>
    <row r="42" spans="1:35" ht="14.25" customHeight="1">
      <c r="A42" s="4" t="str">
        <f>CONCATENATE(IF(COUNTIF(ARBITROS!D:D,C42)&gt;0,"[ARB] ","[CUR] "),B42," ",D42)</f>
        <v>[CUR] Inmaculada Meni</v>
      </c>
      <c r="B42" s="4" t="str">
        <f>SOLICITUDES!J42</f>
        <v>Inmaculada</v>
      </c>
      <c r="C42" s="19" t="str">
        <f>SOLICITUDES!C42</f>
        <v>MENINM</v>
      </c>
      <c r="D42" s="4" t="str">
        <f>SOLICITUDES!K42</f>
        <v>Meni</v>
      </c>
      <c r="E42" s="4"/>
      <c r="F42" s="4"/>
      <c r="G42" s="4"/>
      <c r="H42" s="4"/>
      <c r="I42" s="4"/>
      <c r="J42" s="4"/>
      <c r="K42" s="4"/>
      <c r="L42" s="4"/>
      <c r="M42" s="4"/>
      <c r="N42" s="4"/>
      <c r="O42" s="26" t="str">
        <f>IFERROR(VLOOKUP(C42,ARBITROS!D:U,7,FALSE),"")</f>
        <v/>
      </c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 t="str">
        <f>CONCATENATE("* My Contacts ::: ",IFERROR(VLOOKUP(C42,SOLICITUDES!C:V,6,FALSE),"KO")," ::: TEORICO_",IFERROR(VLOOKUP(C42,SOLICITUDES!C:V,3,FALSE),"KO")," ::: PRACTICO_",IFERROR(VLOOKUP(C42,SOLICITUDES!C:V,4,FALSE),"")," ::: ",IFERROR(VLOOKUP(C42,ARBITROS!D:AU,17,FALSE),""))</f>
        <v xml:space="preserve">* My Contacts ::: NOV23 ::: TEORICO_OK ::: PRACTICO_OK ::: </v>
      </c>
      <c r="AD42" s="4" t="s">
        <v>377</v>
      </c>
      <c r="AE42" s="4" t="str">
        <f>SOLICITUDES!N42</f>
        <v>menisolano@gmail.com</v>
      </c>
      <c r="AF42" s="4" t="s">
        <v>378</v>
      </c>
      <c r="AG42" s="4" t="str">
        <f>IFERROR(VLOOKUP(C42,ARBITROS!D:U,9,FALSE),"")</f>
        <v/>
      </c>
      <c r="AH42" s="4"/>
      <c r="AI42" s="4" t="str">
        <f>IFERROR(VLOOKUP(C42,ARBITROS!D:U,10,FALSE),IFERROR(VLOOKUP(C42,SOLICITUDES!C:O,13,FALSE),""))</f>
        <v>+34629389815</v>
      </c>
    </row>
    <row r="43" spans="1:35" ht="14.25" customHeight="1">
      <c r="A43" s="4" t="str">
        <f>CONCATENATE(IF(COUNTIF(ARBITROS!D:D,C43)&gt;0,"[ARB] ","[CUR] "),B43," ",D43)</f>
        <v>[ARB] Juan Luis Marinas</v>
      </c>
      <c r="B43" s="4" t="str">
        <f>SOLICITUDES!J43</f>
        <v>Juan Luis</v>
      </c>
      <c r="C43" s="19" t="str">
        <f>SOLICITUDES!C43</f>
        <v>MARJUA</v>
      </c>
      <c r="D43" s="4" t="str">
        <f>SOLICITUDES!K43</f>
        <v>Marinas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26">
        <f>IFERROR(VLOOKUP(C43,ARBITROS!D:U,7,FALSE),"")</f>
        <v>25152</v>
      </c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 t="str">
        <f>CONCATENATE("* My Contacts ::: ",IFERROR(VLOOKUP(C43,SOLICITUDES!C:V,6,FALSE),"KO")," ::: TEORICO_",IFERROR(VLOOKUP(C43,SOLICITUDES!C:V,3,FALSE),"KO")," ::: PRACTICO_",IFERROR(VLOOKUP(C43,SOLICITUDES!C:V,4,FALSE),"")," ::: ",IFERROR(VLOOKUP(C43,ARBITROS!D:AU,17,FALSE),""))</f>
        <v>* My Contacts ::: NOV23 ::: TEORICO_OK ::: PRACTICO_OK ::: 1er Nivel</v>
      </c>
      <c r="AD43" s="4" t="s">
        <v>377</v>
      </c>
      <c r="AE43" s="4" t="str">
        <f>SOLICITUDES!N43</f>
        <v>jlmponte@hotmail.com</v>
      </c>
      <c r="AF43" s="4" t="s">
        <v>378</v>
      </c>
      <c r="AG43" s="4" t="str">
        <f>IFERROR(VLOOKUP(C43,ARBITROS!D:U,9,FALSE),"")</f>
        <v>jlmponte@hotmail.com</v>
      </c>
      <c r="AH43" s="4"/>
      <c r="AI43" s="4" t="str">
        <f>IFERROR(VLOOKUP(C43,ARBITROS!D:U,10,FALSE),IFERROR(VLOOKUP(C43,SOLICITUDES!C:O,13,FALSE),""))</f>
        <v>+34629452405</v>
      </c>
    </row>
    <row r="44" spans="1:35" ht="14.25" customHeight="1">
      <c r="A44" s="4" t="str">
        <f>CONCATENATE(IF(COUNTIF(ARBITROS!D:D,C44)&gt;0,"[ARB] ","[CUR] "),B44," ",D44)</f>
        <v>[ARB] Maria José Rodríguez</v>
      </c>
      <c r="B44" s="4" t="str">
        <f>SOLICITUDES!J44</f>
        <v>Maria José</v>
      </c>
      <c r="C44" s="19" t="str">
        <f>SOLICITUDES!C44</f>
        <v>RODMJO</v>
      </c>
      <c r="D44" s="4" t="str">
        <f>SOLICITUDES!K44</f>
        <v>Rodríguez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26">
        <f>IFERROR(VLOOKUP(C44,ARBITROS!D:U,7,FALSE),"")</f>
        <v>24881</v>
      </c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 t="str">
        <f>CONCATENATE("* My Contacts ::: ",IFERROR(VLOOKUP(C44,SOLICITUDES!C:V,6,FALSE),"KO")," ::: TEORICO_",IFERROR(VLOOKUP(C44,SOLICITUDES!C:V,3,FALSE),"KO")," ::: PRACTICO_",IFERROR(VLOOKUP(C44,SOLICITUDES!C:V,4,FALSE),"")," ::: ",IFERROR(VLOOKUP(C44,ARBITROS!D:AU,17,FALSE),""))</f>
        <v>* My Contacts ::: NOV23 ::: TEORICO_OK ::: PRACTICO_OK ::: 1er Nivel</v>
      </c>
      <c r="AD44" s="4" t="s">
        <v>377</v>
      </c>
      <c r="AE44" s="4" t="str">
        <f>SOLICITUDES!N44</f>
        <v>mividaesdecolor@gmail.com</v>
      </c>
      <c r="AF44" s="4" t="s">
        <v>378</v>
      </c>
      <c r="AG44" s="4" t="str">
        <f>IFERROR(VLOOKUP(C44,ARBITROS!D:U,9,FALSE),"")</f>
        <v>mividaesdecolor@gmail.com</v>
      </c>
      <c r="AH44" s="4"/>
      <c r="AI44" s="4" t="str">
        <f>IFERROR(VLOOKUP(C44,ARBITROS!D:U,10,FALSE),IFERROR(VLOOKUP(C44,SOLICITUDES!C:O,13,FALSE),""))</f>
        <v>+34607465237</v>
      </c>
    </row>
    <row r="45" spans="1:35" ht="14.25" customHeight="1">
      <c r="A45" s="4" t="str">
        <f>CONCATENATE(IF(COUNTIF(ARBITROS!D:D,C45)&gt;0,"[ARB] ","[CUR] "),B45," ",D45)</f>
        <v>[ARB] Ronnie McKee</v>
      </c>
      <c r="B45" s="4" t="str">
        <f>SOLICITUDES!J45</f>
        <v>Ronnie</v>
      </c>
      <c r="C45" s="19" t="str">
        <f>SOLICITUDES!C45</f>
        <v>MCKRON</v>
      </c>
      <c r="D45" s="4" t="str">
        <f>SOLICITUDES!K45</f>
        <v>McKee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26">
        <f>IFERROR(VLOOKUP(C45,ARBITROS!D:U,7,FALSE),"")</f>
        <v>18642</v>
      </c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 t="str">
        <f>CONCATENATE("* My Contacts ::: ",IFERROR(VLOOKUP(C45,SOLICITUDES!C:V,6,FALSE),"KO")," ::: TEORICO_",IFERROR(VLOOKUP(C45,SOLICITUDES!C:V,3,FALSE),"KO")," ::: PRACTICO_",IFERROR(VLOOKUP(C45,SOLICITUDES!C:V,4,FALSE),"")," ::: ",IFERROR(VLOOKUP(C45,ARBITROS!D:AU,17,FALSE),""))</f>
        <v>* My Contacts ::: NOV23 ::: TEORICO_OK ::: PRACTICO_OK ::: 1er Nivel</v>
      </c>
      <c r="AD45" s="4" t="s">
        <v>377</v>
      </c>
      <c r="AE45" s="4" t="str">
        <f>SOLICITUDES!N45</f>
        <v>ronnieruth@gmail.com</v>
      </c>
      <c r="AF45" s="4" t="s">
        <v>378</v>
      </c>
      <c r="AG45" s="4" t="str">
        <f>IFERROR(VLOOKUP(C45,ARBITROS!D:U,9,FALSE),"")</f>
        <v>ronnieruth@gmail.com</v>
      </c>
      <c r="AH45" s="4"/>
      <c r="AI45" s="4" t="str">
        <f>IFERROR(VLOOKUP(C45,ARBITROS!D:U,10,FALSE),IFERROR(VLOOKUP(C45,SOLICITUDES!C:O,13,FALSE),""))</f>
        <v>+34669323339</v>
      </c>
    </row>
    <row r="46" spans="1:35" ht="14.25" customHeight="1">
      <c r="A46" s="4" t="str">
        <f>CONCATENATE(IF(COUNTIF(ARBITROS!D:D,C46)&gt;0,"[ARB] ","[CUR] "),B46," ",D46)</f>
        <v>[ARB] Bjorn Persson</v>
      </c>
      <c r="B46" s="4" t="str">
        <f>SOLICITUDES!J46</f>
        <v>Bjorn</v>
      </c>
      <c r="C46" s="19" t="str">
        <f>SOLICITUDES!C46</f>
        <v>PERBJO</v>
      </c>
      <c r="D46" s="4" t="str">
        <f>SOLICITUDES!K46</f>
        <v>Persson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26">
        <f>IFERROR(VLOOKUP(C46,ARBITROS!D:U,7,FALSE),"")</f>
        <v>20416</v>
      </c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 t="str">
        <f>CONCATENATE("* My Contacts ::: ",IFERROR(VLOOKUP(C46,SOLICITUDES!C:V,6,FALSE),"KO")," ::: TEORICO_",IFERROR(VLOOKUP(C46,SOLICITUDES!C:V,3,FALSE),"KO")," ::: PRACTICO_",IFERROR(VLOOKUP(C46,SOLICITUDES!C:V,4,FALSE),"")," ::: ",IFERROR(VLOOKUP(C46,ARBITROS!D:AU,17,FALSE),""))</f>
        <v>* My Contacts ::: NOV23 ::: TEORICO_OK ::: PRACTICO_OK ::: 1er Nivel</v>
      </c>
      <c r="AD46" s="4" t="s">
        <v>377</v>
      </c>
      <c r="AE46" s="4" t="str">
        <f>SOLICITUDES!N46</f>
        <v>bpersson01@gmail.com</v>
      </c>
      <c r="AF46" s="4" t="s">
        <v>378</v>
      </c>
      <c r="AG46" s="4" t="str">
        <f>IFERROR(VLOOKUP(C46,ARBITROS!D:U,9,FALSE),"")</f>
        <v>bpersson01@gmail.com</v>
      </c>
      <c r="AH46" s="4"/>
      <c r="AI46" s="4" t="str">
        <f>IFERROR(VLOOKUP(C46,ARBITROS!D:U,10,FALSE),IFERROR(VLOOKUP(C46,SOLICITUDES!C:O,13,FALSE),""))</f>
        <v>+34615197741</v>
      </c>
    </row>
    <row r="47" spans="1:35" ht="14.25" customHeight="1">
      <c r="A47" s="4" t="str">
        <f>CONCATENATE(IF(COUNTIF(ARBITROS!D:D,C47)&gt;0,"[ARB] ","[CUR] "),B47," ",D47)</f>
        <v>[ARB] Gustavo Alonso</v>
      </c>
      <c r="B47" s="4" t="str">
        <f>SOLICITUDES!J47</f>
        <v>Gustavo</v>
      </c>
      <c r="C47" s="19" t="str">
        <f>SOLICITUDES!C47</f>
        <v>ALOGUS</v>
      </c>
      <c r="D47" s="4" t="str">
        <f>SOLICITUDES!K47</f>
        <v>Alonso</v>
      </c>
      <c r="E47" s="4"/>
      <c r="F47" s="4"/>
      <c r="G47" s="4"/>
      <c r="H47" s="4"/>
      <c r="I47" s="4"/>
      <c r="J47" s="4"/>
      <c r="K47" s="4"/>
      <c r="L47" s="4"/>
      <c r="M47" s="4"/>
      <c r="N47" s="4"/>
      <c r="O47" s="26">
        <f>IFERROR(VLOOKUP(C47,ARBITROS!D:U,7,FALSE),"")</f>
        <v>22258</v>
      </c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 t="str">
        <f>CONCATENATE("* My Contacts ::: ",IFERROR(VLOOKUP(C47,SOLICITUDES!C:V,6,FALSE),"KO")," ::: TEORICO_",IFERROR(VLOOKUP(C47,SOLICITUDES!C:V,3,FALSE),"KO")," ::: PRACTICO_",IFERROR(VLOOKUP(C47,SOLICITUDES!C:V,4,FALSE),"")," ::: ",IFERROR(VLOOKUP(C47,ARBITROS!D:AU,17,FALSE),""))</f>
        <v>* My Contacts ::: NOV23 ::: TEORICO_OK ::: PRACTICO_OK ::: 1er Nivel</v>
      </c>
      <c r="AD47" s="4" t="s">
        <v>377</v>
      </c>
      <c r="AE47" s="4" t="str">
        <f>SOLICITUDES!N47</f>
        <v>gustavalonso@gmail.com</v>
      </c>
      <c r="AF47" s="4" t="s">
        <v>378</v>
      </c>
      <c r="AG47" s="4" t="str">
        <f>IFERROR(VLOOKUP(C47,ARBITROS!D:U,9,FALSE),"")</f>
        <v>gustavalonso@gmail.com</v>
      </c>
      <c r="AH47" s="4"/>
      <c r="AI47" s="4" t="str">
        <f>IFERROR(VLOOKUP(C47,ARBITROS!D:U,10,FALSE),IFERROR(VLOOKUP(C47,SOLICITUDES!C:O,13,FALSE),""))</f>
        <v>+34678762287</v>
      </c>
    </row>
    <row r="48" spans="1:35" ht="14.25" customHeight="1">
      <c r="A48" s="4" t="str">
        <f>CONCATENATE(IF(COUNTIF(ARBITROS!D:D,C48)&gt;0,"[ARB] ","[CUR] "),B48," ",D48)</f>
        <v>[CUR] Helder Veríssimo</v>
      </c>
      <c r="B48" s="4" t="str">
        <f>SOLICITUDES!J48</f>
        <v>Helder</v>
      </c>
      <c r="C48" s="19" t="str">
        <f>SOLICITUDES!C48</f>
        <v>VERHEL</v>
      </c>
      <c r="D48" s="4" t="str">
        <f>SOLICITUDES!K48</f>
        <v>Veríssimo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26" t="str">
        <f>IFERROR(VLOOKUP(C48,ARBITROS!D:U,7,FALSE),"")</f>
        <v/>
      </c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 t="str">
        <f>CONCATENATE("* My Contacts ::: ",IFERROR(VLOOKUP(C48,SOLICITUDES!C:V,6,FALSE),"KO")," ::: TEORICO_",IFERROR(VLOOKUP(C48,SOLICITUDES!C:V,3,FALSE),"KO")," ::: PRACTICO_",IFERROR(VLOOKUP(C48,SOLICITUDES!C:V,4,FALSE),"")," ::: ",IFERROR(VLOOKUP(C48,ARBITROS!D:AU,17,FALSE),""))</f>
        <v xml:space="preserve">* My Contacts ::: NOV23 ::: TEORICO_OK ::: PRACTICO_KO ::: </v>
      </c>
      <c r="AD48" s="4" t="s">
        <v>377</v>
      </c>
      <c r="AE48" s="4" t="str">
        <f>SOLICITUDES!N48</f>
        <v>helder.verissimo@isell.com.pt</v>
      </c>
      <c r="AF48" s="4" t="s">
        <v>378</v>
      </c>
      <c r="AG48" s="4" t="str">
        <f>IFERROR(VLOOKUP(C48,ARBITROS!D:U,9,FALSE),"")</f>
        <v/>
      </c>
      <c r="AH48" s="4"/>
      <c r="AI48" s="4" t="str">
        <f>IFERROR(VLOOKUP(C48,ARBITROS!D:U,10,FALSE),IFERROR(VLOOKUP(C48,SOLICITUDES!C:O,13,FALSE),""))</f>
        <v>+351917241086</v>
      </c>
    </row>
    <row r="49" spans="1:35" ht="14.25" customHeight="1">
      <c r="A49" s="4" t="str">
        <f>CONCATENATE(IF(COUNTIF(ARBITROS!D:D,C49)&gt;0,"[ARB] ","[CUR] "),B49," ",D49)</f>
        <v>[ARB] Domini Elias Pereira</v>
      </c>
      <c r="B49" s="4" t="str">
        <f>SOLICITUDES!J49</f>
        <v>Domini Elias</v>
      </c>
      <c r="C49" s="19" t="str">
        <f>SOLICITUDES!C49</f>
        <v>PERDOM</v>
      </c>
      <c r="D49" s="4" t="str">
        <f>SOLICITUDES!K49</f>
        <v>Pereira</v>
      </c>
      <c r="E49" s="4"/>
      <c r="F49" s="4"/>
      <c r="G49" s="4"/>
      <c r="H49" s="4"/>
      <c r="I49" s="4"/>
      <c r="J49" s="4"/>
      <c r="K49" s="4"/>
      <c r="L49" s="4"/>
      <c r="M49" s="4"/>
      <c r="N49" s="4"/>
      <c r="O49" s="26">
        <f>IFERROR(VLOOKUP(C49,ARBITROS!D:U,7,FALSE),"")</f>
        <v>33455</v>
      </c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 t="str">
        <f>CONCATENATE("* My Contacts ::: ",IFERROR(VLOOKUP(C49,SOLICITUDES!C:V,6,FALSE),"KO")," ::: TEORICO_",IFERROR(VLOOKUP(C49,SOLICITUDES!C:V,3,FALSE),"KO")," ::: PRACTICO_",IFERROR(VLOOKUP(C49,SOLICITUDES!C:V,4,FALSE),"")," ::: ",IFERROR(VLOOKUP(C49,ARBITROS!D:AU,17,FALSE),""))</f>
        <v>* My Contacts ::: NOV23 ::: TEORICO_OK ::: PRACTICO_OK ::: 1er Nivel</v>
      </c>
      <c r="AD49" s="4" t="s">
        <v>377</v>
      </c>
      <c r="AE49" s="4" t="str">
        <f>SOLICITUDES!N49</f>
        <v>dominielias@gmail.com</v>
      </c>
      <c r="AF49" s="4" t="s">
        <v>378</v>
      </c>
      <c r="AG49" s="4" t="str">
        <f>IFERROR(VLOOKUP(C49,ARBITROS!D:U,9,FALSE),"")</f>
        <v>dominielias@gmail.com</v>
      </c>
      <c r="AH49" s="4"/>
      <c r="AI49" s="4" t="str">
        <f>IFERROR(VLOOKUP(C49,ARBITROS!D:U,10,FALSE),IFERROR(VLOOKUP(C49,SOLICITUDES!C:O,13,FALSE),""))</f>
        <v>+34649668492</v>
      </c>
    </row>
    <row r="50" spans="1:35" ht="14.25" customHeight="1">
      <c r="A50" s="4" t="str">
        <f>CONCATENATE(IF(COUNTIF(ARBITROS!D:D,C50)&gt;0,"[ARB] ","[CUR] "),B50," ",D50)</f>
        <v>[CUR] Antonio Mosteirín</v>
      </c>
      <c r="B50" s="4" t="str">
        <f>SOLICITUDES!J50</f>
        <v>Antonio</v>
      </c>
      <c r="C50" s="19" t="str">
        <f>SOLICITUDES!C50</f>
        <v>MOSANT</v>
      </c>
      <c r="D50" s="4" t="str">
        <f>SOLICITUDES!K50</f>
        <v>Mosteirín</v>
      </c>
      <c r="E50" s="4"/>
      <c r="F50" s="4"/>
      <c r="G50" s="4"/>
      <c r="H50" s="4"/>
      <c r="I50" s="4"/>
      <c r="J50" s="4"/>
      <c r="K50" s="4"/>
      <c r="L50" s="4"/>
      <c r="M50" s="4"/>
      <c r="N50" s="4"/>
      <c r="O50" s="26" t="str">
        <f>IFERROR(VLOOKUP(C50,ARBITROS!D:U,7,FALSE),"")</f>
        <v/>
      </c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str">
        <f>CONCATENATE("* My Contacts ::: ",IFERROR(VLOOKUP(C50,SOLICITUDES!C:V,6,FALSE),"KO")," ::: TEORICO_",IFERROR(VLOOKUP(C50,SOLICITUDES!C:V,3,FALSE),"KO")," ::: PRACTICO_",IFERROR(VLOOKUP(C50,SOLICITUDES!C:V,4,FALSE),"")," ::: ",IFERROR(VLOOKUP(C50,ARBITROS!D:AU,17,FALSE),""))</f>
        <v xml:space="preserve">* My Contacts ::: NOV23 ::: TEORICO_OK ::: PRACTICO_KO ::: </v>
      </c>
      <c r="AD50" s="4" t="s">
        <v>377</v>
      </c>
      <c r="AE50" s="4" t="str">
        <f>SOLICITUDES!N50</f>
        <v>amosteirinperez@gmail.com</v>
      </c>
      <c r="AF50" s="4" t="s">
        <v>378</v>
      </c>
      <c r="AG50" s="4" t="str">
        <f>IFERROR(VLOOKUP(C50,ARBITROS!D:U,9,FALSE),"")</f>
        <v/>
      </c>
      <c r="AH50" s="4"/>
      <c r="AI50" s="4" t="str">
        <f>IFERROR(VLOOKUP(C50,ARBITROS!D:U,10,FALSE),IFERROR(VLOOKUP(C50,SOLICITUDES!C:O,13,FALSE),""))</f>
        <v>+34630407877</v>
      </c>
    </row>
    <row r="51" spans="1:35" ht="14.25" customHeight="1">
      <c r="A51" s="4" t="str">
        <f>CONCATENATE(IF(COUNTIF(ARBITROS!D:D,C51)&gt;0,"[ARB] ","[CUR] "),B51," ",D51)</f>
        <v>[CUR] Francisco Javier Valverde</v>
      </c>
      <c r="B51" s="4" t="str">
        <f>SOLICITUDES!J51</f>
        <v>Francisco Javier</v>
      </c>
      <c r="C51" s="19" t="str">
        <f>SOLICITUDES!C51</f>
        <v>VALFRA</v>
      </c>
      <c r="D51" s="4" t="str">
        <f>SOLICITUDES!K51</f>
        <v>Valverde</v>
      </c>
      <c r="E51" s="4"/>
      <c r="F51" s="4"/>
      <c r="G51" s="4"/>
      <c r="H51" s="4"/>
      <c r="I51" s="4"/>
      <c r="J51" s="4"/>
      <c r="K51" s="4"/>
      <c r="L51" s="4"/>
      <c r="M51" s="4"/>
      <c r="N51" s="4"/>
      <c r="O51" s="26" t="str">
        <f>IFERROR(VLOOKUP(C51,ARBITROS!D:U,7,FALSE),"")</f>
        <v/>
      </c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 t="str">
        <f>CONCATENATE("* My Contacts ::: ",IFERROR(VLOOKUP(C51,SOLICITUDES!C:V,6,FALSE),"KO")," ::: TEORICO_",IFERROR(VLOOKUP(C51,SOLICITUDES!C:V,3,FALSE),"KO")," ::: PRACTICO_",IFERROR(VLOOKUP(C51,SOLICITUDES!C:V,4,FALSE),"")," ::: ",IFERROR(VLOOKUP(C51,ARBITROS!D:AU,17,FALSE),""))</f>
        <v xml:space="preserve">* My Contacts ::: NOV23 ::: TEORICO_KO ::: PRACTICO_KO ::: </v>
      </c>
      <c r="AD51" s="4" t="s">
        <v>377</v>
      </c>
      <c r="AE51" s="4" t="str">
        <f>SOLICITUDES!N51</f>
        <v>franciscojvmoreno@gmail.com</v>
      </c>
      <c r="AF51" s="4" t="s">
        <v>378</v>
      </c>
      <c r="AG51" s="4" t="str">
        <f>IFERROR(VLOOKUP(C51,ARBITROS!D:U,9,FALSE),"")</f>
        <v/>
      </c>
      <c r="AH51" s="4"/>
      <c r="AI51" s="4" t="str">
        <f>IFERROR(VLOOKUP(C51,ARBITROS!D:U,10,FALSE),IFERROR(VLOOKUP(C51,SOLICITUDES!C:O,13,FALSE),""))</f>
        <v>+34634571848</v>
      </c>
    </row>
    <row r="52" spans="1:35" ht="14.25" customHeight="1">
      <c r="A52" s="4" t="str">
        <f>CONCATENATE(IF(COUNTIF(ARBITROS!D:D,C52)&gt;0,"[ARB] ","[CUR] "),B52," ",D52)</f>
        <v>[CUR] Carlos Sánchez</v>
      </c>
      <c r="B52" s="4" t="str">
        <f>SOLICITUDES!J52</f>
        <v>Carlos</v>
      </c>
      <c r="C52" s="19" t="str">
        <f>SOLICITUDES!C52</f>
        <v>SANCAR</v>
      </c>
      <c r="D52" s="4" t="str">
        <f>SOLICITUDES!K52</f>
        <v>Sánchez</v>
      </c>
      <c r="E52" s="4"/>
      <c r="F52" s="4"/>
      <c r="G52" s="4"/>
      <c r="H52" s="4"/>
      <c r="I52" s="4"/>
      <c r="J52" s="4"/>
      <c r="K52" s="4"/>
      <c r="L52" s="4"/>
      <c r="M52" s="4"/>
      <c r="N52" s="4"/>
      <c r="O52" s="26" t="str">
        <f>IFERROR(VLOOKUP(C52,ARBITROS!D:U,7,FALSE),"")</f>
        <v/>
      </c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str">
        <f>CONCATENATE("* My Contacts ::: ",IFERROR(VLOOKUP(C52,SOLICITUDES!C:V,6,FALSE),"KO")," ::: TEORICO_",IFERROR(VLOOKUP(C52,SOLICITUDES!C:V,3,FALSE),"KO")," ::: PRACTICO_",IFERROR(VLOOKUP(C52,SOLICITUDES!C:V,4,FALSE),"")," ::: ",IFERROR(VLOOKUP(C52,ARBITROS!D:AU,17,FALSE),""))</f>
        <v xml:space="preserve">* My Contacts ::: NOV23 ::: TEORICO_OK ::: PRACTICO_OK ::: </v>
      </c>
      <c r="AD52" s="4" t="s">
        <v>377</v>
      </c>
      <c r="AE52" s="4" t="str">
        <f>SOLICITUDES!N52</f>
        <v>csa2010csa@gmail.com</v>
      </c>
      <c r="AF52" s="4" t="s">
        <v>378</v>
      </c>
      <c r="AG52" s="4" t="str">
        <f>IFERROR(VLOOKUP(C52,ARBITROS!D:U,9,FALSE),"")</f>
        <v/>
      </c>
      <c r="AH52" s="4"/>
      <c r="AI52" s="4" t="str">
        <f>IFERROR(VLOOKUP(C52,ARBITROS!D:U,10,FALSE),IFERROR(VLOOKUP(C52,SOLICITUDES!C:O,13,FALSE),""))</f>
        <v>+34601398062</v>
      </c>
    </row>
    <row r="53" spans="1:35" ht="14.25" customHeight="1">
      <c r="A53" s="4" t="str">
        <f>CONCATENATE(IF(COUNTIF(ARBITROS!D:D,C53)&gt;0,"[ARB] ","[CUR] "),B53," ",D53)</f>
        <v>[ARB] 0 0</v>
      </c>
      <c r="B53" s="4">
        <f>SOLICITUDES!J53</f>
        <v>0</v>
      </c>
      <c r="C53" s="19" t="str">
        <f>SOLICITUDES!C53</f>
        <v>******</v>
      </c>
      <c r="D53" s="4">
        <f>SOLICITUDES!K53</f>
        <v>0</v>
      </c>
      <c r="E53" s="4"/>
      <c r="F53" s="4"/>
      <c r="G53" s="4"/>
      <c r="H53" s="4"/>
      <c r="I53" s="4"/>
      <c r="J53" s="4"/>
      <c r="K53" s="4"/>
      <c r="L53" s="4"/>
      <c r="M53" s="4"/>
      <c r="N53" s="4"/>
      <c r="O53" s="26" t="str">
        <f>IFERROR(VLOOKUP(C53,ARBITROS!D:U,7,FALSE),"")</f>
        <v>FECHA NACIMIENTO</v>
      </c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 t="str">
        <f>CONCATENATE("* My Contacts ::: ",IFERROR(VLOOKUP(C53,SOLICITUDES!C:V,6,FALSE),"KO")," ::: TEORICO_",IFERROR(VLOOKUP(C53,SOLICITUDES!C:V,3,FALSE),"KO")," ::: PRACTICO_",IFERROR(VLOOKUP(C53,SOLICITUDES!C:V,4,FALSE),"")," ::: ",IFERROR(VLOOKUP(C53,ARBITROS!D:AU,17,FALSE),""))</f>
        <v>* My Contacts ::: CURSO ::: TEORICO_TEÓRICO ::: PRACTICO_PRÁCTICO ::: NIVEL</v>
      </c>
      <c r="AD53" s="4" t="s">
        <v>377</v>
      </c>
      <c r="AE53" s="4">
        <f>SOLICITUDES!N53</f>
        <v>0</v>
      </c>
      <c r="AF53" s="4" t="s">
        <v>378</v>
      </c>
      <c r="AG53" s="4" t="str">
        <f>IFERROR(VLOOKUP(C53,ARBITROS!D:U,9,FALSE),"")</f>
        <v>CORREO E</v>
      </c>
      <c r="AH53" s="4"/>
      <c r="AI53" s="4" t="str">
        <f>IFERROR(VLOOKUP(C53,ARBITROS!D:U,10,FALSE),IFERROR(VLOOKUP(C53,SOLICITUDES!C:O,13,FALSE),""))</f>
        <v>MOVIL</v>
      </c>
    </row>
    <row r="54" spans="1:35" ht="14.25" customHeight="1">
      <c r="A54" s="4" t="str">
        <f>CONCATENATE(IF(COUNTIF(ARBITROS!D:D,C54)&gt;0,"[ARB] ","[CUR] "),B54," ",D54)</f>
        <v>[ARB] 0 0</v>
      </c>
      <c r="B54" s="4">
        <f>SOLICITUDES!J54</f>
        <v>0</v>
      </c>
      <c r="C54" s="19" t="str">
        <f>SOLICITUDES!C54</f>
        <v>******</v>
      </c>
      <c r="D54" s="4">
        <f>SOLICITUDES!K54</f>
        <v>0</v>
      </c>
      <c r="E54" s="4"/>
      <c r="F54" s="4"/>
      <c r="G54" s="4"/>
      <c r="H54" s="4"/>
      <c r="I54" s="4"/>
      <c r="J54" s="4"/>
      <c r="K54" s="4"/>
      <c r="L54" s="4"/>
      <c r="M54" s="4"/>
      <c r="N54" s="4"/>
      <c r="O54" s="26" t="str">
        <f>IFERROR(VLOOKUP(C54,ARBITROS!D:U,7,FALSE),"")</f>
        <v>FECHA NACIMIENTO</v>
      </c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 t="str">
        <f>CONCATENATE("* My Contacts ::: ",IFERROR(VLOOKUP(C54,SOLICITUDES!C:V,6,FALSE),"KO")," ::: TEORICO_",IFERROR(VLOOKUP(C54,SOLICITUDES!C:V,3,FALSE),"KO")," ::: PRACTICO_",IFERROR(VLOOKUP(C54,SOLICITUDES!C:V,4,FALSE),"")," ::: ",IFERROR(VLOOKUP(C54,ARBITROS!D:AU,17,FALSE),""))</f>
        <v>* My Contacts ::: CURSO ::: TEORICO_TEÓRICO ::: PRACTICO_PRÁCTICO ::: NIVEL</v>
      </c>
      <c r="AD54" s="4" t="s">
        <v>377</v>
      </c>
      <c r="AE54" s="4">
        <f>SOLICITUDES!N54</f>
        <v>0</v>
      </c>
      <c r="AF54" s="4" t="s">
        <v>378</v>
      </c>
      <c r="AG54" s="4" t="str">
        <f>IFERROR(VLOOKUP(C54,ARBITROS!D:U,9,FALSE),"")</f>
        <v>CORREO E</v>
      </c>
      <c r="AH54" s="4"/>
      <c r="AI54" s="4" t="str">
        <f>IFERROR(VLOOKUP(C54,ARBITROS!D:U,10,FALSE),IFERROR(VLOOKUP(C54,SOLICITUDES!C:O,13,FALSE),""))</f>
        <v>MOVIL</v>
      </c>
    </row>
    <row r="55" spans="1:35" ht="14.25" customHeight="1">
      <c r="A55" s="4" t="str">
        <f>CONCATENATE(IF(COUNTIF(ARBITROS!D:D,C55)&gt;0,"[ARB] ","[CUR] "),B55," ",D55)</f>
        <v>[ARB] 0 0</v>
      </c>
      <c r="B55" s="4">
        <f>SOLICITUDES!J55</f>
        <v>0</v>
      </c>
      <c r="C55" s="19" t="str">
        <f>SOLICITUDES!C55</f>
        <v>******</v>
      </c>
      <c r="D55" s="4">
        <f>SOLICITUDES!K55</f>
        <v>0</v>
      </c>
      <c r="E55" s="4"/>
      <c r="F55" s="4"/>
      <c r="G55" s="4"/>
      <c r="H55" s="4"/>
      <c r="I55" s="4"/>
      <c r="J55" s="4"/>
      <c r="K55" s="4"/>
      <c r="L55" s="4"/>
      <c r="M55" s="4"/>
      <c r="N55" s="4"/>
      <c r="O55" s="26" t="str">
        <f>IFERROR(VLOOKUP(C55,ARBITROS!D:U,7,FALSE),"")</f>
        <v>FECHA NACIMIENTO</v>
      </c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str">
        <f>CONCATENATE("* My Contacts ::: ",IFERROR(VLOOKUP(C55,SOLICITUDES!C:V,6,FALSE),"KO")," ::: TEORICO_",IFERROR(VLOOKUP(C55,SOLICITUDES!C:V,3,FALSE),"KO")," ::: PRACTICO_",IFERROR(VLOOKUP(C55,SOLICITUDES!C:V,4,FALSE),"")," ::: ",IFERROR(VLOOKUP(C55,ARBITROS!D:AU,17,FALSE),""))</f>
        <v>* My Contacts ::: CURSO ::: TEORICO_TEÓRICO ::: PRACTICO_PRÁCTICO ::: NIVEL</v>
      </c>
      <c r="AD55" s="4" t="s">
        <v>377</v>
      </c>
      <c r="AE55" s="4">
        <f>SOLICITUDES!N55</f>
        <v>0</v>
      </c>
      <c r="AF55" s="4" t="s">
        <v>378</v>
      </c>
      <c r="AG55" s="4" t="str">
        <f>IFERROR(VLOOKUP(C55,ARBITROS!D:U,9,FALSE),"")</f>
        <v>CORREO E</v>
      </c>
      <c r="AH55" s="4"/>
      <c r="AI55" s="4" t="str">
        <f>IFERROR(VLOOKUP(C55,ARBITROS!D:U,10,FALSE),IFERROR(VLOOKUP(C55,SOLICITUDES!C:O,13,FALSE),""))</f>
        <v>MOVIL</v>
      </c>
    </row>
    <row r="56" spans="1:35" ht="14.25" customHeight="1">
      <c r="A56" s="4" t="str">
        <f>CONCATENATE(IF(COUNTIF(ARBITROS!D:D,C56)&gt;0,"[ARB] ","[CUR] "),B56," ",D56)</f>
        <v>[ARB] 0 0</v>
      </c>
      <c r="B56" s="4">
        <f>SOLICITUDES!J56</f>
        <v>0</v>
      </c>
      <c r="C56" s="19" t="str">
        <f>SOLICITUDES!C56</f>
        <v>******</v>
      </c>
      <c r="D56" s="4">
        <f>SOLICITUDES!K56</f>
        <v>0</v>
      </c>
      <c r="E56" s="4"/>
      <c r="F56" s="4"/>
      <c r="G56" s="4"/>
      <c r="H56" s="4"/>
      <c r="I56" s="4"/>
      <c r="J56" s="4"/>
      <c r="K56" s="4"/>
      <c r="L56" s="4"/>
      <c r="M56" s="4"/>
      <c r="N56" s="4"/>
      <c r="O56" s="26" t="str">
        <f>IFERROR(VLOOKUP(C56,ARBITROS!D:U,7,FALSE),"")</f>
        <v>FECHA NACIMIENTO</v>
      </c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 t="str">
        <f>CONCATENATE("* My Contacts ::: ",IFERROR(VLOOKUP(C56,SOLICITUDES!C:V,6,FALSE),"KO")," ::: TEORICO_",IFERROR(VLOOKUP(C56,SOLICITUDES!C:V,3,FALSE),"KO")," ::: PRACTICO_",IFERROR(VLOOKUP(C56,SOLICITUDES!C:V,4,FALSE),"")," ::: ",IFERROR(VLOOKUP(C56,ARBITROS!D:AU,17,FALSE),""))</f>
        <v>* My Contacts ::: CURSO ::: TEORICO_TEÓRICO ::: PRACTICO_PRÁCTICO ::: NIVEL</v>
      </c>
      <c r="AD56" s="4" t="s">
        <v>377</v>
      </c>
      <c r="AE56" s="4">
        <f>SOLICITUDES!N56</f>
        <v>0</v>
      </c>
      <c r="AF56" s="4" t="s">
        <v>378</v>
      </c>
      <c r="AG56" s="4" t="str">
        <f>IFERROR(VLOOKUP(C56,ARBITROS!D:U,9,FALSE),"")</f>
        <v>CORREO E</v>
      </c>
      <c r="AH56" s="4"/>
      <c r="AI56" s="4" t="str">
        <f>IFERROR(VLOOKUP(C56,ARBITROS!D:U,10,FALSE),IFERROR(VLOOKUP(C56,SOLICITUDES!C:O,13,FALSE),""))</f>
        <v>MOVIL</v>
      </c>
    </row>
    <row r="57" spans="1:35" ht="14.25" customHeight="1">
      <c r="A57" s="4" t="str">
        <f>CONCATENATE(IF(COUNTIF(ARBITROS!D:D,C57)&gt;0,"[ARB] ","[CUR] "),B57," ",D57)</f>
        <v>[ARB] 0 0</v>
      </c>
      <c r="B57" s="4">
        <f>SOLICITUDES!J57</f>
        <v>0</v>
      </c>
      <c r="C57" s="19" t="str">
        <f>SOLICITUDES!C57</f>
        <v>******</v>
      </c>
      <c r="D57" s="4">
        <f>SOLICITUDES!K57</f>
        <v>0</v>
      </c>
      <c r="E57" s="4"/>
      <c r="F57" s="4"/>
      <c r="G57" s="4"/>
      <c r="H57" s="4"/>
      <c r="I57" s="4"/>
      <c r="J57" s="4"/>
      <c r="K57" s="4"/>
      <c r="L57" s="4"/>
      <c r="M57" s="4"/>
      <c r="N57" s="4"/>
      <c r="O57" s="26" t="str">
        <f>IFERROR(VLOOKUP(C57,ARBITROS!D:U,7,FALSE),"")</f>
        <v>FECHA NACIMIENTO</v>
      </c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 t="str">
        <f>CONCATENATE("* My Contacts ::: ",IFERROR(VLOOKUP(C57,SOLICITUDES!C:V,6,FALSE),"KO")," ::: TEORICO_",IFERROR(VLOOKUP(C57,SOLICITUDES!C:V,3,FALSE),"KO")," ::: PRACTICO_",IFERROR(VLOOKUP(C57,SOLICITUDES!C:V,4,FALSE),"")," ::: ",IFERROR(VLOOKUP(C57,ARBITROS!D:AU,17,FALSE),""))</f>
        <v>* My Contacts ::: CURSO ::: TEORICO_TEÓRICO ::: PRACTICO_PRÁCTICO ::: NIVEL</v>
      </c>
      <c r="AD57" s="4" t="s">
        <v>377</v>
      </c>
      <c r="AE57" s="4">
        <f>SOLICITUDES!N57</f>
        <v>0</v>
      </c>
      <c r="AF57" s="4" t="s">
        <v>378</v>
      </c>
      <c r="AG57" s="4" t="str">
        <f>IFERROR(VLOOKUP(C57,ARBITROS!D:U,9,FALSE),"")</f>
        <v>CORREO E</v>
      </c>
      <c r="AH57" s="4"/>
      <c r="AI57" s="4" t="str">
        <f>IFERROR(VLOOKUP(C57,ARBITROS!D:U,10,FALSE),IFERROR(VLOOKUP(C57,SOLICITUDES!C:O,13,FALSE),""))</f>
        <v>MOVIL</v>
      </c>
    </row>
    <row r="58" spans="1:35" ht="14.25" customHeight="1">
      <c r="A58" s="4" t="str">
        <f>CONCATENATE(IF(COUNTIF(ARBITROS!D:D,C58)&gt;0,"[ARB] ","[CUR] "),B58," ",D58)</f>
        <v>[ARB] 0 0</v>
      </c>
      <c r="B58" s="4">
        <f>SOLICITUDES!J58</f>
        <v>0</v>
      </c>
      <c r="C58" s="19" t="str">
        <f>SOLICITUDES!C58</f>
        <v>******</v>
      </c>
      <c r="D58" s="4">
        <f>SOLICITUDES!K58</f>
        <v>0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26" t="str">
        <f>IFERROR(VLOOKUP(C58,ARBITROS!D:U,7,FALSE),"")</f>
        <v>FECHA NACIMIENTO</v>
      </c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str">
        <f>CONCATENATE("* My Contacts ::: ",IFERROR(VLOOKUP(C58,SOLICITUDES!C:V,6,FALSE),"KO")," ::: TEORICO_",IFERROR(VLOOKUP(C58,SOLICITUDES!C:V,3,FALSE),"KO")," ::: PRACTICO_",IFERROR(VLOOKUP(C58,SOLICITUDES!C:V,4,FALSE),"")," ::: ",IFERROR(VLOOKUP(C58,ARBITROS!D:AU,17,FALSE),""))</f>
        <v>* My Contacts ::: CURSO ::: TEORICO_TEÓRICO ::: PRACTICO_PRÁCTICO ::: NIVEL</v>
      </c>
      <c r="AD58" s="4" t="s">
        <v>377</v>
      </c>
      <c r="AE58" s="4">
        <f>SOLICITUDES!N58</f>
        <v>0</v>
      </c>
      <c r="AF58" s="4" t="s">
        <v>378</v>
      </c>
      <c r="AG58" s="4" t="str">
        <f>IFERROR(VLOOKUP(C58,ARBITROS!D:U,9,FALSE),"")</f>
        <v>CORREO E</v>
      </c>
      <c r="AH58" s="4"/>
      <c r="AI58" s="4" t="str">
        <f>IFERROR(VLOOKUP(C58,ARBITROS!D:U,10,FALSE),IFERROR(VLOOKUP(C58,SOLICITUDES!C:O,13,FALSE),""))</f>
        <v>MOVIL</v>
      </c>
    </row>
    <row r="59" spans="1:35" ht="14.25" customHeight="1">
      <c r="A59" s="4" t="str">
        <f>CONCATENATE(IF(COUNTIF(ARBITROS!D:D,C59)&gt;0,"[ARB] ","[CUR] "),B59," ",D59)</f>
        <v>[ARB] 0 0</v>
      </c>
      <c r="B59" s="4">
        <f>SOLICITUDES!J59</f>
        <v>0</v>
      </c>
      <c r="C59" s="19" t="str">
        <f>SOLICITUDES!C59</f>
        <v>******</v>
      </c>
      <c r="D59" s="4">
        <f>SOLICITUDES!K59</f>
        <v>0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26" t="str">
        <f>IFERROR(VLOOKUP(C59,ARBITROS!D:U,7,FALSE),"")</f>
        <v>FECHA NACIMIENTO</v>
      </c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 t="str">
        <f>CONCATENATE("* My Contacts ::: ",IFERROR(VLOOKUP(C59,SOLICITUDES!C:V,6,FALSE),"KO")," ::: TEORICO_",IFERROR(VLOOKUP(C59,SOLICITUDES!C:V,3,FALSE),"KO")," ::: PRACTICO_",IFERROR(VLOOKUP(C59,SOLICITUDES!C:V,4,FALSE),"")," ::: ",IFERROR(VLOOKUP(C59,ARBITROS!D:AU,17,FALSE),""))</f>
        <v>* My Contacts ::: CURSO ::: TEORICO_TEÓRICO ::: PRACTICO_PRÁCTICO ::: NIVEL</v>
      </c>
      <c r="AD59" s="4" t="s">
        <v>377</v>
      </c>
      <c r="AE59" s="4">
        <f>SOLICITUDES!N59</f>
        <v>0</v>
      </c>
      <c r="AF59" s="4" t="s">
        <v>378</v>
      </c>
      <c r="AG59" s="4" t="str">
        <f>IFERROR(VLOOKUP(C59,ARBITROS!D:U,9,FALSE),"")</f>
        <v>CORREO E</v>
      </c>
      <c r="AH59" s="4"/>
      <c r="AI59" s="4" t="str">
        <f>IFERROR(VLOOKUP(C59,ARBITROS!D:U,10,FALSE),IFERROR(VLOOKUP(C59,SOLICITUDES!C:O,13,FALSE),""))</f>
        <v>MOVIL</v>
      </c>
    </row>
    <row r="60" spans="1:35" ht="14.25" customHeight="1">
      <c r="A60" s="4" t="str">
        <f>CONCATENATE(IF(COUNTIF(ARBITROS!D:D,C60)&gt;0,"[ARB] ","[CUR] "),B60," ",D60)</f>
        <v>[ARB] 0 0</v>
      </c>
      <c r="B60" s="4">
        <f>SOLICITUDES!J60</f>
        <v>0</v>
      </c>
      <c r="C60" s="19" t="str">
        <f>SOLICITUDES!C60</f>
        <v>******</v>
      </c>
      <c r="D60" s="4">
        <f>SOLICITUDES!K60</f>
        <v>0</v>
      </c>
      <c r="E60" s="4"/>
      <c r="F60" s="4"/>
      <c r="G60" s="4"/>
      <c r="H60" s="4"/>
      <c r="I60" s="4"/>
      <c r="J60" s="4"/>
      <c r="K60" s="4"/>
      <c r="L60" s="4"/>
      <c r="M60" s="4"/>
      <c r="N60" s="4"/>
      <c r="O60" s="26" t="str">
        <f>IFERROR(VLOOKUP(C60,ARBITROS!D:U,7,FALSE),"")</f>
        <v>FECHA NACIMIENTO</v>
      </c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 t="str">
        <f>CONCATENATE("* My Contacts ::: ",IFERROR(VLOOKUP(C60,SOLICITUDES!C:V,6,FALSE),"KO")," ::: TEORICO_",IFERROR(VLOOKUP(C60,SOLICITUDES!C:V,3,FALSE),"KO")," ::: PRACTICO_",IFERROR(VLOOKUP(C60,SOLICITUDES!C:V,4,FALSE),"")," ::: ",IFERROR(VLOOKUP(C60,ARBITROS!D:AU,17,FALSE),""))</f>
        <v>* My Contacts ::: CURSO ::: TEORICO_TEÓRICO ::: PRACTICO_PRÁCTICO ::: NIVEL</v>
      </c>
      <c r="AD60" s="4" t="s">
        <v>377</v>
      </c>
      <c r="AE60" s="4">
        <f>SOLICITUDES!N60</f>
        <v>0</v>
      </c>
      <c r="AF60" s="4" t="s">
        <v>378</v>
      </c>
      <c r="AG60" s="4" t="str">
        <f>IFERROR(VLOOKUP(C60,ARBITROS!D:U,9,FALSE),"")</f>
        <v>CORREO E</v>
      </c>
      <c r="AH60" s="4"/>
      <c r="AI60" s="4" t="str">
        <f>IFERROR(VLOOKUP(C60,ARBITROS!D:U,10,FALSE),IFERROR(VLOOKUP(C60,SOLICITUDES!C:O,13,FALSE),""))</f>
        <v>MOVIL</v>
      </c>
    </row>
    <row r="61" spans="1:35" ht="14.25" customHeight="1">
      <c r="A61" s="4" t="str">
        <f>CONCATENATE(IF(COUNTIF(ARBITROS!D:D,C61)&gt;0,"[ARB] ","[CUR] "),B61," ",D61)</f>
        <v>[ARB] 0 0</v>
      </c>
      <c r="B61" s="4">
        <f>SOLICITUDES!J61</f>
        <v>0</v>
      </c>
      <c r="C61" s="19" t="str">
        <f>SOLICITUDES!C61</f>
        <v>******</v>
      </c>
      <c r="D61" s="4">
        <f>SOLICITUDES!K61</f>
        <v>0</v>
      </c>
      <c r="E61" s="4"/>
      <c r="F61" s="4"/>
      <c r="G61" s="4"/>
      <c r="H61" s="4"/>
      <c r="I61" s="4"/>
      <c r="J61" s="4"/>
      <c r="K61" s="4"/>
      <c r="L61" s="4"/>
      <c r="M61" s="4"/>
      <c r="N61" s="4"/>
      <c r="O61" s="26" t="str">
        <f>IFERROR(VLOOKUP(C61,ARBITROS!D:U,7,FALSE),"")</f>
        <v>FECHA NACIMIENTO</v>
      </c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str">
        <f>CONCATENATE("* My Contacts ::: ",IFERROR(VLOOKUP(C61,SOLICITUDES!C:V,6,FALSE),"KO")," ::: TEORICO_",IFERROR(VLOOKUP(C61,SOLICITUDES!C:V,3,FALSE),"KO")," ::: PRACTICO_",IFERROR(VLOOKUP(C61,SOLICITUDES!C:V,4,FALSE),"")," ::: ",IFERROR(VLOOKUP(C61,ARBITROS!D:AU,17,FALSE),""))</f>
        <v>* My Contacts ::: CURSO ::: TEORICO_TEÓRICO ::: PRACTICO_PRÁCTICO ::: NIVEL</v>
      </c>
      <c r="AD61" s="4" t="s">
        <v>377</v>
      </c>
      <c r="AE61" s="4">
        <f>SOLICITUDES!N61</f>
        <v>0</v>
      </c>
      <c r="AF61" s="4" t="s">
        <v>378</v>
      </c>
      <c r="AG61" s="4" t="str">
        <f>IFERROR(VLOOKUP(C61,ARBITROS!D:U,9,FALSE),"")</f>
        <v>CORREO E</v>
      </c>
      <c r="AH61" s="4"/>
      <c r="AI61" s="4" t="str">
        <f>IFERROR(VLOOKUP(C61,ARBITROS!D:U,10,FALSE),IFERROR(VLOOKUP(C61,SOLICITUDES!C:O,13,FALSE),""))</f>
        <v>MOVIL</v>
      </c>
    </row>
    <row r="62" spans="1:35" ht="14.25" customHeight="1">
      <c r="O62" s="19"/>
    </row>
    <row r="63" spans="1:35" ht="14.25" customHeight="1">
      <c r="O63" s="19"/>
    </row>
    <row r="64" spans="1:35" ht="14.25" customHeight="1">
      <c r="O64" s="19"/>
    </row>
    <row r="65" spans="15:15" ht="14.25" customHeight="1">
      <c r="O65" s="19"/>
    </row>
    <row r="66" spans="15:15" ht="14.25" customHeight="1">
      <c r="O66" s="19"/>
    </row>
    <row r="67" spans="15:15" ht="14.25" customHeight="1">
      <c r="O67" s="19"/>
    </row>
    <row r="68" spans="15:15" ht="14.25" customHeight="1">
      <c r="O68" s="19"/>
    </row>
    <row r="69" spans="15:15" ht="14.25" customHeight="1">
      <c r="O69" s="19"/>
    </row>
    <row r="70" spans="15:15" ht="14.25" customHeight="1">
      <c r="O70" s="19"/>
    </row>
    <row r="71" spans="15:15" ht="14.25" customHeight="1">
      <c r="O71" s="19"/>
    </row>
    <row r="72" spans="15:15" ht="14.25" customHeight="1">
      <c r="O72" s="19"/>
    </row>
    <row r="73" spans="15:15" ht="14.25" customHeight="1">
      <c r="O73" s="19"/>
    </row>
    <row r="74" spans="15:15" ht="14.25" customHeight="1">
      <c r="O74" s="19"/>
    </row>
    <row r="75" spans="15:15" ht="14.25" customHeight="1">
      <c r="O75" s="19"/>
    </row>
    <row r="76" spans="15:15" ht="14.25" customHeight="1">
      <c r="O76" s="19"/>
    </row>
    <row r="77" spans="15:15" ht="14.25" customHeight="1">
      <c r="O77" s="19"/>
    </row>
    <row r="78" spans="15:15" ht="14.25" customHeight="1">
      <c r="O78" s="19"/>
    </row>
    <row r="79" spans="15:15" ht="14.25" customHeight="1">
      <c r="O79" s="19"/>
    </row>
    <row r="80" spans="15:15" ht="14.25" customHeight="1">
      <c r="O80" s="19"/>
    </row>
    <row r="81" spans="15:15" ht="14.25" customHeight="1">
      <c r="O81" s="19"/>
    </row>
    <row r="82" spans="15:15" ht="14.25" customHeight="1">
      <c r="O82" s="19"/>
    </row>
    <row r="83" spans="15:15" ht="14.25" customHeight="1">
      <c r="O83" s="19"/>
    </row>
    <row r="84" spans="15:15" ht="14.25" customHeight="1">
      <c r="O84" s="19"/>
    </row>
    <row r="85" spans="15:15" ht="14.25" customHeight="1">
      <c r="O85" s="19"/>
    </row>
    <row r="86" spans="15:15" ht="14.25" customHeight="1">
      <c r="O86" s="19"/>
    </row>
    <row r="87" spans="15:15" ht="14.25" customHeight="1">
      <c r="O87" s="19"/>
    </row>
    <row r="88" spans="15:15" ht="14.25" customHeight="1">
      <c r="O88" s="19"/>
    </row>
    <row r="89" spans="15:15" ht="14.25" customHeight="1">
      <c r="O89" s="19"/>
    </row>
    <row r="90" spans="15:15" ht="14.25" customHeight="1">
      <c r="O90" s="19"/>
    </row>
    <row r="91" spans="15:15" ht="14.25" customHeight="1">
      <c r="O91" s="19"/>
    </row>
    <row r="92" spans="15:15" ht="14.25" customHeight="1">
      <c r="O92" s="19"/>
    </row>
    <row r="93" spans="15:15" ht="14.25" customHeight="1">
      <c r="O93" s="19"/>
    </row>
    <row r="94" spans="15:15" ht="14.25" customHeight="1">
      <c r="O94" s="19"/>
    </row>
    <row r="95" spans="15:15" ht="14.25" customHeight="1">
      <c r="O95" s="19"/>
    </row>
    <row r="96" spans="15:15" ht="14.25" customHeight="1">
      <c r="O96" s="19"/>
    </row>
    <row r="97" spans="15:15" ht="14.25" customHeight="1">
      <c r="O97" s="19"/>
    </row>
    <row r="98" spans="15:15" ht="14.25" customHeight="1">
      <c r="O98" s="19"/>
    </row>
    <row r="99" spans="15:15" ht="14.25" customHeight="1">
      <c r="O99" s="19"/>
    </row>
    <row r="100" spans="15:15" ht="14.25" customHeight="1">
      <c r="O100" s="19"/>
    </row>
    <row r="101" spans="15:15" ht="14.25" customHeight="1">
      <c r="O101" s="19"/>
    </row>
    <row r="102" spans="15:15" ht="14.25" customHeight="1">
      <c r="O102" s="19"/>
    </row>
    <row r="103" spans="15:15" ht="14.25" customHeight="1">
      <c r="O103" s="19"/>
    </row>
    <row r="104" spans="15:15" ht="14.25" customHeight="1">
      <c r="O104" s="19"/>
    </row>
    <row r="105" spans="15:15" ht="14.25" customHeight="1">
      <c r="O105" s="19"/>
    </row>
    <row r="106" spans="15:15" ht="14.25" customHeight="1">
      <c r="O106" s="19"/>
    </row>
    <row r="107" spans="15:15" ht="14.25" customHeight="1">
      <c r="O107" s="19"/>
    </row>
    <row r="108" spans="15:15" ht="14.25" customHeight="1">
      <c r="O108" s="19"/>
    </row>
    <row r="109" spans="15:15" ht="14.25" customHeight="1">
      <c r="O109" s="19"/>
    </row>
    <row r="110" spans="15:15" ht="14.25" customHeight="1">
      <c r="O110" s="19"/>
    </row>
    <row r="111" spans="15:15" ht="14.25" customHeight="1">
      <c r="O111" s="19"/>
    </row>
    <row r="112" spans="15:15" ht="14.25" customHeight="1">
      <c r="O112" s="19"/>
    </row>
    <row r="113" spans="15:15" ht="14.25" customHeight="1">
      <c r="O113" s="19"/>
    </row>
    <row r="114" spans="15:15" ht="14.25" customHeight="1">
      <c r="O114" s="19"/>
    </row>
    <row r="115" spans="15:15" ht="14.25" customHeight="1">
      <c r="O115" s="19"/>
    </row>
    <row r="116" spans="15:15" ht="14.25" customHeight="1">
      <c r="O116" s="19"/>
    </row>
    <row r="117" spans="15:15" ht="14.25" customHeight="1">
      <c r="O117" s="19"/>
    </row>
    <row r="118" spans="15:15" ht="14.25" customHeight="1">
      <c r="O118" s="19"/>
    </row>
    <row r="119" spans="15:15" ht="14.25" customHeight="1">
      <c r="O119" s="19"/>
    </row>
    <row r="120" spans="15:15" ht="14.25" customHeight="1">
      <c r="O120" s="19"/>
    </row>
    <row r="121" spans="15:15" ht="14.25" customHeight="1">
      <c r="O121" s="19"/>
    </row>
    <row r="122" spans="15:15" ht="14.25" customHeight="1">
      <c r="O122" s="19"/>
    </row>
    <row r="123" spans="15:15" ht="14.25" customHeight="1">
      <c r="O123" s="19"/>
    </row>
    <row r="124" spans="15:15" ht="14.25" customHeight="1">
      <c r="O124" s="19"/>
    </row>
    <row r="125" spans="15:15" ht="14.25" customHeight="1">
      <c r="O125" s="19"/>
    </row>
    <row r="126" spans="15:15" ht="14.25" customHeight="1">
      <c r="O126" s="19"/>
    </row>
    <row r="127" spans="15:15" ht="14.25" customHeight="1">
      <c r="O127" s="19"/>
    </row>
    <row r="128" spans="15:15" ht="14.25" customHeight="1">
      <c r="O128" s="19"/>
    </row>
    <row r="129" spans="15:15" ht="14.25" customHeight="1">
      <c r="O129" s="19"/>
    </row>
    <row r="130" spans="15:15" ht="14.25" customHeight="1">
      <c r="O130" s="19"/>
    </row>
    <row r="131" spans="15:15" ht="14.25" customHeight="1">
      <c r="O131" s="19"/>
    </row>
    <row r="132" spans="15:15" ht="14.25" customHeight="1">
      <c r="O132" s="19"/>
    </row>
    <row r="133" spans="15:15" ht="14.25" customHeight="1">
      <c r="O133" s="19"/>
    </row>
    <row r="134" spans="15:15" ht="14.25" customHeight="1">
      <c r="O134" s="19"/>
    </row>
    <row r="135" spans="15:15" ht="14.25" customHeight="1">
      <c r="O135" s="19"/>
    </row>
    <row r="136" spans="15:15" ht="14.25" customHeight="1">
      <c r="O136" s="19"/>
    </row>
    <row r="137" spans="15:15" ht="14.25" customHeight="1">
      <c r="O137" s="19"/>
    </row>
    <row r="138" spans="15:15" ht="14.25" customHeight="1">
      <c r="O138" s="19"/>
    </row>
    <row r="139" spans="15:15" ht="14.25" customHeight="1">
      <c r="O139" s="19"/>
    </row>
    <row r="140" spans="15:15" ht="14.25" customHeight="1">
      <c r="O140" s="19"/>
    </row>
    <row r="141" spans="15:15" ht="14.25" customHeight="1">
      <c r="O141" s="19"/>
    </row>
    <row r="142" spans="15:15" ht="14.25" customHeight="1">
      <c r="O142" s="19"/>
    </row>
    <row r="143" spans="15:15" ht="14.25" customHeight="1">
      <c r="O143" s="19"/>
    </row>
    <row r="144" spans="15:15" ht="14.25" customHeight="1">
      <c r="O144" s="19"/>
    </row>
    <row r="145" spans="15:15" ht="14.25" customHeight="1">
      <c r="O145" s="19"/>
    </row>
    <row r="146" spans="15:15" ht="14.25" customHeight="1">
      <c r="O146" s="19"/>
    </row>
    <row r="147" spans="15:15" ht="14.25" customHeight="1">
      <c r="O147" s="19"/>
    </row>
    <row r="148" spans="15:15" ht="14.25" customHeight="1">
      <c r="O148" s="19"/>
    </row>
    <row r="149" spans="15:15" ht="14.25" customHeight="1">
      <c r="O149" s="19"/>
    </row>
    <row r="150" spans="15:15" ht="14.25" customHeight="1">
      <c r="O150" s="19"/>
    </row>
    <row r="151" spans="15:15" ht="14.25" customHeight="1">
      <c r="O151" s="19"/>
    </row>
    <row r="152" spans="15:15" ht="14.25" customHeight="1">
      <c r="O152" s="19"/>
    </row>
    <row r="153" spans="15:15" ht="14.25" customHeight="1">
      <c r="O153" s="19"/>
    </row>
    <row r="154" spans="15:15" ht="14.25" customHeight="1">
      <c r="O154" s="19"/>
    </row>
    <row r="155" spans="15:15" ht="14.25" customHeight="1">
      <c r="O155" s="19"/>
    </row>
    <row r="156" spans="15:15" ht="14.25" customHeight="1">
      <c r="O156" s="19"/>
    </row>
    <row r="157" spans="15:15" ht="14.25" customHeight="1">
      <c r="O157" s="19"/>
    </row>
    <row r="158" spans="15:15" ht="14.25" customHeight="1">
      <c r="O158" s="19"/>
    </row>
    <row r="159" spans="15:15" ht="14.25" customHeight="1">
      <c r="O159" s="19"/>
    </row>
    <row r="160" spans="15:15" ht="14.25" customHeight="1">
      <c r="O160" s="19"/>
    </row>
    <row r="161" spans="15:15" ht="14.25" customHeight="1">
      <c r="O161" s="19"/>
    </row>
    <row r="162" spans="15:15" ht="14.25" customHeight="1">
      <c r="O162" s="19"/>
    </row>
    <row r="163" spans="15:15" ht="14.25" customHeight="1">
      <c r="O163" s="19"/>
    </row>
    <row r="164" spans="15:15" ht="14.25" customHeight="1">
      <c r="O164" s="19"/>
    </row>
    <row r="165" spans="15:15" ht="14.25" customHeight="1">
      <c r="O165" s="19"/>
    </row>
    <row r="166" spans="15:15" ht="14.25" customHeight="1">
      <c r="O166" s="19"/>
    </row>
    <row r="167" spans="15:15" ht="14.25" customHeight="1">
      <c r="O167" s="19"/>
    </row>
    <row r="168" spans="15:15" ht="14.25" customHeight="1">
      <c r="O168" s="19"/>
    </row>
    <row r="169" spans="15:15" ht="14.25" customHeight="1">
      <c r="O169" s="19"/>
    </row>
    <row r="170" spans="15:15" ht="14.25" customHeight="1">
      <c r="O170" s="19"/>
    </row>
    <row r="171" spans="15:15" ht="14.25" customHeight="1">
      <c r="O171" s="19"/>
    </row>
    <row r="172" spans="15:15" ht="14.25" customHeight="1">
      <c r="O172" s="19"/>
    </row>
    <row r="173" spans="15:15" ht="14.25" customHeight="1">
      <c r="O173" s="19"/>
    </row>
    <row r="174" spans="15:15" ht="14.25" customHeight="1">
      <c r="O174" s="19"/>
    </row>
    <row r="175" spans="15:15" ht="14.25" customHeight="1">
      <c r="O175" s="19"/>
    </row>
    <row r="176" spans="15:15" ht="14.25" customHeight="1">
      <c r="O176" s="19"/>
    </row>
    <row r="177" spans="15:15" ht="14.25" customHeight="1">
      <c r="O177" s="19"/>
    </row>
    <row r="178" spans="15:15" ht="14.25" customHeight="1">
      <c r="O178" s="19"/>
    </row>
    <row r="179" spans="15:15" ht="14.25" customHeight="1">
      <c r="O179" s="19"/>
    </row>
    <row r="180" spans="15:15" ht="14.25" customHeight="1">
      <c r="O180" s="19"/>
    </row>
    <row r="181" spans="15:15" ht="14.25" customHeight="1">
      <c r="O181" s="19"/>
    </row>
    <row r="182" spans="15:15" ht="14.25" customHeight="1">
      <c r="O182" s="19"/>
    </row>
    <row r="183" spans="15:15" ht="14.25" customHeight="1">
      <c r="O183" s="19"/>
    </row>
    <row r="184" spans="15:15" ht="14.25" customHeight="1">
      <c r="O184" s="19"/>
    </row>
    <row r="185" spans="15:15" ht="14.25" customHeight="1">
      <c r="O185" s="19"/>
    </row>
    <row r="186" spans="15:15" ht="14.25" customHeight="1">
      <c r="O186" s="19"/>
    </row>
    <row r="187" spans="15:15" ht="14.25" customHeight="1">
      <c r="O187" s="19"/>
    </row>
    <row r="188" spans="15:15" ht="14.25" customHeight="1">
      <c r="O188" s="19"/>
    </row>
    <row r="189" spans="15:15" ht="14.25" customHeight="1">
      <c r="O189" s="19"/>
    </row>
    <row r="190" spans="15:15" ht="14.25" customHeight="1">
      <c r="O190" s="19"/>
    </row>
    <row r="191" spans="15:15" ht="14.25" customHeight="1">
      <c r="O191" s="19"/>
    </row>
    <row r="192" spans="15:15" ht="14.25" customHeight="1">
      <c r="O192" s="19"/>
    </row>
    <row r="193" spans="15:15" ht="14.25" customHeight="1">
      <c r="O193" s="19"/>
    </row>
    <row r="194" spans="15:15" ht="14.25" customHeight="1">
      <c r="O194" s="19"/>
    </row>
    <row r="195" spans="15:15" ht="14.25" customHeight="1">
      <c r="O195" s="19"/>
    </row>
    <row r="196" spans="15:15" ht="14.25" customHeight="1">
      <c r="O196" s="19"/>
    </row>
    <row r="197" spans="15:15" ht="14.25" customHeight="1">
      <c r="O197" s="19"/>
    </row>
    <row r="198" spans="15:15" ht="14.25" customHeight="1">
      <c r="O198" s="19"/>
    </row>
    <row r="199" spans="15:15" ht="14.25" customHeight="1">
      <c r="O199" s="19"/>
    </row>
    <row r="200" spans="15:15" ht="14.25" customHeight="1">
      <c r="O200" s="19"/>
    </row>
    <row r="201" spans="15:15" ht="14.25" customHeight="1">
      <c r="O201" s="19"/>
    </row>
    <row r="202" spans="15:15" ht="14.25" customHeight="1">
      <c r="O202" s="19"/>
    </row>
    <row r="203" spans="15:15" ht="14.25" customHeight="1">
      <c r="O203" s="19"/>
    </row>
    <row r="204" spans="15:15" ht="14.25" customHeight="1">
      <c r="O204" s="19"/>
    </row>
    <row r="205" spans="15:15" ht="14.25" customHeight="1">
      <c r="O205" s="19"/>
    </row>
    <row r="206" spans="15:15" ht="14.25" customHeight="1">
      <c r="O206" s="19"/>
    </row>
    <row r="207" spans="15:15" ht="14.25" customHeight="1">
      <c r="O207" s="19"/>
    </row>
    <row r="208" spans="15:15" ht="14.25" customHeight="1">
      <c r="O208" s="19"/>
    </row>
    <row r="209" spans="15:15" ht="14.25" customHeight="1">
      <c r="O209" s="19"/>
    </row>
    <row r="210" spans="15:15" ht="14.25" customHeight="1">
      <c r="O210" s="19"/>
    </row>
    <row r="211" spans="15:15" ht="14.25" customHeight="1">
      <c r="O211" s="19"/>
    </row>
    <row r="212" spans="15:15" ht="14.25" customHeight="1">
      <c r="O212" s="19"/>
    </row>
    <row r="213" spans="15:15" ht="14.25" customHeight="1">
      <c r="O213" s="19"/>
    </row>
    <row r="214" spans="15:15" ht="14.25" customHeight="1">
      <c r="O214" s="19"/>
    </row>
    <row r="215" spans="15:15" ht="14.25" customHeight="1">
      <c r="O215" s="19"/>
    </row>
    <row r="216" spans="15:15" ht="14.25" customHeight="1">
      <c r="O216" s="19"/>
    </row>
    <row r="217" spans="15:15" ht="14.25" customHeight="1">
      <c r="O217" s="19"/>
    </row>
    <row r="218" spans="15:15" ht="14.25" customHeight="1">
      <c r="O218" s="19"/>
    </row>
    <row r="219" spans="15:15" ht="14.25" customHeight="1">
      <c r="O219" s="19"/>
    </row>
    <row r="220" spans="15:15" ht="14.25" customHeight="1">
      <c r="O220" s="19"/>
    </row>
    <row r="221" spans="15:15" ht="14.25" customHeight="1">
      <c r="O221" s="19"/>
    </row>
    <row r="222" spans="15:15" ht="14.25" customHeight="1">
      <c r="O222" s="19"/>
    </row>
    <row r="223" spans="15:15" ht="14.25" customHeight="1">
      <c r="O223" s="19"/>
    </row>
    <row r="224" spans="15:15" ht="14.25" customHeight="1">
      <c r="O224" s="19"/>
    </row>
    <row r="225" spans="15:15" ht="14.25" customHeight="1">
      <c r="O225" s="19"/>
    </row>
    <row r="226" spans="15:15" ht="14.25" customHeight="1">
      <c r="O226" s="19"/>
    </row>
    <row r="227" spans="15:15" ht="14.25" customHeight="1">
      <c r="O227" s="19"/>
    </row>
    <row r="228" spans="15:15" ht="14.25" customHeight="1">
      <c r="O228" s="19"/>
    </row>
    <row r="229" spans="15:15" ht="14.25" customHeight="1">
      <c r="O229" s="19"/>
    </row>
    <row r="230" spans="15:15" ht="14.25" customHeight="1">
      <c r="O230" s="19"/>
    </row>
    <row r="231" spans="15:15" ht="14.25" customHeight="1">
      <c r="O231" s="19"/>
    </row>
    <row r="232" spans="15:15" ht="14.25" customHeight="1">
      <c r="O232" s="19"/>
    </row>
    <row r="233" spans="15:15" ht="14.25" customHeight="1">
      <c r="O233" s="19"/>
    </row>
    <row r="234" spans="15:15" ht="14.25" customHeight="1">
      <c r="O234" s="19"/>
    </row>
    <row r="235" spans="15:15" ht="14.25" customHeight="1">
      <c r="O235" s="19"/>
    </row>
    <row r="236" spans="15:15" ht="14.25" customHeight="1">
      <c r="O236" s="19"/>
    </row>
    <row r="237" spans="15:15" ht="14.25" customHeight="1">
      <c r="O237" s="19"/>
    </row>
    <row r="238" spans="15:15" ht="14.25" customHeight="1">
      <c r="O238" s="19"/>
    </row>
    <row r="239" spans="15:15" ht="14.25" customHeight="1">
      <c r="O239" s="19"/>
    </row>
    <row r="240" spans="15:15" ht="14.25" customHeight="1">
      <c r="O240" s="19"/>
    </row>
    <row r="241" spans="15:15" ht="14.25" customHeight="1">
      <c r="O241" s="19"/>
    </row>
    <row r="242" spans="15:15" ht="14.25" customHeight="1">
      <c r="O242" s="19"/>
    </row>
    <row r="243" spans="15:15" ht="14.25" customHeight="1">
      <c r="O243" s="19"/>
    </row>
    <row r="244" spans="15:15" ht="14.25" customHeight="1">
      <c r="O244" s="19"/>
    </row>
    <row r="245" spans="15:15" ht="14.25" customHeight="1">
      <c r="O245" s="19"/>
    </row>
    <row r="246" spans="15:15" ht="14.25" customHeight="1">
      <c r="O246" s="19"/>
    </row>
    <row r="247" spans="15:15" ht="14.25" customHeight="1">
      <c r="O247" s="19"/>
    </row>
    <row r="248" spans="15:15" ht="14.25" customHeight="1">
      <c r="O248" s="19"/>
    </row>
    <row r="249" spans="15:15" ht="14.25" customHeight="1">
      <c r="O249" s="19"/>
    </row>
    <row r="250" spans="15:15" ht="14.25" customHeight="1">
      <c r="O250" s="19"/>
    </row>
    <row r="251" spans="15:15" ht="14.25" customHeight="1">
      <c r="O251" s="19"/>
    </row>
    <row r="252" spans="15:15" ht="14.25" customHeight="1">
      <c r="O252" s="19"/>
    </row>
    <row r="253" spans="15:15" ht="14.25" customHeight="1">
      <c r="O253" s="19"/>
    </row>
    <row r="254" spans="15:15" ht="14.25" customHeight="1">
      <c r="O254" s="19"/>
    </row>
    <row r="255" spans="15:15" ht="14.25" customHeight="1">
      <c r="O255" s="19"/>
    </row>
    <row r="256" spans="15:15" ht="14.25" customHeight="1">
      <c r="O256" s="19"/>
    </row>
    <row r="257" spans="15:15" ht="14.25" customHeight="1">
      <c r="O257" s="19"/>
    </row>
    <row r="258" spans="15:15" ht="14.25" customHeight="1">
      <c r="O258" s="19"/>
    </row>
    <row r="259" spans="15:15" ht="14.25" customHeight="1">
      <c r="O259" s="19"/>
    </row>
    <row r="260" spans="15:15" ht="14.25" customHeight="1">
      <c r="O260" s="19"/>
    </row>
    <row r="261" spans="15:15" ht="14.25" customHeight="1">
      <c r="O261" s="19"/>
    </row>
    <row r="262" spans="15:15" ht="14.25" customHeight="1">
      <c r="O262" s="19"/>
    </row>
    <row r="263" spans="15:15" ht="14.25" customHeight="1">
      <c r="O263" s="19"/>
    </row>
    <row r="264" spans="15:15" ht="14.25" customHeight="1">
      <c r="O264" s="19"/>
    </row>
    <row r="265" spans="15:15" ht="14.25" customHeight="1">
      <c r="O265" s="19"/>
    </row>
    <row r="266" spans="15:15" ht="14.25" customHeight="1">
      <c r="O266" s="19"/>
    </row>
    <row r="267" spans="15:15" ht="14.25" customHeight="1">
      <c r="O267" s="19"/>
    </row>
    <row r="268" spans="15:15" ht="14.25" customHeight="1">
      <c r="O268" s="19"/>
    </row>
    <row r="269" spans="15:15" ht="14.25" customHeight="1">
      <c r="O269" s="19"/>
    </row>
    <row r="270" spans="15:15" ht="14.25" customHeight="1">
      <c r="O270" s="19"/>
    </row>
    <row r="271" spans="15:15" ht="14.25" customHeight="1">
      <c r="O271" s="19"/>
    </row>
    <row r="272" spans="15:15" ht="14.25" customHeight="1">
      <c r="O272" s="19"/>
    </row>
    <row r="273" spans="15:15" ht="14.25" customHeight="1">
      <c r="O273" s="19"/>
    </row>
    <row r="274" spans="15:15" ht="14.25" customHeight="1">
      <c r="O274" s="19"/>
    </row>
    <row r="275" spans="15:15" ht="14.25" customHeight="1">
      <c r="O275" s="19"/>
    </row>
    <row r="276" spans="15:15" ht="14.25" customHeight="1">
      <c r="O276" s="19"/>
    </row>
    <row r="277" spans="15:15" ht="14.25" customHeight="1">
      <c r="O277" s="19"/>
    </row>
    <row r="278" spans="15:15" ht="14.25" customHeight="1">
      <c r="O278" s="19"/>
    </row>
    <row r="279" spans="15:15" ht="14.25" customHeight="1">
      <c r="O279" s="19"/>
    </row>
    <row r="280" spans="15:15" ht="14.25" customHeight="1">
      <c r="O280" s="19"/>
    </row>
    <row r="281" spans="15:15" ht="14.25" customHeight="1">
      <c r="O281" s="19"/>
    </row>
    <row r="282" spans="15:15" ht="14.25" customHeight="1">
      <c r="O282" s="19"/>
    </row>
    <row r="283" spans="15:15" ht="14.25" customHeight="1">
      <c r="O283" s="19"/>
    </row>
    <row r="284" spans="15:15" ht="14.25" customHeight="1">
      <c r="O284" s="19"/>
    </row>
    <row r="285" spans="15:15" ht="14.25" customHeight="1">
      <c r="O285" s="19"/>
    </row>
    <row r="286" spans="15:15" ht="14.25" customHeight="1">
      <c r="O286" s="19"/>
    </row>
    <row r="287" spans="15:15" ht="14.25" customHeight="1">
      <c r="O287" s="19"/>
    </row>
    <row r="288" spans="15:15" ht="14.25" customHeight="1">
      <c r="O288" s="19"/>
    </row>
    <row r="289" spans="15:15" ht="14.25" customHeight="1">
      <c r="O289" s="19"/>
    </row>
    <row r="290" spans="15:15" ht="14.25" customHeight="1">
      <c r="O290" s="19"/>
    </row>
    <row r="291" spans="15:15" ht="14.25" customHeight="1">
      <c r="O291" s="19"/>
    </row>
    <row r="292" spans="15:15" ht="14.25" customHeight="1">
      <c r="O292" s="19"/>
    </row>
    <row r="293" spans="15:15" ht="14.25" customHeight="1">
      <c r="O293" s="19"/>
    </row>
    <row r="294" spans="15:15" ht="14.25" customHeight="1">
      <c r="O294" s="19"/>
    </row>
    <row r="295" spans="15:15" ht="14.25" customHeight="1">
      <c r="O295" s="19"/>
    </row>
    <row r="296" spans="15:15" ht="14.25" customHeight="1">
      <c r="O296" s="19"/>
    </row>
    <row r="297" spans="15:15" ht="14.25" customHeight="1">
      <c r="O297" s="19"/>
    </row>
    <row r="298" spans="15:15" ht="14.25" customHeight="1">
      <c r="O298" s="19"/>
    </row>
    <row r="299" spans="15:15" ht="14.25" customHeight="1">
      <c r="O299" s="19"/>
    </row>
    <row r="300" spans="15:15" ht="14.25" customHeight="1">
      <c r="O300" s="19"/>
    </row>
    <row r="301" spans="15:15" ht="14.25" customHeight="1">
      <c r="O301" s="19"/>
    </row>
    <row r="302" spans="15:15" ht="14.25" customHeight="1">
      <c r="O302" s="19"/>
    </row>
    <row r="303" spans="15:15" ht="14.25" customHeight="1">
      <c r="O303" s="19"/>
    </row>
    <row r="304" spans="15:15" ht="14.25" customHeight="1">
      <c r="O304" s="19"/>
    </row>
    <row r="305" spans="15:15" ht="14.25" customHeight="1">
      <c r="O305" s="19"/>
    </row>
    <row r="306" spans="15:15" ht="14.25" customHeight="1">
      <c r="O306" s="19"/>
    </row>
    <row r="307" spans="15:15" ht="14.25" customHeight="1">
      <c r="O307" s="19"/>
    </row>
    <row r="308" spans="15:15" ht="14.25" customHeight="1">
      <c r="O308" s="19"/>
    </row>
    <row r="309" spans="15:15" ht="14.25" customHeight="1">
      <c r="O309" s="19"/>
    </row>
    <row r="310" spans="15:15" ht="14.25" customHeight="1">
      <c r="O310" s="19"/>
    </row>
    <row r="311" spans="15:15" ht="14.25" customHeight="1">
      <c r="O311" s="19"/>
    </row>
    <row r="312" spans="15:15" ht="14.25" customHeight="1">
      <c r="O312" s="19"/>
    </row>
    <row r="313" spans="15:15" ht="14.25" customHeight="1">
      <c r="O313" s="19"/>
    </row>
    <row r="314" spans="15:15" ht="14.25" customHeight="1">
      <c r="O314" s="19"/>
    </row>
    <row r="315" spans="15:15" ht="14.25" customHeight="1">
      <c r="O315" s="19"/>
    </row>
    <row r="316" spans="15:15" ht="14.25" customHeight="1">
      <c r="O316" s="19"/>
    </row>
    <row r="317" spans="15:15" ht="14.25" customHeight="1">
      <c r="O317" s="19"/>
    </row>
    <row r="318" spans="15:15" ht="14.25" customHeight="1">
      <c r="O318" s="19"/>
    </row>
    <row r="319" spans="15:15" ht="14.25" customHeight="1">
      <c r="O319" s="19"/>
    </row>
    <row r="320" spans="15:15" ht="14.25" customHeight="1">
      <c r="O320" s="19"/>
    </row>
    <row r="321" spans="15:15" ht="14.25" customHeight="1">
      <c r="O321" s="19"/>
    </row>
    <row r="322" spans="15:15" ht="14.25" customHeight="1">
      <c r="O322" s="19"/>
    </row>
    <row r="323" spans="15:15" ht="14.25" customHeight="1">
      <c r="O323" s="19"/>
    </row>
    <row r="324" spans="15:15" ht="14.25" customHeight="1">
      <c r="O324" s="19"/>
    </row>
    <row r="325" spans="15:15" ht="14.25" customHeight="1">
      <c r="O325" s="19"/>
    </row>
    <row r="326" spans="15:15" ht="14.25" customHeight="1">
      <c r="O326" s="19"/>
    </row>
    <row r="327" spans="15:15" ht="14.25" customHeight="1">
      <c r="O327" s="19"/>
    </row>
    <row r="328" spans="15:15" ht="14.25" customHeight="1">
      <c r="O328" s="19"/>
    </row>
    <row r="329" spans="15:15" ht="14.25" customHeight="1">
      <c r="O329" s="19"/>
    </row>
    <row r="330" spans="15:15" ht="14.25" customHeight="1">
      <c r="O330" s="19"/>
    </row>
    <row r="331" spans="15:15" ht="14.25" customHeight="1">
      <c r="O331" s="19"/>
    </row>
    <row r="332" spans="15:15" ht="14.25" customHeight="1">
      <c r="O332" s="19"/>
    </row>
    <row r="333" spans="15:15" ht="14.25" customHeight="1">
      <c r="O333" s="19"/>
    </row>
    <row r="334" spans="15:15" ht="14.25" customHeight="1">
      <c r="O334" s="19"/>
    </row>
    <row r="335" spans="15:15" ht="14.25" customHeight="1">
      <c r="O335" s="19"/>
    </row>
    <row r="336" spans="15:15" ht="14.25" customHeight="1">
      <c r="O336" s="19"/>
    </row>
    <row r="337" spans="15:15" ht="14.25" customHeight="1">
      <c r="O337" s="19"/>
    </row>
    <row r="338" spans="15:15" ht="14.25" customHeight="1">
      <c r="O338" s="19"/>
    </row>
    <row r="339" spans="15:15" ht="14.25" customHeight="1">
      <c r="O339" s="19"/>
    </row>
    <row r="340" spans="15:15" ht="14.25" customHeight="1">
      <c r="O340" s="19"/>
    </row>
    <row r="341" spans="15:15" ht="14.25" customHeight="1">
      <c r="O341" s="19"/>
    </row>
    <row r="342" spans="15:15" ht="14.25" customHeight="1">
      <c r="O342" s="19"/>
    </row>
    <row r="343" spans="15:15" ht="14.25" customHeight="1">
      <c r="O343" s="19"/>
    </row>
    <row r="344" spans="15:15" ht="14.25" customHeight="1">
      <c r="O344" s="19"/>
    </row>
    <row r="345" spans="15:15" ht="14.25" customHeight="1">
      <c r="O345" s="19"/>
    </row>
    <row r="346" spans="15:15" ht="14.25" customHeight="1">
      <c r="O346" s="19"/>
    </row>
    <row r="347" spans="15:15" ht="14.25" customHeight="1">
      <c r="O347" s="19"/>
    </row>
    <row r="348" spans="15:15" ht="14.25" customHeight="1">
      <c r="O348" s="19"/>
    </row>
    <row r="349" spans="15:15" ht="14.25" customHeight="1">
      <c r="O349" s="19"/>
    </row>
    <row r="350" spans="15:15" ht="14.25" customHeight="1">
      <c r="O350" s="19"/>
    </row>
    <row r="351" spans="15:15" ht="14.25" customHeight="1">
      <c r="O351" s="19"/>
    </row>
    <row r="352" spans="15:15" ht="14.25" customHeight="1">
      <c r="O352" s="19"/>
    </row>
    <row r="353" spans="15:15" ht="14.25" customHeight="1">
      <c r="O353" s="19"/>
    </row>
    <row r="354" spans="15:15" ht="14.25" customHeight="1">
      <c r="O354" s="19"/>
    </row>
    <row r="355" spans="15:15" ht="14.25" customHeight="1">
      <c r="O355" s="19"/>
    </row>
    <row r="356" spans="15:15" ht="14.25" customHeight="1">
      <c r="O356" s="19"/>
    </row>
    <row r="357" spans="15:15" ht="14.25" customHeight="1">
      <c r="O357" s="19"/>
    </row>
    <row r="358" spans="15:15" ht="14.25" customHeight="1">
      <c r="O358" s="19"/>
    </row>
    <row r="359" spans="15:15" ht="14.25" customHeight="1">
      <c r="O359" s="19"/>
    </row>
    <row r="360" spans="15:15" ht="14.25" customHeight="1">
      <c r="O360" s="19"/>
    </row>
    <row r="361" spans="15:15" ht="14.25" customHeight="1">
      <c r="O361" s="19"/>
    </row>
    <row r="362" spans="15:15" ht="14.25" customHeight="1">
      <c r="O362" s="19"/>
    </row>
    <row r="363" spans="15:15" ht="14.25" customHeight="1">
      <c r="O363" s="19"/>
    </row>
    <row r="364" spans="15:15" ht="14.25" customHeight="1">
      <c r="O364" s="19"/>
    </row>
    <row r="365" spans="15:15" ht="14.25" customHeight="1">
      <c r="O365" s="19"/>
    </row>
    <row r="366" spans="15:15" ht="14.25" customHeight="1">
      <c r="O366" s="19"/>
    </row>
    <row r="367" spans="15:15" ht="14.25" customHeight="1">
      <c r="O367" s="19"/>
    </row>
    <row r="368" spans="15:15" ht="14.25" customHeight="1">
      <c r="O368" s="19"/>
    </row>
    <row r="369" spans="15:15" ht="14.25" customHeight="1">
      <c r="O369" s="19"/>
    </row>
    <row r="370" spans="15:15" ht="14.25" customHeight="1">
      <c r="O370" s="19"/>
    </row>
    <row r="371" spans="15:15" ht="14.25" customHeight="1">
      <c r="O371" s="19"/>
    </row>
    <row r="372" spans="15:15" ht="14.25" customHeight="1">
      <c r="O372" s="19"/>
    </row>
    <row r="373" spans="15:15" ht="14.25" customHeight="1">
      <c r="O373" s="19"/>
    </row>
    <row r="374" spans="15:15" ht="14.25" customHeight="1">
      <c r="O374" s="19"/>
    </row>
    <row r="375" spans="15:15" ht="14.25" customHeight="1">
      <c r="O375" s="19"/>
    </row>
    <row r="376" spans="15:15" ht="14.25" customHeight="1">
      <c r="O376" s="19"/>
    </row>
    <row r="377" spans="15:15" ht="14.25" customHeight="1">
      <c r="O377" s="19"/>
    </row>
    <row r="378" spans="15:15" ht="14.25" customHeight="1">
      <c r="O378" s="19"/>
    </row>
    <row r="379" spans="15:15" ht="14.25" customHeight="1">
      <c r="O379" s="19"/>
    </row>
    <row r="380" spans="15:15" ht="14.25" customHeight="1">
      <c r="O380" s="19"/>
    </row>
    <row r="381" spans="15:15" ht="14.25" customHeight="1">
      <c r="O381" s="19"/>
    </row>
    <row r="382" spans="15:15" ht="14.25" customHeight="1">
      <c r="O382" s="19"/>
    </row>
    <row r="383" spans="15:15" ht="14.25" customHeight="1">
      <c r="O383" s="19"/>
    </row>
    <row r="384" spans="15:15" ht="14.25" customHeight="1">
      <c r="O384" s="19"/>
    </row>
    <row r="385" spans="15:15" ht="14.25" customHeight="1">
      <c r="O385" s="19"/>
    </row>
    <row r="386" spans="15:15" ht="14.25" customHeight="1">
      <c r="O386" s="19"/>
    </row>
    <row r="387" spans="15:15" ht="14.25" customHeight="1">
      <c r="O387" s="19"/>
    </row>
    <row r="388" spans="15:15" ht="14.25" customHeight="1">
      <c r="O388" s="19"/>
    </row>
    <row r="389" spans="15:15" ht="14.25" customHeight="1">
      <c r="O389" s="19"/>
    </row>
    <row r="390" spans="15:15" ht="14.25" customHeight="1">
      <c r="O390" s="19"/>
    </row>
    <row r="391" spans="15:15" ht="14.25" customHeight="1">
      <c r="O391" s="19"/>
    </row>
    <row r="392" spans="15:15" ht="14.25" customHeight="1">
      <c r="O392" s="19"/>
    </row>
    <row r="393" spans="15:15" ht="14.25" customHeight="1">
      <c r="O393" s="19"/>
    </row>
    <row r="394" spans="15:15" ht="14.25" customHeight="1">
      <c r="O394" s="19"/>
    </row>
    <row r="395" spans="15:15" ht="14.25" customHeight="1">
      <c r="O395" s="19"/>
    </row>
    <row r="396" spans="15:15" ht="14.25" customHeight="1">
      <c r="O396" s="19"/>
    </row>
    <row r="397" spans="15:15" ht="14.25" customHeight="1">
      <c r="O397" s="19"/>
    </row>
    <row r="398" spans="15:15" ht="14.25" customHeight="1">
      <c r="O398" s="19"/>
    </row>
    <row r="399" spans="15:15" ht="14.25" customHeight="1">
      <c r="O399" s="19"/>
    </row>
    <row r="400" spans="15:15" ht="14.25" customHeight="1">
      <c r="O400" s="19"/>
    </row>
    <row r="401" spans="15:15" ht="14.25" customHeight="1">
      <c r="O401" s="19"/>
    </row>
    <row r="402" spans="15:15" ht="14.25" customHeight="1">
      <c r="O402" s="19"/>
    </row>
    <row r="403" spans="15:15" ht="14.25" customHeight="1">
      <c r="O403" s="19"/>
    </row>
    <row r="404" spans="15:15" ht="14.25" customHeight="1">
      <c r="O404" s="19"/>
    </row>
    <row r="405" spans="15:15" ht="14.25" customHeight="1">
      <c r="O405" s="19"/>
    </row>
    <row r="406" spans="15:15" ht="14.25" customHeight="1">
      <c r="O406" s="19"/>
    </row>
    <row r="407" spans="15:15" ht="14.25" customHeight="1">
      <c r="O407" s="19"/>
    </row>
    <row r="408" spans="15:15" ht="14.25" customHeight="1">
      <c r="O408" s="19"/>
    </row>
    <row r="409" spans="15:15" ht="14.25" customHeight="1">
      <c r="O409" s="19"/>
    </row>
    <row r="410" spans="15:15" ht="14.25" customHeight="1">
      <c r="O410" s="19"/>
    </row>
    <row r="411" spans="15:15" ht="14.25" customHeight="1">
      <c r="O411" s="19"/>
    </row>
    <row r="412" spans="15:15" ht="14.25" customHeight="1">
      <c r="O412" s="19"/>
    </row>
    <row r="413" spans="15:15" ht="14.25" customHeight="1">
      <c r="O413" s="19"/>
    </row>
    <row r="414" spans="15:15" ht="14.25" customHeight="1">
      <c r="O414" s="19"/>
    </row>
    <row r="415" spans="15:15" ht="14.25" customHeight="1">
      <c r="O415" s="19"/>
    </row>
    <row r="416" spans="15:15" ht="14.25" customHeight="1">
      <c r="O416" s="19"/>
    </row>
    <row r="417" spans="15:15" ht="14.25" customHeight="1">
      <c r="O417" s="19"/>
    </row>
    <row r="418" spans="15:15" ht="14.25" customHeight="1">
      <c r="O418" s="19"/>
    </row>
    <row r="419" spans="15:15" ht="14.25" customHeight="1">
      <c r="O419" s="19"/>
    </row>
    <row r="420" spans="15:15" ht="14.25" customHeight="1">
      <c r="O420" s="19"/>
    </row>
    <row r="421" spans="15:15" ht="14.25" customHeight="1">
      <c r="O421" s="19"/>
    </row>
    <row r="422" spans="15:15" ht="14.25" customHeight="1">
      <c r="O422" s="19"/>
    </row>
    <row r="423" spans="15:15" ht="14.25" customHeight="1">
      <c r="O423" s="19"/>
    </row>
    <row r="424" spans="15:15" ht="14.25" customHeight="1">
      <c r="O424" s="19"/>
    </row>
    <row r="425" spans="15:15" ht="14.25" customHeight="1">
      <c r="O425" s="19"/>
    </row>
    <row r="426" spans="15:15" ht="14.25" customHeight="1">
      <c r="O426" s="19"/>
    </row>
    <row r="427" spans="15:15" ht="14.25" customHeight="1">
      <c r="O427" s="19"/>
    </row>
    <row r="428" spans="15:15" ht="14.25" customHeight="1">
      <c r="O428" s="19"/>
    </row>
    <row r="429" spans="15:15" ht="14.25" customHeight="1">
      <c r="O429" s="19"/>
    </row>
    <row r="430" spans="15:15" ht="14.25" customHeight="1">
      <c r="O430" s="19"/>
    </row>
    <row r="431" spans="15:15" ht="14.25" customHeight="1">
      <c r="O431" s="19"/>
    </row>
    <row r="432" spans="15:15" ht="14.25" customHeight="1">
      <c r="O432" s="19"/>
    </row>
    <row r="433" spans="15:15" ht="14.25" customHeight="1">
      <c r="O433" s="19"/>
    </row>
    <row r="434" spans="15:15" ht="14.25" customHeight="1">
      <c r="O434" s="19"/>
    </row>
    <row r="435" spans="15:15" ht="14.25" customHeight="1">
      <c r="O435" s="19"/>
    </row>
    <row r="436" spans="15:15" ht="14.25" customHeight="1">
      <c r="O436" s="19"/>
    </row>
    <row r="437" spans="15:15" ht="14.25" customHeight="1">
      <c r="O437" s="19"/>
    </row>
    <row r="438" spans="15:15" ht="14.25" customHeight="1">
      <c r="O438" s="19"/>
    </row>
    <row r="439" spans="15:15" ht="14.25" customHeight="1">
      <c r="O439" s="19"/>
    </row>
    <row r="440" spans="15:15" ht="14.25" customHeight="1">
      <c r="O440" s="19"/>
    </row>
    <row r="441" spans="15:15" ht="14.25" customHeight="1">
      <c r="O441" s="19"/>
    </row>
    <row r="442" spans="15:15" ht="14.25" customHeight="1">
      <c r="O442" s="19"/>
    </row>
    <row r="443" spans="15:15" ht="14.25" customHeight="1">
      <c r="O443" s="19"/>
    </row>
    <row r="444" spans="15:15" ht="14.25" customHeight="1">
      <c r="O444" s="19"/>
    </row>
    <row r="445" spans="15:15" ht="14.25" customHeight="1">
      <c r="O445" s="19"/>
    </row>
    <row r="446" spans="15:15" ht="14.25" customHeight="1">
      <c r="O446" s="19"/>
    </row>
    <row r="447" spans="15:15" ht="14.25" customHeight="1">
      <c r="O447" s="19"/>
    </row>
    <row r="448" spans="15:15" ht="14.25" customHeight="1">
      <c r="O448" s="19"/>
    </row>
    <row r="449" spans="15:15" ht="14.25" customHeight="1">
      <c r="O449" s="19"/>
    </row>
    <row r="450" spans="15:15" ht="14.25" customHeight="1">
      <c r="O450" s="19"/>
    </row>
    <row r="451" spans="15:15" ht="14.25" customHeight="1">
      <c r="O451" s="19"/>
    </row>
    <row r="452" spans="15:15" ht="14.25" customHeight="1">
      <c r="O452" s="19"/>
    </row>
    <row r="453" spans="15:15" ht="14.25" customHeight="1">
      <c r="O453" s="19"/>
    </row>
    <row r="454" spans="15:15" ht="14.25" customHeight="1">
      <c r="O454" s="19"/>
    </row>
    <row r="455" spans="15:15" ht="14.25" customHeight="1">
      <c r="O455" s="19"/>
    </row>
    <row r="456" spans="15:15" ht="14.25" customHeight="1">
      <c r="O456" s="19"/>
    </row>
    <row r="457" spans="15:15" ht="14.25" customHeight="1">
      <c r="O457" s="19"/>
    </row>
    <row r="458" spans="15:15" ht="14.25" customHeight="1">
      <c r="O458" s="19"/>
    </row>
    <row r="459" spans="15:15" ht="14.25" customHeight="1">
      <c r="O459" s="19"/>
    </row>
    <row r="460" spans="15:15" ht="14.25" customHeight="1">
      <c r="O460" s="19"/>
    </row>
    <row r="461" spans="15:15" ht="14.25" customHeight="1">
      <c r="O461" s="19"/>
    </row>
    <row r="462" spans="15:15" ht="14.25" customHeight="1">
      <c r="O462" s="19"/>
    </row>
    <row r="463" spans="15:15" ht="14.25" customHeight="1">
      <c r="O463" s="19"/>
    </row>
    <row r="464" spans="15:15" ht="14.25" customHeight="1">
      <c r="O464" s="19"/>
    </row>
    <row r="465" spans="15:15" ht="14.25" customHeight="1">
      <c r="O465" s="19"/>
    </row>
    <row r="466" spans="15:15" ht="14.25" customHeight="1">
      <c r="O466" s="19"/>
    </row>
    <row r="467" spans="15:15" ht="14.25" customHeight="1">
      <c r="O467" s="19"/>
    </row>
    <row r="468" spans="15:15" ht="14.25" customHeight="1">
      <c r="O468" s="19"/>
    </row>
    <row r="469" spans="15:15" ht="14.25" customHeight="1">
      <c r="O469" s="19"/>
    </row>
    <row r="470" spans="15:15" ht="14.25" customHeight="1">
      <c r="O470" s="19"/>
    </row>
    <row r="471" spans="15:15" ht="14.25" customHeight="1">
      <c r="O471" s="19"/>
    </row>
    <row r="472" spans="15:15" ht="14.25" customHeight="1">
      <c r="O472" s="19"/>
    </row>
    <row r="473" spans="15:15" ht="14.25" customHeight="1">
      <c r="O473" s="19"/>
    </row>
    <row r="474" spans="15:15" ht="14.25" customHeight="1">
      <c r="O474" s="19"/>
    </row>
    <row r="475" spans="15:15" ht="14.25" customHeight="1">
      <c r="O475" s="19"/>
    </row>
    <row r="476" spans="15:15" ht="14.25" customHeight="1">
      <c r="O476" s="19"/>
    </row>
    <row r="477" spans="15:15" ht="14.25" customHeight="1">
      <c r="O477" s="19"/>
    </row>
    <row r="478" spans="15:15" ht="14.25" customHeight="1">
      <c r="O478" s="19"/>
    </row>
    <row r="479" spans="15:15" ht="14.25" customHeight="1">
      <c r="O479" s="19"/>
    </row>
    <row r="480" spans="15:15" ht="14.25" customHeight="1">
      <c r="O480" s="19"/>
    </row>
    <row r="481" spans="15:15" ht="14.25" customHeight="1">
      <c r="O481" s="19"/>
    </row>
    <row r="482" spans="15:15" ht="14.25" customHeight="1">
      <c r="O482" s="19"/>
    </row>
    <row r="483" spans="15:15" ht="14.25" customHeight="1">
      <c r="O483" s="19"/>
    </row>
    <row r="484" spans="15:15" ht="14.25" customHeight="1">
      <c r="O484" s="19"/>
    </row>
    <row r="485" spans="15:15" ht="14.25" customHeight="1">
      <c r="O485" s="19"/>
    </row>
    <row r="486" spans="15:15" ht="14.25" customHeight="1">
      <c r="O486" s="19"/>
    </row>
    <row r="487" spans="15:15" ht="14.25" customHeight="1">
      <c r="O487" s="19"/>
    </row>
    <row r="488" spans="15:15" ht="14.25" customHeight="1">
      <c r="O488" s="19"/>
    </row>
    <row r="489" spans="15:15" ht="14.25" customHeight="1">
      <c r="O489" s="19"/>
    </row>
    <row r="490" spans="15:15" ht="14.25" customHeight="1">
      <c r="O490" s="19"/>
    </row>
    <row r="491" spans="15:15" ht="14.25" customHeight="1">
      <c r="O491" s="19"/>
    </row>
    <row r="492" spans="15:15" ht="14.25" customHeight="1">
      <c r="O492" s="19"/>
    </row>
    <row r="493" spans="15:15" ht="14.25" customHeight="1">
      <c r="O493" s="19"/>
    </row>
    <row r="494" spans="15:15" ht="14.25" customHeight="1">
      <c r="O494" s="19"/>
    </row>
    <row r="495" spans="15:15" ht="14.25" customHeight="1">
      <c r="O495" s="19"/>
    </row>
    <row r="496" spans="15:15" ht="14.25" customHeight="1">
      <c r="O496" s="19"/>
    </row>
    <row r="497" spans="15:15" ht="14.25" customHeight="1">
      <c r="O497" s="19"/>
    </row>
    <row r="498" spans="15:15" ht="14.25" customHeight="1">
      <c r="O498" s="19"/>
    </row>
    <row r="499" spans="15:15" ht="14.25" customHeight="1">
      <c r="O499" s="19"/>
    </row>
    <row r="500" spans="15:15" ht="14.25" customHeight="1">
      <c r="O500" s="19"/>
    </row>
    <row r="501" spans="15:15" ht="14.25" customHeight="1">
      <c r="O501" s="19"/>
    </row>
    <row r="502" spans="15:15" ht="14.25" customHeight="1">
      <c r="O502" s="19"/>
    </row>
    <row r="503" spans="15:15" ht="14.25" customHeight="1">
      <c r="O503" s="19"/>
    </row>
    <row r="504" spans="15:15" ht="14.25" customHeight="1">
      <c r="O504" s="19"/>
    </row>
    <row r="505" spans="15:15" ht="14.25" customHeight="1">
      <c r="O505" s="19"/>
    </row>
    <row r="506" spans="15:15" ht="14.25" customHeight="1">
      <c r="O506" s="19"/>
    </row>
    <row r="507" spans="15:15" ht="14.25" customHeight="1">
      <c r="O507" s="19"/>
    </row>
    <row r="508" spans="15:15" ht="14.25" customHeight="1">
      <c r="O508" s="19"/>
    </row>
    <row r="509" spans="15:15" ht="14.25" customHeight="1">
      <c r="O509" s="19"/>
    </row>
    <row r="510" spans="15:15" ht="14.25" customHeight="1">
      <c r="O510" s="19"/>
    </row>
    <row r="511" spans="15:15" ht="14.25" customHeight="1">
      <c r="O511" s="19"/>
    </row>
    <row r="512" spans="15:15" ht="14.25" customHeight="1">
      <c r="O512" s="19"/>
    </row>
    <row r="513" spans="15:15" ht="14.25" customHeight="1">
      <c r="O513" s="19"/>
    </row>
    <row r="514" spans="15:15" ht="14.25" customHeight="1">
      <c r="O514" s="19"/>
    </row>
    <row r="515" spans="15:15" ht="14.25" customHeight="1">
      <c r="O515" s="19"/>
    </row>
    <row r="516" spans="15:15" ht="14.25" customHeight="1">
      <c r="O516" s="19"/>
    </row>
    <row r="517" spans="15:15" ht="14.25" customHeight="1">
      <c r="O517" s="19"/>
    </row>
    <row r="518" spans="15:15" ht="14.25" customHeight="1">
      <c r="O518" s="19"/>
    </row>
    <row r="519" spans="15:15" ht="14.25" customHeight="1">
      <c r="O519" s="19"/>
    </row>
    <row r="520" spans="15:15" ht="14.25" customHeight="1">
      <c r="O520" s="19"/>
    </row>
    <row r="521" spans="15:15" ht="14.25" customHeight="1">
      <c r="O521" s="19"/>
    </row>
    <row r="522" spans="15:15" ht="14.25" customHeight="1">
      <c r="O522" s="19"/>
    </row>
    <row r="523" spans="15:15" ht="14.25" customHeight="1">
      <c r="O523" s="19"/>
    </row>
    <row r="524" spans="15:15" ht="14.25" customHeight="1">
      <c r="O524" s="19"/>
    </row>
    <row r="525" spans="15:15" ht="14.25" customHeight="1">
      <c r="O525" s="19"/>
    </row>
    <row r="526" spans="15:15" ht="14.25" customHeight="1">
      <c r="O526" s="19"/>
    </row>
    <row r="527" spans="15:15" ht="14.25" customHeight="1">
      <c r="O527" s="19"/>
    </row>
    <row r="528" spans="15:15" ht="14.25" customHeight="1">
      <c r="O528" s="19"/>
    </row>
    <row r="529" spans="15:15" ht="14.25" customHeight="1">
      <c r="O529" s="19"/>
    </row>
    <row r="530" spans="15:15" ht="14.25" customHeight="1">
      <c r="O530" s="19"/>
    </row>
    <row r="531" spans="15:15" ht="14.25" customHeight="1">
      <c r="O531" s="19"/>
    </row>
    <row r="532" spans="15:15" ht="14.25" customHeight="1">
      <c r="O532" s="19"/>
    </row>
    <row r="533" spans="15:15" ht="14.25" customHeight="1">
      <c r="O533" s="19"/>
    </row>
    <row r="534" spans="15:15" ht="14.25" customHeight="1">
      <c r="O534" s="19"/>
    </row>
    <row r="535" spans="15:15" ht="14.25" customHeight="1">
      <c r="O535" s="19"/>
    </row>
    <row r="536" spans="15:15" ht="14.25" customHeight="1">
      <c r="O536" s="19"/>
    </row>
    <row r="537" spans="15:15" ht="14.25" customHeight="1">
      <c r="O537" s="19"/>
    </row>
    <row r="538" spans="15:15" ht="14.25" customHeight="1">
      <c r="O538" s="19"/>
    </row>
    <row r="539" spans="15:15" ht="14.25" customHeight="1">
      <c r="O539" s="19"/>
    </row>
    <row r="540" spans="15:15" ht="14.25" customHeight="1">
      <c r="O540" s="19"/>
    </row>
    <row r="541" spans="15:15" ht="14.25" customHeight="1">
      <c r="O541" s="19"/>
    </row>
    <row r="542" spans="15:15" ht="14.25" customHeight="1">
      <c r="O542" s="19"/>
    </row>
    <row r="543" spans="15:15" ht="14.25" customHeight="1">
      <c r="O543" s="19"/>
    </row>
    <row r="544" spans="15:15" ht="14.25" customHeight="1">
      <c r="O544" s="19"/>
    </row>
    <row r="545" spans="15:15" ht="14.25" customHeight="1">
      <c r="O545" s="19"/>
    </row>
    <row r="546" spans="15:15" ht="14.25" customHeight="1">
      <c r="O546" s="19"/>
    </row>
    <row r="547" spans="15:15" ht="14.25" customHeight="1">
      <c r="O547" s="19"/>
    </row>
    <row r="548" spans="15:15" ht="14.25" customHeight="1">
      <c r="O548" s="19"/>
    </row>
    <row r="549" spans="15:15" ht="14.25" customHeight="1">
      <c r="O549" s="19"/>
    </row>
    <row r="550" spans="15:15" ht="14.25" customHeight="1">
      <c r="O550" s="19"/>
    </row>
    <row r="551" spans="15:15" ht="14.25" customHeight="1">
      <c r="O551" s="19"/>
    </row>
    <row r="552" spans="15:15" ht="14.25" customHeight="1">
      <c r="O552" s="19"/>
    </row>
    <row r="553" spans="15:15" ht="14.25" customHeight="1">
      <c r="O553" s="19"/>
    </row>
    <row r="554" spans="15:15" ht="14.25" customHeight="1">
      <c r="O554" s="19"/>
    </row>
    <row r="555" spans="15:15" ht="14.25" customHeight="1">
      <c r="O555" s="19"/>
    </row>
    <row r="556" spans="15:15" ht="14.25" customHeight="1">
      <c r="O556" s="19"/>
    </row>
    <row r="557" spans="15:15" ht="14.25" customHeight="1">
      <c r="O557" s="19"/>
    </row>
    <row r="558" spans="15:15" ht="14.25" customHeight="1">
      <c r="O558" s="19"/>
    </row>
    <row r="559" spans="15:15" ht="14.25" customHeight="1">
      <c r="O559" s="19"/>
    </row>
    <row r="560" spans="15:15" ht="14.25" customHeight="1">
      <c r="O560" s="19"/>
    </row>
    <row r="561" spans="15:15" ht="14.25" customHeight="1">
      <c r="O561" s="19"/>
    </row>
    <row r="562" spans="15:15" ht="14.25" customHeight="1">
      <c r="O562" s="19"/>
    </row>
    <row r="563" spans="15:15" ht="14.25" customHeight="1">
      <c r="O563" s="19"/>
    </row>
    <row r="564" spans="15:15" ht="14.25" customHeight="1">
      <c r="O564" s="19"/>
    </row>
    <row r="565" spans="15:15" ht="14.25" customHeight="1">
      <c r="O565" s="19"/>
    </row>
    <row r="566" spans="15:15" ht="14.25" customHeight="1">
      <c r="O566" s="19"/>
    </row>
    <row r="567" spans="15:15" ht="14.25" customHeight="1">
      <c r="O567" s="19"/>
    </row>
    <row r="568" spans="15:15" ht="14.25" customHeight="1">
      <c r="O568" s="19"/>
    </row>
    <row r="569" spans="15:15" ht="14.25" customHeight="1">
      <c r="O569" s="19"/>
    </row>
    <row r="570" spans="15:15" ht="14.25" customHeight="1">
      <c r="O570" s="19"/>
    </row>
    <row r="571" spans="15:15" ht="14.25" customHeight="1">
      <c r="O571" s="19"/>
    </row>
    <row r="572" spans="15:15" ht="14.25" customHeight="1">
      <c r="O572" s="19"/>
    </row>
    <row r="573" spans="15:15" ht="14.25" customHeight="1">
      <c r="O573" s="19"/>
    </row>
    <row r="574" spans="15:15" ht="14.25" customHeight="1">
      <c r="O574" s="19"/>
    </row>
    <row r="575" spans="15:15" ht="14.25" customHeight="1">
      <c r="O575" s="19"/>
    </row>
    <row r="576" spans="15:15" ht="14.25" customHeight="1">
      <c r="O576" s="19"/>
    </row>
    <row r="577" spans="15:15" ht="14.25" customHeight="1">
      <c r="O577" s="19"/>
    </row>
    <row r="578" spans="15:15" ht="14.25" customHeight="1">
      <c r="O578" s="19"/>
    </row>
    <row r="579" spans="15:15" ht="14.25" customHeight="1">
      <c r="O579" s="19"/>
    </row>
    <row r="580" spans="15:15" ht="14.25" customHeight="1">
      <c r="O580" s="19"/>
    </row>
    <row r="581" spans="15:15" ht="14.25" customHeight="1">
      <c r="O581" s="19"/>
    </row>
    <row r="582" spans="15:15" ht="14.25" customHeight="1">
      <c r="O582" s="19"/>
    </row>
    <row r="583" spans="15:15" ht="14.25" customHeight="1">
      <c r="O583" s="19"/>
    </row>
    <row r="584" spans="15:15" ht="14.25" customHeight="1">
      <c r="O584" s="19"/>
    </row>
    <row r="585" spans="15:15" ht="14.25" customHeight="1">
      <c r="O585" s="19"/>
    </row>
    <row r="586" spans="15:15" ht="14.25" customHeight="1">
      <c r="O586" s="19"/>
    </row>
    <row r="587" spans="15:15" ht="14.25" customHeight="1">
      <c r="O587" s="19"/>
    </row>
    <row r="588" spans="15:15" ht="14.25" customHeight="1">
      <c r="O588" s="19"/>
    </row>
    <row r="589" spans="15:15" ht="14.25" customHeight="1">
      <c r="O589" s="19"/>
    </row>
    <row r="590" spans="15:15" ht="14.25" customHeight="1">
      <c r="O590" s="19"/>
    </row>
    <row r="591" spans="15:15" ht="14.25" customHeight="1">
      <c r="O591" s="19"/>
    </row>
    <row r="592" spans="15:15" ht="14.25" customHeight="1">
      <c r="O592" s="19"/>
    </row>
    <row r="593" spans="15:15" ht="14.25" customHeight="1">
      <c r="O593" s="19"/>
    </row>
    <row r="594" spans="15:15" ht="14.25" customHeight="1">
      <c r="O594" s="19"/>
    </row>
    <row r="595" spans="15:15" ht="14.25" customHeight="1">
      <c r="O595" s="19"/>
    </row>
    <row r="596" spans="15:15" ht="14.25" customHeight="1">
      <c r="O596" s="19"/>
    </row>
    <row r="597" spans="15:15" ht="14.25" customHeight="1">
      <c r="O597" s="19"/>
    </row>
    <row r="598" spans="15:15" ht="14.25" customHeight="1">
      <c r="O598" s="19"/>
    </row>
    <row r="599" spans="15:15" ht="14.25" customHeight="1">
      <c r="O599" s="19"/>
    </row>
    <row r="600" spans="15:15" ht="14.25" customHeight="1">
      <c r="O600" s="19"/>
    </row>
    <row r="601" spans="15:15" ht="14.25" customHeight="1">
      <c r="O601" s="19"/>
    </row>
    <row r="602" spans="15:15" ht="14.25" customHeight="1">
      <c r="O602" s="19"/>
    </row>
    <row r="603" spans="15:15" ht="14.25" customHeight="1">
      <c r="O603" s="19"/>
    </row>
    <row r="604" spans="15:15" ht="14.25" customHeight="1">
      <c r="O604" s="19"/>
    </row>
    <row r="605" spans="15:15" ht="14.25" customHeight="1">
      <c r="O605" s="19"/>
    </row>
    <row r="606" spans="15:15" ht="14.25" customHeight="1">
      <c r="O606" s="19"/>
    </row>
    <row r="607" spans="15:15" ht="14.25" customHeight="1">
      <c r="O607" s="19"/>
    </row>
    <row r="608" spans="15:15" ht="14.25" customHeight="1">
      <c r="O608" s="19"/>
    </row>
    <row r="609" spans="15:15" ht="14.25" customHeight="1">
      <c r="O609" s="19"/>
    </row>
    <row r="610" spans="15:15" ht="14.25" customHeight="1">
      <c r="O610" s="19"/>
    </row>
    <row r="611" spans="15:15" ht="14.25" customHeight="1">
      <c r="O611" s="19"/>
    </row>
    <row r="612" spans="15:15" ht="14.25" customHeight="1">
      <c r="O612" s="19"/>
    </row>
    <row r="613" spans="15:15" ht="14.25" customHeight="1">
      <c r="O613" s="19"/>
    </row>
    <row r="614" spans="15:15" ht="14.25" customHeight="1">
      <c r="O614" s="19"/>
    </row>
    <row r="615" spans="15:15" ht="14.25" customHeight="1">
      <c r="O615" s="19"/>
    </row>
    <row r="616" spans="15:15" ht="14.25" customHeight="1">
      <c r="O616" s="19"/>
    </row>
    <row r="617" spans="15:15" ht="14.25" customHeight="1">
      <c r="O617" s="19"/>
    </row>
    <row r="618" spans="15:15" ht="14.25" customHeight="1">
      <c r="O618" s="19"/>
    </row>
    <row r="619" spans="15:15" ht="14.25" customHeight="1">
      <c r="O619" s="19"/>
    </row>
    <row r="620" spans="15:15" ht="14.25" customHeight="1">
      <c r="O620" s="19"/>
    </row>
    <row r="621" spans="15:15" ht="14.25" customHeight="1">
      <c r="O621" s="19"/>
    </row>
    <row r="622" spans="15:15" ht="14.25" customHeight="1">
      <c r="O622" s="19"/>
    </row>
    <row r="623" spans="15:15" ht="14.25" customHeight="1">
      <c r="O623" s="19"/>
    </row>
    <row r="624" spans="15:15" ht="14.25" customHeight="1">
      <c r="O624" s="19"/>
    </row>
    <row r="625" spans="15:15" ht="14.25" customHeight="1">
      <c r="O625" s="19"/>
    </row>
    <row r="626" spans="15:15" ht="14.25" customHeight="1">
      <c r="O626" s="19"/>
    </row>
    <row r="627" spans="15:15" ht="14.25" customHeight="1">
      <c r="O627" s="19"/>
    </row>
    <row r="628" spans="15:15" ht="14.25" customHeight="1">
      <c r="O628" s="19"/>
    </row>
    <row r="629" spans="15:15" ht="14.25" customHeight="1">
      <c r="O629" s="19"/>
    </row>
    <row r="630" spans="15:15" ht="14.25" customHeight="1">
      <c r="O630" s="19"/>
    </row>
    <row r="631" spans="15:15" ht="14.25" customHeight="1">
      <c r="O631" s="19"/>
    </row>
    <row r="632" spans="15:15" ht="14.25" customHeight="1">
      <c r="O632" s="19"/>
    </row>
    <row r="633" spans="15:15" ht="14.25" customHeight="1">
      <c r="O633" s="19"/>
    </row>
    <row r="634" spans="15:15" ht="14.25" customHeight="1">
      <c r="O634" s="19"/>
    </row>
    <row r="635" spans="15:15" ht="14.25" customHeight="1">
      <c r="O635" s="19"/>
    </row>
    <row r="636" spans="15:15" ht="14.25" customHeight="1">
      <c r="O636" s="19"/>
    </row>
    <row r="637" spans="15:15" ht="14.25" customHeight="1">
      <c r="O637" s="19"/>
    </row>
    <row r="638" spans="15:15" ht="14.25" customHeight="1">
      <c r="O638" s="19"/>
    </row>
    <row r="639" spans="15:15" ht="14.25" customHeight="1">
      <c r="O639" s="19"/>
    </row>
    <row r="640" spans="15:15" ht="14.25" customHeight="1">
      <c r="O640" s="19"/>
    </row>
    <row r="641" spans="15:15" ht="14.25" customHeight="1">
      <c r="O641" s="19"/>
    </row>
    <row r="642" spans="15:15" ht="14.25" customHeight="1">
      <c r="O642" s="19"/>
    </row>
    <row r="643" spans="15:15" ht="14.25" customHeight="1">
      <c r="O643" s="19"/>
    </row>
    <row r="644" spans="15:15" ht="14.25" customHeight="1">
      <c r="O644" s="19"/>
    </row>
    <row r="645" spans="15:15" ht="14.25" customHeight="1">
      <c r="O645" s="19"/>
    </row>
    <row r="646" spans="15:15" ht="14.25" customHeight="1">
      <c r="O646" s="19"/>
    </row>
    <row r="647" spans="15:15" ht="14.25" customHeight="1">
      <c r="O647" s="19"/>
    </row>
    <row r="648" spans="15:15" ht="14.25" customHeight="1">
      <c r="O648" s="19"/>
    </row>
    <row r="649" spans="15:15" ht="14.25" customHeight="1">
      <c r="O649" s="19"/>
    </row>
    <row r="650" spans="15:15" ht="14.25" customHeight="1">
      <c r="O650" s="19"/>
    </row>
    <row r="651" spans="15:15" ht="14.25" customHeight="1">
      <c r="O651" s="19"/>
    </row>
    <row r="652" spans="15:15" ht="14.25" customHeight="1">
      <c r="O652" s="19"/>
    </row>
    <row r="653" spans="15:15" ht="14.25" customHeight="1">
      <c r="O653" s="19"/>
    </row>
    <row r="654" spans="15:15" ht="14.25" customHeight="1">
      <c r="O654" s="19"/>
    </row>
    <row r="655" spans="15:15" ht="14.25" customHeight="1">
      <c r="O655" s="19"/>
    </row>
    <row r="656" spans="15:15" ht="14.25" customHeight="1">
      <c r="O656" s="19"/>
    </row>
    <row r="657" spans="15:15" ht="14.25" customHeight="1">
      <c r="O657" s="19"/>
    </row>
    <row r="658" spans="15:15" ht="14.25" customHeight="1">
      <c r="O658" s="19"/>
    </row>
    <row r="659" spans="15:15" ht="14.25" customHeight="1">
      <c r="O659" s="19"/>
    </row>
    <row r="660" spans="15:15" ht="14.25" customHeight="1">
      <c r="O660" s="19"/>
    </row>
    <row r="661" spans="15:15" ht="14.25" customHeight="1">
      <c r="O661" s="19"/>
    </row>
    <row r="662" spans="15:15" ht="14.25" customHeight="1">
      <c r="O662" s="19"/>
    </row>
    <row r="663" spans="15:15" ht="14.25" customHeight="1">
      <c r="O663" s="19"/>
    </row>
    <row r="664" spans="15:15" ht="14.25" customHeight="1">
      <c r="O664" s="19"/>
    </row>
    <row r="665" spans="15:15" ht="14.25" customHeight="1">
      <c r="O665" s="19"/>
    </row>
    <row r="666" spans="15:15" ht="14.25" customHeight="1">
      <c r="O666" s="19"/>
    </row>
    <row r="667" spans="15:15" ht="14.25" customHeight="1">
      <c r="O667" s="19"/>
    </row>
    <row r="668" spans="15:15" ht="14.25" customHeight="1">
      <c r="O668" s="19"/>
    </row>
    <row r="669" spans="15:15" ht="14.25" customHeight="1">
      <c r="O669" s="19"/>
    </row>
    <row r="670" spans="15:15" ht="14.25" customHeight="1">
      <c r="O670" s="19"/>
    </row>
    <row r="671" spans="15:15" ht="14.25" customHeight="1">
      <c r="O671" s="19"/>
    </row>
    <row r="672" spans="15:15" ht="14.25" customHeight="1">
      <c r="O672" s="19"/>
    </row>
    <row r="673" spans="15:15" ht="14.25" customHeight="1">
      <c r="O673" s="19"/>
    </row>
    <row r="674" spans="15:15" ht="14.25" customHeight="1">
      <c r="O674" s="19"/>
    </row>
    <row r="675" spans="15:15" ht="14.25" customHeight="1">
      <c r="O675" s="19"/>
    </row>
    <row r="676" spans="15:15" ht="14.25" customHeight="1">
      <c r="O676" s="19"/>
    </row>
    <row r="677" spans="15:15" ht="14.25" customHeight="1">
      <c r="O677" s="19"/>
    </row>
    <row r="678" spans="15:15" ht="14.25" customHeight="1">
      <c r="O678" s="19"/>
    </row>
    <row r="679" spans="15:15" ht="14.25" customHeight="1">
      <c r="O679" s="19"/>
    </row>
    <row r="680" spans="15:15" ht="14.25" customHeight="1">
      <c r="O680" s="19"/>
    </row>
    <row r="681" spans="15:15" ht="14.25" customHeight="1">
      <c r="O681" s="19"/>
    </row>
    <row r="682" spans="15:15" ht="14.25" customHeight="1">
      <c r="O682" s="19"/>
    </row>
    <row r="683" spans="15:15" ht="14.25" customHeight="1">
      <c r="O683" s="19"/>
    </row>
    <row r="684" spans="15:15" ht="14.25" customHeight="1">
      <c r="O684" s="19"/>
    </row>
    <row r="685" spans="15:15" ht="14.25" customHeight="1">
      <c r="O685" s="19"/>
    </row>
    <row r="686" spans="15:15" ht="14.25" customHeight="1">
      <c r="O686" s="19"/>
    </row>
    <row r="687" spans="15:15" ht="14.25" customHeight="1">
      <c r="O687" s="19"/>
    </row>
    <row r="688" spans="15:15" ht="14.25" customHeight="1">
      <c r="O688" s="19"/>
    </row>
    <row r="689" spans="15:15" ht="14.25" customHeight="1">
      <c r="O689" s="19"/>
    </row>
    <row r="690" spans="15:15" ht="14.25" customHeight="1">
      <c r="O690" s="19"/>
    </row>
    <row r="691" spans="15:15" ht="14.25" customHeight="1">
      <c r="O691" s="19"/>
    </row>
    <row r="692" spans="15:15" ht="14.25" customHeight="1">
      <c r="O692" s="19"/>
    </row>
    <row r="693" spans="15:15" ht="14.25" customHeight="1">
      <c r="O693" s="19"/>
    </row>
    <row r="694" spans="15:15" ht="14.25" customHeight="1">
      <c r="O694" s="19"/>
    </row>
    <row r="695" spans="15:15" ht="14.25" customHeight="1">
      <c r="O695" s="19"/>
    </row>
    <row r="696" spans="15:15" ht="14.25" customHeight="1">
      <c r="O696" s="19"/>
    </row>
    <row r="697" spans="15:15" ht="14.25" customHeight="1">
      <c r="O697" s="19"/>
    </row>
    <row r="698" spans="15:15" ht="14.25" customHeight="1">
      <c r="O698" s="19"/>
    </row>
    <row r="699" spans="15:15" ht="14.25" customHeight="1">
      <c r="O699" s="19"/>
    </row>
    <row r="700" spans="15:15" ht="14.25" customHeight="1">
      <c r="O700" s="19"/>
    </row>
    <row r="701" spans="15:15" ht="14.25" customHeight="1">
      <c r="O701" s="19"/>
    </row>
    <row r="702" spans="15:15" ht="14.25" customHeight="1">
      <c r="O702" s="19"/>
    </row>
    <row r="703" spans="15:15" ht="14.25" customHeight="1">
      <c r="O703" s="19"/>
    </row>
    <row r="704" spans="15:15" ht="14.25" customHeight="1">
      <c r="O704" s="19"/>
    </row>
    <row r="705" spans="15:15" ht="14.25" customHeight="1">
      <c r="O705" s="19"/>
    </row>
    <row r="706" spans="15:15" ht="14.25" customHeight="1">
      <c r="O706" s="19"/>
    </row>
    <row r="707" spans="15:15" ht="14.25" customHeight="1">
      <c r="O707" s="19"/>
    </row>
    <row r="708" spans="15:15" ht="14.25" customHeight="1">
      <c r="O708" s="19"/>
    </row>
    <row r="709" spans="15:15" ht="14.25" customHeight="1">
      <c r="O709" s="19"/>
    </row>
    <row r="710" spans="15:15" ht="14.25" customHeight="1">
      <c r="O710" s="19"/>
    </row>
    <row r="711" spans="15:15" ht="14.25" customHeight="1">
      <c r="O711" s="19"/>
    </row>
    <row r="712" spans="15:15" ht="14.25" customHeight="1">
      <c r="O712" s="19"/>
    </row>
    <row r="713" spans="15:15" ht="14.25" customHeight="1">
      <c r="O713" s="19"/>
    </row>
    <row r="714" spans="15:15" ht="14.25" customHeight="1">
      <c r="O714" s="19"/>
    </row>
    <row r="715" spans="15:15" ht="14.25" customHeight="1">
      <c r="O715" s="19"/>
    </row>
    <row r="716" spans="15:15" ht="14.25" customHeight="1">
      <c r="O716" s="19"/>
    </row>
    <row r="717" spans="15:15" ht="14.25" customHeight="1">
      <c r="O717" s="19"/>
    </row>
    <row r="718" spans="15:15" ht="14.25" customHeight="1">
      <c r="O718" s="19"/>
    </row>
    <row r="719" spans="15:15" ht="14.25" customHeight="1">
      <c r="O719" s="19"/>
    </row>
    <row r="720" spans="15:15" ht="14.25" customHeight="1">
      <c r="O720" s="19"/>
    </row>
    <row r="721" spans="15:15" ht="14.25" customHeight="1">
      <c r="O721" s="19"/>
    </row>
    <row r="722" spans="15:15" ht="14.25" customHeight="1">
      <c r="O722" s="19"/>
    </row>
    <row r="723" spans="15:15" ht="14.25" customHeight="1">
      <c r="O723" s="19"/>
    </row>
    <row r="724" spans="15:15" ht="14.25" customHeight="1">
      <c r="O724" s="19"/>
    </row>
    <row r="725" spans="15:15" ht="14.25" customHeight="1">
      <c r="O725" s="19"/>
    </row>
    <row r="726" spans="15:15" ht="14.25" customHeight="1">
      <c r="O726" s="19"/>
    </row>
    <row r="727" spans="15:15" ht="14.25" customHeight="1">
      <c r="O727" s="19"/>
    </row>
    <row r="728" spans="15:15" ht="14.25" customHeight="1">
      <c r="O728" s="19"/>
    </row>
    <row r="729" spans="15:15" ht="14.25" customHeight="1">
      <c r="O729" s="19"/>
    </row>
    <row r="730" spans="15:15" ht="14.25" customHeight="1">
      <c r="O730" s="19"/>
    </row>
    <row r="731" spans="15:15" ht="14.25" customHeight="1">
      <c r="O731" s="19"/>
    </row>
    <row r="732" spans="15:15" ht="14.25" customHeight="1">
      <c r="O732" s="19"/>
    </row>
    <row r="733" spans="15:15" ht="14.25" customHeight="1">
      <c r="O733" s="19"/>
    </row>
    <row r="734" spans="15:15" ht="14.25" customHeight="1">
      <c r="O734" s="19"/>
    </row>
    <row r="735" spans="15:15" ht="14.25" customHeight="1">
      <c r="O735" s="19"/>
    </row>
    <row r="736" spans="15:15" ht="14.25" customHeight="1">
      <c r="O736" s="19"/>
    </row>
    <row r="737" spans="15:15" ht="14.25" customHeight="1">
      <c r="O737" s="19"/>
    </row>
    <row r="738" spans="15:15" ht="14.25" customHeight="1">
      <c r="O738" s="19"/>
    </row>
    <row r="739" spans="15:15" ht="14.25" customHeight="1">
      <c r="O739" s="19"/>
    </row>
    <row r="740" spans="15:15" ht="14.25" customHeight="1">
      <c r="O740" s="19"/>
    </row>
    <row r="741" spans="15:15" ht="14.25" customHeight="1">
      <c r="O741" s="19"/>
    </row>
    <row r="742" spans="15:15" ht="14.25" customHeight="1">
      <c r="O742" s="19"/>
    </row>
    <row r="743" spans="15:15" ht="14.25" customHeight="1">
      <c r="O743" s="19"/>
    </row>
    <row r="744" spans="15:15" ht="14.25" customHeight="1">
      <c r="O744" s="19"/>
    </row>
    <row r="745" spans="15:15" ht="14.25" customHeight="1">
      <c r="O745" s="19"/>
    </row>
    <row r="746" spans="15:15" ht="14.25" customHeight="1">
      <c r="O746" s="19"/>
    </row>
    <row r="747" spans="15:15" ht="14.25" customHeight="1">
      <c r="O747" s="19"/>
    </row>
    <row r="748" spans="15:15" ht="14.25" customHeight="1">
      <c r="O748" s="19"/>
    </row>
    <row r="749" spans="15:15" ht="14.25" customHeight="1">
      <c r="O749" s="19"/>
    </row>
    <row r="750" spans="15:15" ht="14.25" customHeight="1">
      <c r="O750" s="19"/>
    </row>
    <row r="751" spans="15:15" ht="14.25" customHeight="1">
      <c r="O751" s="19"/>
    </row>
    <row r="752" spans="15:15" ht="14.25" customHeight="1">
      <c r="O752" s="19"/>
    </row>
    <row r="753" spans="15:15" ht="14.25" customHeight="1">
      <c r="O753" s="19"/>
    </row>
    <row r="754" spans="15:15" ht="14.25" customHeight="1">
      <c r="O754" s="19"/>
    </row>
    <row r="755" spans="15:15" ht="14.25" customHeight="1">
      <c r="O755" s="19"/>
    </row>
    <row r="756" spans="15:15" ht="14.25" customHeight="1">
      <c r="O756" s="19"/>
    </row>
    <row r="757" spans="15:15" ht="14.25" customHeight="1">
      <c r="O757" s="19"/>
    </row>
    <row r="758" spans="15:15" ht="14.25" customHeight="1">
      <c r="O758" s="19"/>
    </row>
    <row r="759" spans="15:15" ht="14.25" customHeight="1">
      <c r="O759" s="19"/>
    </row>
    <row r="760" spans="15:15" ht="14.25" customHeight="1">
      <c r="O760" s="19"/>
    </row>
    <row r="761" spans="15:15" ht="14.25" customHeight="1">
      <c r="O761" s="19"/>
    </row>
    <row r="762" spans="15:15" ht="14.25" customHeight="1">
      <c r="O762" s="19"/>
    </row>
    <row r="763" spans="15:15" ht="14.25" customHeight="1">
      <c r="O763" s="19"/>
    </row>
    <row r="764" spans="15:15" ht="14.25" customHeight="1">
      <c r="O764" s="19"/>
    </row>
    <row r="765" spans="15:15" ht="14.25" customHeight="1">
      <c r="O765" s="19"/>
    </row>
    <row r="766" spans="15:15" ht="14.25" customHeight="1">
      <c r="O766" s="19"/>
    </row>
    <row r="767" spans="15:15" ht="14.25" customHeight="1">
      <c r="O767" s="19"/>
    </row>
    <row r="768" spans="15:15" ht="14.25" customHeight="1">
      <c r="O768" s="19"/>
    </row>
    <row r="769" spans="15:15" ht="14.25" customHeight="1">
      <c r="O769" s="19"/>
    </row>
    <row r="770" spans="15:15" ht="14.25" customHeight="1">
      <c r="O770" s="19"/>
    </row>
    <row r="771" spans="15:15" ht="14.25" customHeight="1">
      <c r="O771" s="19"/>
    </row>
    <row r="772" spans="15:15" ht="14.25" customHeight="1">
      <c r="O772" s="19"/>
    </row>
    <row r="773" spans="15:15" ht="14.25" customHeight="1">
      <c r="O773" s="19"/>
    </row>
    <row r="774" spans="15:15" ht="14.25" customHeight="1">
      <c r="O774" s="19"/>
    </row>
    <row r="775" spans="15:15" ht="14.25" customHeight="1">
      <c r="O775" s="19"/>
    </row>
    <row r="776" spans="15:15" ht="14.25" customHeight="1">
      <c r="O776" s="19"/>
    </row>
    <row r="777" spans="15:15" ht="14.25" customHeight="1">
      <c r="O777" s="19"/>
    </row>
    <row r="778" spans="15:15" ht="14.25" customHeight="1">
      <c r="O778" s="19"/>
    </row>
    <row r="779" spans="15:15" ht="14.25" customHeight="1">
      <c r="O779" s="19"/>
    </row>
    <row r="780" spans="15:15" ht="14.25" customHeight="1">
      <c r="O780" s="19"/>
    </row>
    <row r="781" spans="15:15" ht="14.25" customHeight="1">
      <c r="O781" s="19"/>
    </row>
    <row r="782" spans="15:15" ht="14.25" customHeight="1">
      <c r="O782" s="19"/>
    </row>
    <row r="783" spans="15:15" ht="14.25" customHeight="1">
      <c r="O783" s="19"/>
    </row>
    <row r="784" spans="15:15" ht="14.25" customHeight="1">
      <c r="O784" s="19"/>
    </row>
    <row r="785" spans="15:15" ht="14.25" customHeight="1">
      <c r="O785" s="19"/>
    </row>
    <row r="786" spans="15:15" ht="14.25" customHeight="1">
      <c r="O786" s="19"/>
    </row>
    <row r="787" spans="15:15" ht="14.25" customHeight="1">
      <c r="O787" s="19"/>
    </row>
    <row r="788" spans="15:15" ht="14.25" customHeight="1">
      <c r="O788" s="19"/>
    </row>
    <row r="789" spans="15:15" ht="14.25" customHeight="1">
      <c r="O789" s="19"/>
    </row>
    <row r="790" spans="15:15" ht="14.25" customHeight="1">
      <c r="O790" s="19"/>
    </row>
    <row r="791" spans="15:15" ht="14.25" customHeight="1">
      <c r="O791" s="19"/>
    </row>
    <row r="792" spans="15:15" ht="14.25" customHeight="1">
      <c r="O792" s="19"/>
    </row>
    <row r="793" spans="15:15" ht="14.25" customHeight="1">
      <c r="O793" s="19"/>
    </row>
    <row r="794" spans="15:15" ht="14.25" customHeight="1">
      <c r="O794" s="19"/>
    </row>
    <row r="795" spans="15:15" ht="14.25" customHeight="1">
      <c r="O795" s="19"/>
    </row>
    <row r="796" spans="15:15" ht="14.25" customHeight="1">
      <c r="O796" s="19"/>
    </row>
    <row r="797" spans="15:15" ht="14.25" customHeight="1">
      <c r="O797" s="19"/>
    </row>
    <row r="798" spans="15:15" ht="14.25" customHeight="1">
      <c r="O798" s="19"/>
    </row>
    <row r="799" spans="15:15" ht="14.25" customHeight="1">
      <c r="O799" s="19"/>
    </row>
    <row r="800" spans="15:15" ht="14.25" customHeight="1">
      <c r="O800" s="19"/>
    </row>
    <row r="801" spans="15:15" ht="14.25" customHeight="1">
      <c r="O801" s="19"/>
    </row>
    <row r="802" spans="15:15" ht="14.25" customHeight="1">
      <c r="O802" s="19"/>
    </row>
    <row r="803" spans="15:15" ht="14.25" customHeight="1">
      <c r="O803" s="19"/>
    </row>
    <row r="804" spans="15:15" ht="14.25" customHeight="1">
      <c r="O804" s="19"/>
    </row>
    <row r="805" spans="15:15" ht="14.25" customHeight="1">
      <c r="O805" s="19"/>
    </row>
    <row r="806" spans="15:15" ht="14.25" customHeight="1">
      <c r="O806" s="19"/>
    </row>
    <row r="807" spans="15:15" ht="14.25" customHeight="1">
      <c r="O807" s="19"/>
    </row>
    <row r="808" spans="15:15" ht="14.25" customHeight="1">
      <c r="O808" s="19"/>
    </row>
    <row r="809" spans="15:15" ht="14.25" customHeight="1">
      <c r="O809" s="19"/>
    </row>
    <row r="810" spans="15:15" ht="14.25" customHeight="1">
      <c r="O810" s="19"/>
    </row>
    <row r="811" spans="15:15" ht="14.25" customHeight="1">
      <c r="O811" s="19"/>
    </row>
    <row r="812" spans="15:15" ht="14.25" customHeight="1">
      <c r="O812" s="19"/>
    </row>
    <row r="813" spans="15:15" ht="14.25" customHeight="1">
      <c r="O813" s="19"/>
    </row>
    <row r="814" spans="15:15" ht="14.25" customHeight="1">
      <c r="O814" s="19"/>
    </row>
    <row r="815" spans="15:15" ht="14.25" customHeight="1">
      <c r="O815" s="19"/>
    </row>
    <row r="816" spans="15:15" ht="14.25" customHeight="1">
      <c r="O816" s="19"/>
    </row>
    <row r="817" spans="15:15" ht="14.25" customHeight="1">
      <c r="O817" s="19"/>
    </row>
    <row r="818" spans="15:15" ht="14.25" customHeight="1">
      <c r="O818" s="19"/>
    </row>
    <row r="819" spans="15:15" ht="14.25" customHeight="1">
      <c r="O819" s="19"/>
    </row>
    <row r="820" spans="15:15" ht="14.25" customHeight="1">
      <c r="O820" s="19"/>
    </row>
    <row r="821" spans="15:15" ht="14.25" customHeight="1">
      <c r="O821" s="19"/>
    </row>
    <row r="822" spans="15:15" ht="14.25" customHeight="1">
      <c r="O822" s="19"/>
    </row>
    <row r="823" spans="15:15" ht="14.25" customHeight="1">
      <c r="O823" s="19"/>
    </row>
    <row r="824" spans="15:15" ht="14.25" customHeight="1">
      <c r="O824" s="19"/>
    </row>
    <row r="825" spans="15:15" ht="14.25" customHeight="1">
      <c r="O825" s="19"/>
    </row>
    <row r="826" spans="15:15" ht="14.25" customHeight="1">
      <c r="O826" s="19"/>
    </row>
    <row r="827" spans="15:15" ht="14.25" customHeight="1">
      <c r="O827" s="19"/>
    </row>
    <row r="828" spans="15:15" ht="14.25" customHeight="1">
      <c r="O828" s="19"/>
    </row>
    <row r="829" spans="15:15" ht="14.25" customHeight="1">
      <c r="O829" s="19"/>
    </row>
    <row r="830" spans="15:15" ht="14.25" customHeight="1">
      <c r="O830" s="19"/>
    </row>
    <row r="831" spans="15:15" ht="14.25" customHeight="1">
      <c r="O831" s="19"/>
    </row>
    <row r="832" spans="15:15" ht="14.25" customHeight="1">
      <c r="O832" s="19"/>
    </row>
    <row r="833" spans="15:15" ht="14.25" customHeight="1">
      <c r="O833" s="19"/>
    </row>
    <row r="834" spans="15:15" ht="14.25" customHeight="1">
      <c r="O834" s="19"/>
    </row>
    <row r="835" spans="15:15" ht="14.25" customHeight="1">
      <c r="O835" s="19"/>
    </row>
    <row r="836" spans="15:15" ht="14.25" customHeight="1">
      <c r="O836" s="19"/>
    </row>
    <row r="837" spans="15:15" ht="14.25" customHeight="1">
      <c r="O837" s="19"/>
    </row>
    <row r="838" spans="15:15" ht="14.25" customHeight="1">
      <c r="O838" s="19"/>
    </row>
    <row r="839" spans="15:15" ht="14.25" customHeight="1">
      <c r="O839" s="19"/>
    </row>
    <row r="840" spans="15:15" ht="14.25" customHeight="1">
      <c r="O840" s="19"/>
    </row>
    <row r="841" spans="15:15" ht="14.25" customHeight="1">
      <c r="O841" s="19"/>
    </row>
    <row r="842" spans="15:15" ht="14.25" customHeight="1">
      <c r="O842" s="19"/>
    </row>
    <row r="843" spans="15:15" ht="14.25" customHeight="1">
      <c r="O843" s="19"/>
    </row>
    <row r="844" spans="15:15" ht="14.25" customHeight="1">
      <c r="O844" s="19"/>
    </row>
    <row r="845" spans="15:15" ht="14.25" customHeight="1">
      <c r="O845" s="19"/>
    </row>
    <row r="846" spans="15:15" ht="14.25" customHeight="1">
      <c r="O846" s="19"/>
    </row>
    <row r="847" spans="15:15" ht="14.25" customHeight="1">
      <c r="O847" s="19"/>
    </row>
    <row r="848" spans="15:15" ht="14.25" customHeight="1">
      <c r="O848" s="19"/>
    </row>
    <row r="849" spans="15:15" ht="14.25" customHeight="1">
      <c r="O849" s="19"/>
    </row>
    <row r="850" spans="15:15" ht="14.25" customHeight="1">
      <c r="O850" s="19"/>
    </row>
    <row r="851" spans="15:15" ht="14.25" customHeight="1">
      <c r="O851" s="19"/>
    </row>
    <row r="852" spans="15:15" ht="14.25" customHeight="1">
      <c r="O852" s="19"/>
    </row>
    <row r="853" spans="15:15" ht="14.25" customHeight="1">
      <c r="O853" s="19"/>
    </row>
    <row r="854" spans="15:15" ht="14.25" customHeight="1">
      <c r="O854" s="19"/>
    </row>
    <row r="855" spans="15:15" ht="14.25" customHeight="1">
      <c r="O855" s="19"/>
    </row>
    <row r="856" spans="15:15" ht="14.25" customHeight="1">
      <c r="O856" s="19"/>
    </row>
    <row r="857" spans="15:15" ht="14.25" customHeight="1">
      <c r="O857" s="19"/>
    </row>
    <row r="858" spans="15:15" ht="14.25" customHeight="1">
      <c r="O858" s="19"/>
    </row>
    <row r="859" spans="15:15" ht="14.25" customHeight="1">
      <c r="O859" s="19"/>
    </row>
    <row r="860" spans="15:15" ht="14.25" customHeight="1">
      <c r="O860" s="19"/>
    </row>
    <row r="861" spans="15:15" ht="14.25" customHeight="1">
      <c r="O861" s="19"/>
    </row>
    <row r="862" spans="15:15" ht="14.25" customHeight="1">
      <c r="O862" s="19"/>
    </row>
    <row r="863" spans="15:15" ht="14.25" customHeight="1">
      <c r="O863" s="19"/>
    </row>
    <row r="864" spans="15:15" ht="14.25" customHeight="1">
      <c r="O864" s="19"/>
    </row>
    <row r="865" spans="15:15" ht="14.25" customHeight="1">
      <c r="O865" s="19"/>
    </row>
    <row r="866" spans="15:15" ht="14.25" customHeight="1">
      <c r="O866" s="19"/>
    </row>
    <row r="867" spans="15:15" ht="14.25" customHeight="1">
      <c r="O867" s="19"/>
    </row>
    <row r="868" spans="15:15" ht="14.25" customHeight="1">
      <c r="O868" s="19"/>
    </row>
    <row r="869" spans="15:15" ht="14.25" customHeight="1">
      <c r="O869" s="19"/>
    </row>
    <row r="870" spans="15:15" ht="14.25" customHeight="1">
      <c r="O870" s="19"/>
    </row>
    <row r="871" spans="15:15" ht="14.25" customHeight="1">
      <c r="O871" s="19"/>
    </row>
    <row r="872" spans="15:15" ht="14.25" customHeight="1">
      <c r="O872" s="19"/>
    </row>
    <row r="873" spans="15:15" ht="14.25" customHeight="1">
      <c r="O873" s="19"/>
    </row>
    <row r="874" spans="15:15" ht="14.25" customHeight="1">
      <c r="O874" s="19"/>
    </row>
    <row r="875" spans="15:15" ht="14.25" customHeight="1">
      <c r="O875" s="19"/>
    </row>
    <row r="876" spans="15:15" ht="14.25" customHeight="1">
      <c r="O876" s="19"/>
    </row>
    <row r="877" spans="15:15" ht="14.25" customHeight="1">
      <c r="O877" s="19"/>
    </row>
    <row r="878" spans="15:15" ht="14.25" customHeight="1">
      <c r="O878" s="19"/>
    </row>
    <row r="879" spans="15:15" ht="14.25" customHeight="1">
      <c r="O879" s="19"/>
    </row>
    <row r="880" spans="15:15" ht="14.25" customHeight="1">
      <c r="O880" s="19"/>
    </row>
    <row r="881" spans="15:15" ht="14.25" customHeight="1">
      <c r="O881" s="19"/>
    </row>
    <row r="882" spans="15:15" ht="14.25" customHeight="1">
      <c r="O882" s="19"/>
    </row>
    <row r="883" spans="15:15" ht="14.25" customHeight="1">
      <c r="O883" s="19"/>
    </row>
    <row r="884" spans="15:15" ht="14.25" customHeight="1">
      <c r="O884" s="19"/>
    </row>
    <row r="885" spans="15:15" ht="14.25" customHeight="1">
      <c r="O885" s="19"/>
    </row>
    <row r="886" spans="15:15" ht="14.25" customHeight="1">
      <c r="O886" s="19"/>
    </row>
    <row r="887" spans="15:15" ht="14.25" customHeight="1">
      <c r="O887" s="19"/>
    </row>
    <row r="888" spans="15:15" ht="14.25" customHeight="1">
      <c r="O888" s="19"/>
    </row>
    <row r="889" spans="15:15" ht="14.25" customHeight="1">
      <c r="O889" s="19"/>
    </row>
    <row r="890" spans="15:15" ht="14.25" customHeight="1">
      <c r="O890" s="19"/>
    </row>
    <row r="891" spans="15:15" ht="14.25" customHeight="1">
      <c r="O891" s="19"/>
    </row>
    <row r="892" spans="15:15" ht="14.25" customHeight="1">
      <c r="O892" s="19"/>
    </row>
    <row r="893" spans="15:15" ht="14.25" customHeight="1">
      <c r="O893" s="19"/>
    </row>
    <row r="894" spans="15:15" ht="14.25" customHeight="1">
      <c r="O894" s="19"/>
    </row>
    <row r="895" spans="15:15" ht="14.25" customHeight="1">
      <c r="O895" s="19"/>
    </row>
    <row r="896" spans="15:15" ht="14.25" customHeight="1">
      <c r="O896" s="19"/>
    </row>
    <row r="897" spans="15:15" ht="14.25" customHeight="1">
      <c r="O897" s="19"/>
    </row>
    <row r="898" spans="15:15" ht="14.25" customHeight="1">
      <c r="O898" s="19"/>
    </row>
    <row r="899" spans="15:15" ht="14.25" customHeight="1">
      <c r="O899" s="19"/>
    </row>
    <row r="900" spans="15:15" ht="14.25" customHeight="1">
      <c r="O900" s="19"/>
    </row>
    <row r="901" spans="15:15" ht="14.25" customHeight="1">
      <c r="O901" s="19"/>
    </row>
    <row r="902" spans="15:15" ht="14.25" customHeight="1">
      <c r="O902" s="19"/>
    </row>
    <row r="903" spans="15:15" ht="14.25" customHeight="1">
      <c r="O903" s="19"/>
    </row>
    <row r="904" spans="15:15" ht="14.25" customHeight="1">
      <c r="O904" s="19"/>
    </row>
    <row r="905" spans="15:15" ht="14.25" customHeight="1">
      <c r="O905" s="19"/>
    </row>
    <row r="906" spans="15:15" ht="14.25" customHeight="1">
      <c r="O906" s="19"/>
    </row>
    <row r="907" spans="15:15" ht="14.25" customHeight="1">
      <c r="O907" s="19"/>
    </row>
    <row r="908" spans="15:15" ht="14.25" customHeight="1">
      <c r="O908" s="19"/>
    </row>
    <row r="909" spans="15:15" ht="14.25" customHeight="1">
      <c r="O909" s="19"/>
    </row>
    <row r="910" spans="15:15" ht="14.25" customHeight="1">
      <c r="O910" s="19"/>
    </row>
    <row r="911" spans="15:15" ht="14.25" customHeight="1">
      <c r="O911" s="19"/>
    </row>
    <row r="912" spans="15:15" ht="14.25" customHeight="1">
      <c r="O912" s="19"/>
    </row>
    <row r="913" spans="15:15" ht="14.25" customHeight="1">
      <c r="O913" s="19"/>
    </row>
    <row r="914" spans="15:15" ht="14.25" customHeight="1">
      <c r="O914" s="19"/>
    </row>
    <row r="915" spans="15:15" ht="14.25" customHeight="1">
      <c r="O915" s="19"/>
    </row>
    <row r="916" spans="15:15" ht="14.25" customHeight="1">
      <c r="O916" s="19"/>
    </row>
    <row r="917" spans="15:15" ht="14.25" customHeight="1">
      <c r="O917" s="19"/>
    </row>
    <row r="918" spans="15:15" ht="14.25" customHeight="1">
      <c r="O918" s="19"/>
    </row>
    <row r="919" spans="15:15" ht="14.25" customHeight="1">
      <c r="O919" s="19"/>
    </row>
    <row r="920" spans="15:15" ht="14.25" customHeight="1">
      <c r="O920" s="19"/>
    </row>
    <row r="921" spans="15:15" ht="14.25" customHeight="1">
      <c r="O921" s="19"/>
    </row>
    <row r="922" spans="15:15" ht="14.25" customHeight="1">
      <c r="O922" s="19"/>
    </row>
    <row r="923" spans="15:15" ht="14.25" customHeight="1">
      <c r="O923" s="19"/>
    </row>
    <row r="924" spans="15:15" ht="14.25" customHeight="1">
      <c r="O924" s="19"/>
    </row>
    <row r="925" spans="15:15" ht="14.25" customHeight="1">
      <c r="O925" s="19"/>
    </row>
    <row r="926" spans="15:15" ht="14.25" customHeight="1">
      <c r="O926" s="19"/>
    </row>
    <row r="927" spans="15:15" ht="14.25" customHeight="1">
      <c r="O927" s="19"/>
    </row>
    <row r="928" spans="15:15" ht="14.25" customHeight="1">
      <c r="O928" s="19"/>
    </row>
    <row r="929" spans="15:15" ht="14.25" customHeight="1">
      <c r="O929" s="19"/>
    </row>
    <row r="930" spans="15:15" ht="14.25" customHeight="1">
      <c r="O930" s="19"/>
    </row>
    <row r="931" spans="15:15" ht="14.25" customHeight="1">
      <c r="O931" s="19"/>
    </row>
    <row r="932" spans="15:15" ht="14.25" customHeight="1">
      <c r="O932" s="19"/>
    </row>
    <row r="933" spans="15:15" ht="14.25" customHeight="1">
      <c r="O933" s="19"/>
    </row>
    <row r="934" spans="15:15" ht="14.25" customHeight="1">
      <c r="O934" s="19"/>
    </row>
    <row r="935" spans="15:15" ht="14.25" customHeight="1">
      <c r="O935" s="19"/>
    </row>
    <row r="936" spans="15:15" ht="14.25" customHeight="1">
      <c r="O936" s="19"/>
    </row>
    <row r="937" spans="15:15" ht="14.25" customHeight="1">
      <c r="O937" s="19"/>
    </row>
    <row r="938" spans="15:15" ht="14.25" customHeight="1">
      <c r="O938" s="19"/>
    </row>
    <row r="939" spans="15:15" ht="14.25" customHeight="1">
      <c r="O939" s="19"/>
    </row>
    <row r="940" spans="15:15" ht="14.25" customHeight="1">
      <c r="O940" s="19"/>
    </row>
    <row r="941" spans="15:15" ht="14.25" customHeight="1">
      <c r="O941" s="19"/>
    </row>
    <row r="942" spans="15:15" ht="14.25" customHeight="1">
      <c r="O942" s="19"/>
    </row>
    <row r="943" spans="15:15" ht="14.25" customHeight="1">
      <c r="O943" s="19"/>
    </row>
    <row r="944" spans="15:15" ht="14.25" customHeight="1">
      <c r="O944" s="19"/>
    </row>
    <row r="945" spans="15:15" ht="14.25" customHeight="1">
      <c r="O945" s="19"/>
    </row>
    <row r="946" spans="15:15" ht="14.25" customHeight="1">
      <c r="O946" s="19"/>
    </row>
    <row r="947" spans="15:15" ht="14.25" customHeight="1">
      <c r="O947" s="19"/>
    </row>
    <row r="948" spans="15:15" ht="14.25" customHeight="1">
      <c r="O948" s="19"/>
    </row>
    <row r="949" spans="15:15" ht="14.25" customHeight="1">
      <c r="O949" s="19"/>
    </row>
    <row r="950" spans="15:15" ht="14.25" customHeight="1">
      <c r="O950" s="19"/>
    </row>
    <row r="951" spans="15:15" ht="14.25" customHeight="1">
      <c r="O951" s="19"/>
    </row>
    <row r="952" spans="15:15" ht="14.25" customHeight="1">
      <c r="O952" s="19"/>
    </row>
    <row r="953" spans="15:15" ht="14.25" customHeight="1">
      <c r="O953" s="19"/>
    </row>
    <row r="954" spans="15:15" ht="14.25" customHeight="1">
      <c r="O954" s="19"/>
    </row>
    <row r="955" spans="15:15" ht="14.25" customHeight="1">
      <c r="O955" s="19"/>
    </row>
    <row r="956" spans="15:15" ht="14.25" customHeight="1">
      <c r="O956" s="19"/>
    </row>
    <row r="957" spans="15:15" ht="14.25" customHeight="1">
      <c r="O957" s="19"/>
    </row>
    <row r="958" spans="15:15" ht="14.25" customHeight="1">
      <c r="O958" s="19"/>
    </row>
    <row r="959" spans="15:15" ht="14.25" customHeight="1">
      <c r="O959" s="19"/>
    </row>
    <row r="960" spans="15:15" ht="14.25" customHeight="1">
      <c r="O960" s="19"/>
    </row>
    <row r="961" spans="15:15" ht="14.25" customHeight="1">
      <c r="O961" s="19"/>
    </row>
    <row r="962" spans="15:15" ht="14.25" customHeight="1">
      <c r="O962" s="19"/>
    </row>
    <row r="963" spans="15:15" ht="14.25" customHeight="1">
      <c r="O963" s="19"/>
    </row>
    <row r="964" spans="15:15" ht="14.25" customHeight="1">
      <c r="O964" s="19"/>
    </row>
    <row r="965" spans="15:15" ht="14.25" customHeight="1">
      <c r="O965" s="19"/>
    </row>
    <row r="966" spans="15:15" ht="14.25" customHeight="1">
      <c r="O966" s="19"/>
    </row>
    <row r="967" spans="15:15" ht="14.25" customHeight="1">
      <c r="O967" s="19"/>
    </row>
    <row r="968" spans="15:15" ht="14.25" customHeight="1">
      <c r="O968" s="19"/>
    </row>
    <row r="969" spans="15:15" ht="14.25" customHeight="1">
      <c r="O969" s="19"/>
    </row>
    <row r="970" spans="15:15" ht="14.25" customHeight="1">
      <c r="O970" s="19"/>
    </row>
    <row r="971" spans="15:15" ht="14.25" customHeight="1">
      <c r="O971" s="19"/>
    </row>
    <row r="972" spans="15:15" ht="14.25" customHeight="1">
      <c r="O972" s="19"/>
    </row>
    <row r="973" spans="15:15" ht="14.25" customHeight="1">
      <c r="O973" s="19"/>
    </row>
    <row r="974" spans="15:15" ht="14.25" customHeight="1">
      <c r="O974" s="19"/>
    </row>
    <row r="975" spans="15:15" ht="14.25" customHeight="1">
      <c r="O975" s="19"/>
    </row>
    <row r="976" spans="15:15" ht="14.25" customHeight="1">
      <c r="O976" s="19"/>
    </row>
    <row r="977" spans="15:15" ht="14.25" customHeight="1">
      <c r="O977" s="19"/>
    </row>
    <row r="978" spans="15:15" ht="14.25" customHeight="1">
      <c r="O978" s="19"/>
    </row>
    <row r="979" spans="15:15" ht="14.25" customHeight="1">
      <c r="O979" s="19"/>
    </row>
    <row r="980" spans="15:15" ht="14.25" customHeight="1">
      <c r="O980" s="19"/>
    </row>
    <row r="981" spans="15:15" ht="14.25" customHeight="1">
      <c r="O981" s="19"/>
    </row>
    <row r="982" spans="15:15" ht="14.25" customHeight="1">
      <c r="O982" s="19"/>
    </row>
    <row r="983" spans="15:15" ht="14.25" customHeight="1">
      <c r="O983" s="19"/>
    </row>
    <row r="984" spans="15:15" ht="14.25" customHeight="1">
      <c r="O984" s="19"/>
    </row>
    <row r="985" spans="15:15" ht="14.25" customHeight="1">
      <c r="O985" s="19"/>
    </row>
    <row r="986" spans="15:15" ht="14.25" customHeight="1">
      <c r="O986" s="19"/>
    </row>
    <row r="987" spans="15:15" ht="14.25" customHeight="1">
      <c r="O987" s="19"/>
    </row>
    <row r="988" spans="15:15" ht="14.25" customHeight="1">
      <c r="O988" s="19"/>
    </row>
    <row r="989" spans="15:15" ht="14.25" customHeight="1">
      <c r="O989" s="19"/>
    </row>
    <row r="990" spans="15:15" ht="14.25" customHeight="1">
      <c r="O990" s="19"/>
    </row>
    <row r="991" spans="15:15" ht="14.25" customHeight="1">
      <c r="O991" s="19"/>
    </row>
    <row r="992" spans="15:15" ht="14.25" customHeight="1">
      <c r="O992" s="19"/>
    </row>
    <row r="993" spans="15:15" ht="14.25" customHeight="1">
      <c r="O993" s="19"/>
    </row>
    <row r="994" spans="15:15" ht="14.25" customHeight="1">
      <c r="O994" s="19"/>
    </row>
    <row r="995" spans="15:15" ht="14.25" customHeight="1">
      <c r="O995" s="19"/>
    </row>
    <row r="996" spans="15:15" ht="14.25" customHeight="1">
      <c r="O996" s="19"/>
    </row>
    <row r="997" spans="15:15" ht="14.25" customHeight="1">
      <c r="O997" s="19"/>
    </row>
    <row r="998" spans="15:15" ht="14.25" customHeight="1">
      <c r="O998" s="19"/>
    </row>
  </sheetData>
  <pageMargins left="0.7" right="0.7" top="0.75" bottom="0.75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00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44140625" defaultRowHeight="15" customHeight="1"/>
  <cols>
    <col min="1" max="1" width="35.6640625" customWidth="1"/>
    <col min="2" max="2" width="10.6640625" customWidth="1"/>
    <col min="3" max="3" width="22.88671875" customWidth="1"/>
    <col min="4" max="5" width="10.6640625" customWidth="1"/>
    <col min="6" max="6" width="12.33203125" customWidth="1"/>
    <col min="7" max="7" width="16.88671875" customWidth="1"/>
    <col min="8" max="8" width="28.109375" customWidth="1"/>
    <col min="9" max="9" width="23" customWidth="1"/>
    <col min="10" max="10" width="28.5546875" customWidth="1"/>
  </cols>
  <sheetData>
    <row r="1" spans="1:10" ht="14.25" customHeight="1">
      <c r="A1" s="4" t="s">
        <v>379</v>
      </c>
      <c r="B1" s="4" t="s">
        <v>380</v>
      </c>
      <c r="C1" s="4" t="s">
        <v>381</v>
      </c>
      <c r="D1" s="4" t="s">
        <v>10</v>
      </c>
      <c r="E1" s="4" t="s">
        <v>18</v>
      </c>
      <c r="F1" s="4" t="s">
        <v>382</v>
      </c>
      <c r="G1" s="4" t="s">
        <v>383</v>
      </c>
      <c r="H1" s="4" t="s">
        <v>384</v>
      </c>
      <c r="I1" s="4" t="s">
        <v>385</v>
      </c>
      <c r="J1" s="4" t="s">
        <v>386</v>
      </c>
    </row>
    <row r="2" spans="1:10" ht="14.25" customHeight="1">
      <c r="A2" s="4" t="s">
        <v>387</v>
      </c>
      <c r="B2" s="4" t="s">
        <v>388</v>
      </c>
      <c r="C2" s="4" t="s">
        <v>389</v>
      </c>
      <c r="D2" s="4" t="s">
        <v>390</v>
      </c>
      <c r="E2" s="4" t="s">
        <v>391</v>
      </c>
      <c r="F2" s="4" t="s">
        <v>392</v>
      </c>
      <c r="G2" s="4" t="s">
        <v>393</v>
      </c>
      <c r="H2" s="4" t="s">
        <v>394</v>
      </c>
      <c r="I2" s="4" t="s">
        <v>395</v>
      </c>
      <c r="J2" s="4" t="s">
        <v>396</v>
      </c>
    </row>
    <row r="3" spans="1:10" ht="14.25" customHeight="1">
      <c r="A3" s="4" t="s">
        <v>397</v>
      </c>
      <c r="B3" s="4" t="s">
        <v>398</v>
      </c>
      <c r="C3" s="4" t="s">
        <v>399</v>
      </c>
      <c r="D3" s="4" t="s">
        <v>400</v>
      </c>
      <c r="E3" s="4" t="s">
        <v>401</v>
      </c>
      <c r="F3" s="4" t="s">
        <v>402</v>
      </c>
      <c r="G3" s="4" t="s">
        <v>403</v>
      </c>
      <c r="H3" s="4" t="s">
        <v>404</v>
      </c>
      <c r="I3" s="4" t="s">
        <v>138</v>
      </c>
      <c r="J3" s="4" t="s">
        <v>405</v>
      </c>
    </row>
    <row r="4" spans="1:10" ht="14.25" customHeight="1">
      <c r="A4" s="4" t="s">
        <v>84</v>
      </c>
      <c r="B4" s="4" t="s">
        <v>406</v>
      </c>
      <c r="C4" s="4" t="s">
        <v>407</v>
      </c>
      <c r="D4" s="4" t="s">
        <v>408</v>
      </c>
      <c r="E4" s="4" t="s">
        <v>409</v>
      </c>
      <c r="F4" s="4" t="s">
        <v>410</v>
      </c>
      <c r="G4" s="4" t="s">
        <v>411</v>
      </c>
      <c r="H4" s="4" t="s">
        <v>85</v>
      </c>
      <c r="I4" s="4" t="s">
        <v>412</v>
      </c>
      <c r="J4" s="4" t="s">
        <v>413</v>
      </c>
    </row>
    <row r="5" spans="1:10" ht="14.25" customHeight="1">
      <c r="A5" s="4" t="s">
        <v>414</v>
      </c>
      <c r="B5" s="4" t="s">
        <v>415</v>
      </c>
      <c r="C5" s="4" t="s">
        <v>416</v>
      </c>
      <c r="E5" s="4" t="s">
        <v>21</v>
      </c>
      <c r="F5" s="4" t="s">
        <v>417</v>
      </c>
      <c r="G5" s="4" t="s">
        <v>418</v>
      </c>
      <c r="H5" s="4" t="s">
        <v>419</v>
      </c>
      <c r="I5" s="4" t="s">
        <v>420</v>
      </c>
    </row>
    <row r="6" spans="1:10" ht="14.25" customHeight="1">
      <c r="A6" s="4" t="s">
        <v>421</v>
      </c>
      <c r="C6" s="4" t="s">
        <v>422</v>
      </c>
      <c r="G6" s="4" t="s">
        <v>423</v>
      </c>
      <c r="H6" s="4" t="s">
        <v>230</v>
      </c>
      <c r="I6" s="4" t="s">
        <v>424</v>
      </c>
    </row>
    <row r="7" spans="1:10" ht="14.25" customHeight="1">
      <c r="A7" s="4" t="s">
        <v>425</v>
      </c>
      <c r="G7" s="4" t="s">
        <v>426</v>
      </c>
      <c r="H7" s="4" t="s">
        <v>427</v>
      </c>
      <c r="I7" s="4" t="s">
        <v>428</v>
      </c>
    </row>
    <row r="8" spans="1:10" ht="14.25" customHeight="1">
      <c r="A8" s="4" t="s">
        <v>429</v>
      </c>
      <c r="H8" s="4" t="s">
        <v>430</v>
      </c>
      <c r="I8" s="4" t="s">
        <v>431</v>
      </c>
    </row>
    <row r="9" spans="1:10" ht="14.25" customHeight="1">
      <c r="A9" s="4" t="s">
        <v>432</v>
      </c>
      <c r="H9" s="4" t="s">
        <v>433</v>
      </c>
      <c r="I9" s="4" t="s">
        <v>434</v>
      </c>
    </row>
    <row r="10" spans="1:10" ht="14.25" customHeight="1">
      <c r="A10" s="4" t="s">
        <v>435</v>
      </c>
      <c r="H10" s="4" t="s">
        <v>436</v>
      </c>
      <c r="I10" s="4" t="s">
        <v>437</v>
      </c>
    </row>
    <row r="11" spans="1:10" ht="14.25" customHeight="1">
      <c r="A11" s="4" t="s">
        <v>438</v>
      </c>
      <c r="H11" s="4" t="s">
        <v>439</v>
      </c>
      <c r="I11" s="4" t="s">
        <v>440</v>
      </c>
    </row>
    <row r="12" spans="1:10" ht="14.25" customHeight="1">
      <c r="A12" s="4" t="s">
        <v>441</v>
      </c>
      <c r="H12" s="4" t="s">
        <v>442</v>
      </c>
      <c r="I12" s="4" t="s">
        <v>443</v>
      </c>
    </row>
    <row r="13" spans="1:10" ht="14.25" customHeight="1">
      <c r="A13" s="4" t="s">
        <v>444</v>
      </c>
      <c r="H13" s="4" t="s">
        <v>445</v>
      </c>
      <c r="I13" s="4" t="s">
        <v>446</v>
      </c>
    </row>
    <row r="14" spans="1:10" ht="14.25" customHeight="1">
      <c r="A14" s="4" t="s">
        <v>447</v>
      </c>
      <c r="H14" s="4" t="s">
        <v>145</v>
      </c>
      <c r="I14" s="4" t="s">
        <v>448</v>
      </c>
    </row>
    <row r="15" spans="1:10" ht="14.25" customHeight="1">
      <c r="A15" s="4" t="s">
        <v>449</v>
      </c>
      <c r="H15" s="4" t="s">
        <v>450</v>
      </c>
      <c r="I15" s="4" t="s">
        <v>451</v>
      </c>
    </row>
    <row r="16" spans="1:10" ht="14.25" customHeight="1">
      <c r="A16" s="4" t="s">
        <v>100</v>
      </c>
      <c r="I16" s="4" t="s">
        <v>248</v>
      </c>
    </row>
    <row r="17" spans="1:9" ht="14.25" customHeight="1">
      <c r="A17" s="4"/>
      <c r="I17" s="4" t="s">
        <v>452</v>
      </c>
    </row>
    <row r="18" spans="1:9" ht="14.25" customHeight="1">
      <c r="A18" s="4"/>
      <c r="I18" s="4" t="s">
        <v>453</v>
      </c>
    </row>
    <row r="19" spans="1:9" ht="14.25" customHeight="1">
      <c r="A19" s="4"/>
      <c r="I19" s="4" t="s">
        <v>454</v>
      </c>
    </row>
    <row r="20" spans="1:9" ht="14.25" customHeight="1">
      <c r="A20" s="4"/>
      <c r="I20" s="4" t="s">
        <v>190</v>
      </c>
    </row>
    <row r="21" spans="1:9" ht="14.25" customHeight="1">
      <c r="I21" s="4" t="s">
        <v>455</v>
      </c>
    </row>
    <row r="22" spans="1:9" ht="14.25" customHeight="1">
      <c r="I22" s="4" t="s">
        <v>456</v>
      </c>
    </row>
    <row r="23" spans="1:9" ht="14.25" customHeight="1">
      <c r="I23" s="4" t="s">
        <v>457</v>
      </c>
    </row>
    <row r="24" spans="1:9" ht="14.25" customHeight="1">
      <c r="I24" s="4" t="s">
        <v>458</v>
      </c>
    </row>
    <row r="25" spans="1:9" ht="14.25" customHeight="1">
      <c r="I25" s="4" t="s">
        <v>459</v>
      </c>
    </row>
    <row r="26" spans="1:9" ht="14.25" customHeight="1">
      <c r="I26" s="4" t="s">
        <v>460</v>
      </c>
    </row>
    <row r="27" spans="1:9" ht="14.25" customHeight="1">
      <c r="I27" s="4" t="s">
        <v>461</v>
      </c>
    </row>
    <row r="28" spans="1:9" ht="14.25" customHeight="1">
      <c r="I28" s="4" t="s">
        <v>462</v>
      </c>
    </row>
    <row r="29" spans="1:9" ht="14.25" customHeight="1">
      <c r="I29" s="4" t="s">
        <v>102</v>
      </c>
    </row>
    <row r="30" spans="1:9" ht="14.25" customHeight="1">
      <c r="I30" s="4" t="s">
        <v>217</v>
      </c>
    </row>
    <row r="31" spans="1:9" ht="14.25" customHeight="1">
      <c r="I31" s="4" t="s">
        <v>463</v>
      </c>
    </row>
    <row r="32" spans="1:9" ht="14.25" customHeight="1">
      <c r="I32" s="4" t="s">
        <v>464</v>
      </c>
    </row>
    <row r="33" spans="9:9" ht="14.25" customHeight="1">
      <c r="I33" s="4" t="s">
        <v>465</v>
      </c>
    </row>
    <row r="34" spans="9:9" ht="14.25" customHeight="1">
      <c r="I34" s="4" t="s">
        <v>466</v>
      </c>
    </row>
    <row r="35" spans="9:9" ht="14.25" customHeight="1">
      <c r="I35" s="4" t="s">
        <v>467</v>
      </c>
    </row>
    <row r="36" spans="9:9" ht="14.25" customHeight="1">
      <c r="I36" s="4" t="s">
        <v>468</v>
      </c>
    </row>
    <row r="37" spans="9:9" ht="14.25" customHeight="1">
      <c r="I37" s="4" t="s">
        <v>469</v>
      </c>
    </row>
    <row r="38" spans="9:9" ht="14.25" customHeight="1">
      <c r="I38" s="4" t="s">
        <v>255</v>
      </c>
    </row>
    <row r="39" spans="9:9" ht="14.25" customHeight="1">
      <c r="I39" s="4" t="s">
        <v>470</v>
      </c>
    </row>
    <row r="40" spans="9:9" ht="14.25" customHeight="1">
      <c r="I40" s="4" t="s">
        <v>471</v>
      </c>
    </row>
    <row r="41" spans="9:9" ht="14.25" customHeight="1">
      <c r="I41" s="4" t="s">
        <v>472</v>
      </c>
    </row>
    <row r="42" spans="9:9" ht="14.25" customHeight="1">
      <c r="I42" s="4" t="s">
        <v>86</v>
      </c>
    </row>
    <row r="43" spans="9:9" ht="14.25" customHeight="1">
      <c r="I43" s="4" t="s">
        <v>473</v>
      </c>
    </row>
    <row r="44" spans="9:9" ht="14.25" customHeight="1">
      <c r="I44" s="4" t="s">
        <v>474</v>
      </c>
    </row>
    <row r="45" spans="9:9" ht="14.25" customHeight="1">
      <c r="I45" s="4" t="s">
        <v>475</v>
      </c>
    </row>
    <row r="46" spans="9:9" ht="14.25" customHeight="1">
      <c r="I46" s="4" t="s">
        <v>476</v>
      </c>
    </row>
    <row r="47" spans="9:9" ht="14.25" customHeight="1">
      <c r="I47" s="4" t="s">
        <v>477</v>
      </c>
    </row>
    <row r="48" spans="9:9" ht="14.25" customHeight="1">
      <c r="I48" s="4" t="s">
        <v>478</v>
      </c>
    </row>
    <row r="49" spans="9:9" ht="14.25" customHeight="1">
      <c r="I49" s="4" t="s">
        <v>479</v>
      </c>
    </row>
    <row r="50" spans="9:9" ht="14.25" customHeight="1">
      <c r="I50" s="4" t="s">
        <v>480</v>
      </c>
    </row>
    <row r="51" spans="9:9" ht="14.25" customHeight="1">
      <c r="I51" s="4" t="s">
        <v>481</v>
      </c>
    </row>
    <row r="52" spans="9:9" ht="14.25" customHeight="1">
      <c r="I52" s="4" t="s">
        <v>482</v>
      </c>
    </row>
    <row r="53" spans="9:9" ht="14.25" customHeight="1">
      <c r="I53" s="4" t="s">
        <v>483</v>
      </c>
    </row>
    <row r="54" spans="9:9" ht="14.25" customHeight="1"/>
    <row r="55" spans="9:9" ht="14.25" customHeight="1"/>
    <row r="56" spans="9:9" ht="14.25" customHeight="1"/>
    <row r="57" spans="9:9" ht="14.25" customHeight="1"/>
    <row r="58" spans="9:9" ht="14.25" customHeight="1"/>
    <row r="59" spans="9:9" ht="14.25" customHeight="1"/>
    <row r="60" spans="9:9" ht="14.25" customHeight="1"/>
    <row r="61" spans="9:9" ht="14.25" customHeight="1"/>
    <row r="62" spans="9:9" ht="14.25" customHeight="1"/>
    <row r="63" spans="9:9" ht="14.25" customHeight="1"/>
    <row r="64" spans="9:9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pane ySplit="3" topLeftCell="A4" activePane="bottomLeft" state="frozen"/>
      <selection pane="bottomLeft" activeCell="B5" sqref="B5"/>
    </sheetView>
  </sheetViews>
  <sheetFormatPr baseColWidth="10" defaultColWidth="14.44140625" defaultRowHeight="15" customHeight="1"/>
  <cols>
    <col min="1" max="2" width="7.5546875" customWidth="1"/>
    <col min="3" max="4" width="6.33203125" customWidth="1"/>
    <col min="5" max="5" width="22.44140625" customWidth="1"/>
    <col min="6" max="6" width="15.33203125" customWidth="1"/>
    <col min="7" max="7" width="11.33203125" customWidth="1"/>
    <col min="8" max="8" width="9" customWidth="1"/>
    <col min="9" max="9" width="22.44140625" customWidth="1"/>
    <col min="10" max="10" width="17.109375" customWidth="1"/>
    <col min="11" max="11" width="11" customWidth="1"/>
    <col min="12" max="12" width="9" customWidth="1"/>
    <col min="13" max="26" width="10.6640625" customWidth="1"/>
  </cols>
  <sheetData>
    <row r="1" spans="1:26" ht="14.25" customHeight="1">
      <c r="A1" s="4" t="s">
        <v>484</v>
      </c>
      <c r="B1" s="4"/>
      <c r="C1" s="4">
        <v>1000</v>
      </c>
      <c r="D1" s="4"/>
      <c r="E1" s="4" t="s">
        <v>485</v>
      </c>
      <c r="F1" s="4" t="s">
        <v>486</v>
      </c>
      <c r="G1" s="4" t="s">
        <v>487</v>
      </c>
      <c r="H1" s="4"/>
      <c r="I1" s="4" t="s">
        <v>488</v>
      </c>
      <c r="J1" s="4" t="s">
        <v>489</v>
      </c>
      <c r="K1" s="4" t="s">
        <v>490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25" customHeight="1">
      <c r="A2" s="4" t="s">
        <v>491</v>
      </c>
      <c r="B2" s="4"/>
      <c r="C2" s="4">
        <v>0.05</v>
      </c>
      <c r="D2" s="4"/>
      <c r="E2" s="4" t="s">
        <v>485</v>
      </c>
      <c r="F2" s="4" t="s">
        <v>492</v>
      </c>
      <c r="G2" s="4" t="s">
        <v>487</v>
      </c>
      <c r="H2" s="4"/>
      <c r="I2" s="4" t="s">
        <v>488</v>
      </c>
      <c r="J2" s="4" t="s">
        <v>493</v>
      </c>
      <c r="K2" s="4" t="s">
        <v>490</v>
      </c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4.25" customHeight="1">
      <c r="A3" s="4" t="s">
        <v>494</v>
      </c>
      <c r="B3" s="4" t="s">
        <v>495</v>
      </c>
      <c r="C3" s="4" t="s">
        <v>496</v>
      </c>
      <c r="D3" s="4" t="s">
        <v>497</v>
      </c>
      <c r="E3" s="4" t="s">
        <v>498</v>
      </c>
      <c r="F3" s="4" t="s">
        <v>499</v>
      </c>
      <c r="G3" s="4" t="s">
        <v>500</v>
      </c>
      <c r="H3" s="4" t="s">
        <v>501</v>
      </c>
      <c r="I3" s="4" t="s">
        <v>502</v>
      </c>
      <c r="J3" s="4" t="s">
        <v>503</v>
      </c>
      <c r="K3" s="4" t="s">
        <v>504</v>
      </c>
      <c r="L3" s="4" t="s">
        <v>505</v>
      </c>
    </row>
    <row r="4" spans="1:26" ht="14.25" customHeight="1">
      <c r="A4" s="4">
        <v>7</v>
      </c>
      <c r="B4" s="4">
        <v>3</v>
      </c>
      <c r="C4" s="4">
        <v>11</v>
      </c>
      <c r="D4" s="4">
        <v>0</v>
      </c>
      <c r="E4" s="4">
        <f t="shared" ref="E4:E15" si="0">($A4+$B4)/(A4*$C$1)</f>
        <v>1.4285714285714286E-3</v>
      </c>
      <c r="F4" s="4">
        <f t="shared" ref="F4:F15" si="1">IF($A4&gt;$B4,IF($C4&gt;$D4,-$I4*$D4,-($I4*$D4)-(($D4-$C4)*$I4)),IF($C4&gt;$D4,$C4*$E4+(($C4-$D4)*$E4),$C4*$E4))</f>
        <v>0</v>
      </c>
      <c r="G4" s="4">
        <f t="shared" ref="G4:G15" si="2">$C4*$E4/100</f>
        <v>1.5714285714285716E-4</v>
      </c>
      <c r="H4" s="62">
        <f t="shared" ref="H4:H15" si="3">IF($C4&gt;$D4,$C$2,0)+$G4+$F4</f>
        <v>5.0157142857142858E-2</v>
      </c>
      <c r="I4" s="4">
        <f t="shared" ref="I4:I15" si="4">($A4+$B4)/(B4*$C$1)</f>
        <v>3.3333333333333335E-3</v>
      </c>
      <c r="J4" s="4">
        <f t="shared" ref="J4:J15" si="5">IF($B4&gt;$A4,IF($D4&gt;$C4,-$E4*$C4,-($E4*$C4)-(($C4-$D4)*$E4)),IF($D4&gt;$C4,$D4*I4+(($D4-$C4)*$I4),$D4*$I4))</f>
        <v>0</v>
      </c>
      <c r="K4" s="4">
        <f t="shared" ref="K4:K15" si="6">$D4*$I4/100</f>
        <v>0</v>
      </c>
      <c r="L4" s="62">
        <f t="shared" ref="L4:L15" si="7">IF($D4&gt;$C4,$C$2,0)+$K4+$J4</f>
        <v>0</v>
      </c>
    </row>
    <row r="5" spans="1:26" ht="14.25" customHeight="1">
      <c r="A5" s="4">
        <v>7</v>
      </c>
      <c r="B5" s="4">
        <v>3</v>
      </c>
      <c r="C5" s="4">
        <v>11</v>
      </c>
      <c r="D5" s="4">
        <v>9</v>
      </c>
      <c r="E5" s="4">
        <f t="shared" si="0"/>
        <v>1.4285714285714286E-3</v>
      </c>
      <c r="F5" s="4">
        <f t="shared" si="1"/>
        <v>-3.0000000000000002E-2</v>
      </c>
      <c r="G5" s="4">
        <f t="shared" si="2"/>
        <v>1.5714285714285716E-4</v>
      </c>
      <c r="H5" s="62">
        <f t="shared" si="3"/>
        <v>2.0157142857142856E-2</v>
      </c>
      <c r="I5" s="4">
        <f t="shared" si="4"/>
        <v>3.3333333333333335E-3</v>
      </c>
      <c r="J5" s="4">
        <f t="shared" si="5"/>
        <v>3.0000000000000002E-2</v>
      </c>
      <c r="K5" s="4">
        <f t="shared" si="6"/>
        <v>3.0000000000000003E-4</v>
      </c>
      <c r="L5" s="62">
        <f t="shared" si="7"/>
        <v>3.0300000000000004E-2</v>
      </c>
    </row>
    <row r="6" spans="1:26" ht="14.25" customHeight="1">
      <c r="A6" s="4">
        <v>7</v>
      </c>
      <c r="B6" s="4">
        <v>3</v>
      </c>
      <c r="C6" s="4">
        <v>9</v>
      </c>
      <c r="D6" s="4">
        <v>11</v>
      </c>
      <c r="E6" s="4">
        <f t="shared" si="0"/>
        <v>1.4285714285714286E-3</v>
      </c>
      <c r="F6" s="4">
        <f t="shared" si="1"/>
        <v>-4.3333333333333335E-2</v>
      </c>
      <c r="G6" s="4">
        <f t="shared" si="2"/>
        <v>1.2857142857142858E-4</v>
      </c>
      <c r="H6" s="62">
        <f t="shared" si="3"/>
        <v>-4.3204761904761906E-2</v>
      </c>
      <c r="I6" s="4">
        <f t="shared" si="4"/>
        <v>3.3333333333333335E-3</v>
      </c>
      <c r="J6" s="4">
        <f t="shared" si="5"/>
        <v>4.3333333333333335E-2</v>
      </c>
      <c r="K6" s="4">
        <f t="shared" si="6"/>
        <v>3.6666666666666667E-4</v>
      </c>
      <c r="L6" s="62">
        <f t="shared" si="7"/>
        <v>9.3700000000000006E-2</v>
      </c>
    </row>
    <row r="7" spans="1:26" ht="14.25" customHeight="1">
      <c r="A7" s="4">
        <v>7</v>
      </c>
      <c r="B7" s="4">
        <v>3</v>
      </c>
      <c r="C7" s="4">
        <v>0</v>
      </c>
      <c r="D7" s="4">
        <v>11</v>
      </c>
      <c r="E7" s="4">
        <f t="shared" si="0"/>
        <v>1.4285714285714286E-3</v>
      </c>
      <c r="F7" s="4">
        <f t="shared" si="1"/>
        <v>-7.3333333333333334E-2</v>
      </c>
      <c r="G7" s="4">
        <f t="shared" si="2"/>
        <v>0</v>
      </c>
      <c r="H7" s="62">
        <f t="shared" si="3"/>
        <v>-7.3333333333333334E-2</v>
      </c>
      <c r="I7" s="4">
        <f t="shared" si="4"/>
        <v>3.3333333333333335E-3</v>
      </c>
      <c r="J7" s="4">
        <f t="shared" si="5"/>
        <v>7.3333333333333334E-2</v>
      </c>
      <c r="K7" s="4">
        <f t="shared" si="6"/>
        <v>3.6666666666666667E-4</v>
      </c>
      <c r="L7" s="62">
        <f t="shared" si="7"/>
        <v>0.1237</v>
      </c>
    </row>
    <row r="8" spans="1:26" ht="14.25" customHeight="1">
      <c r="A8" s="4">
        <v>3</v>
      </c>
      <c r="B8" s="4">
        <v>7</v>
      </c>
      <c r="C8" s="4">
        <v>11</v>
      </c>
      <c r="D8" s="4">
        <v>0</v>
      </c>
      <c r="E8" s="4">
        <f t="shared" si="0"/>
        <v>3.3333333333333335E-3</v>
      </c>
      <c r="F8" s="4">
        <f t="shared" si="1"/>
        <v>7.3333333333333334E-2</v>
      </c>
      <c r="G8" s="4">
        <f t="shared" si="2"/>
        <v>3.6666666666666667E-4</v>
      </c>
      <c r="H8" s="62">
        <f t="shared" si="3"/>
        <v>0.1237</v>
      </c>
      <c r="I8" s="4">
        <f t="shared" si="4"/>
        <v>1.4285714285714286E-3</v>
      </c>
      <c r="J8" s="4">
        <f t="shared" si="5"/>
        <v>-7.3333333333333334E-2</v>
      </c>
      <c r="K8" s="4">
        <f t="shared" si="6"/>
        <v>0</v>
      </c>
      <c r="L8" s="62">
        <f t="shared" si="7"/>
        <v>-7.3333333333333334E-2</v>
      </c>
    </row>
    <row r="9" spans="1:26" ht="14.25" customHeight="1">
      <c r="A9" s="4">
        <v>3</v>
      </c>
      <c r="B9" s="4">
        <v>7</v>
      </c>
      <c r="C9" s="4">
        <v>11</v>
      </c>
      <c r="D9" s="4">
        <v>9</v>
      </c>
      <c r="E9" s="4">
        <f t="shared" si="0"/>
        <v>3.3333333333333335E-3</v>
      </c>
      <c r="F9" s="4">
        <f t="shared" si="1"/>
        <v>4.3333333333333335E-2</v>
      </c>
      <c r="G9" s="4">
        <f t="shared" si="2"/>
        <v>3.6666666666666667E-4</v>
      </c>
      <c r="H9" s="62">
        <f t="shared" si="3"/>
        <v>9.3700000000000006E-2</v>
      </c>
      <c r="I9" s="4">
        <f t="shared" si="4"/>
        <v>1.4285714285714286E-3</v>
      </c>
      <c r="J9" s="4">
        <f t="shared" si="5"/>
        <v>-4.3333333333333335E-2</v>
      </c>
      <c r="K9" s="4">
        <f t="shared" si="6"/>
        <v>1.2857142857142858E-4</v>
      </c>
      <c r="L9" s="62">
        <f t="shared" si="7"/>
        <v>-4.3204761904761906E-2</v>
      </c>
    </row>
    <row r="10" spans="1:26" ht="14.25" customHeight="1">
      <c r="A10" s="4">
        <v>3</v>
      </c>
      <c r="B10" s="4">
        <v>7</v>
      </c>
      <c r="C10" s="4">
        <v>9</v>
      </c>
      <c r="D10" s="4">
        <v>11</v>
      </c>
      <c r="E10" s="4">
        <f t="shared" si="0"/>
        <v>3.3333333333333335E-3</v>
      </c>
      <c r="F10" s="4">
        <f t="shared" si="1"/>
        <v>3.0000000000000002E-2</v>
      </c>
      <c r="G10" s="4">
        <f t="shared" si="2"/>
        <v>3.0000000000000003E-4</v>
      </c>
      <c r="H10" s="62">
        <f t="shared" si="3"/>
        <v>3.0300000000000004E-2</v>
      </c>
      <c r="I10" s="4">
        <f t="shared" si="4"/>
        <v>1.4285714285714286E-3</v>
      </c>
      <c r="J10" s="4">
        <f t="shared" si="5"/>
        <v>-3.0000000000000002E-2</v>
      </c>
      <c r="K10" s="4">
        <f t="shared" si="6"/>
        <v>1.5714285714285716E-4</v>
      </c>
      <c r="L10" s="62">
        <f t="shared" si="7"/>
        <v>2.0157142857142856E-2</v>
      </c>
    </row>
    <row r="11" spans="1:26" ht="14.25" customHeight="1">
      <c r="A11" s="4">
        <v>3</v>
      </c>
      <c r="B11" s="4">
        <v>7</v>
      </c>
      <c r="C11" s="4">
        <v>0</v>
      </c>
      <c r="D11" s="4">
        <v>11</v>
      </c>
      <c r="E11" s="4">
        <f t="shared" si="0"/>
        <v>3.3333333333333335E-3</v>
      </c>
      <c r="F11" s="4">
        <f t="shared" si="1"/>
        <v>0</v>
      </c>
      <c r="G11" s="4">
        <f t="shared" si="2"/>
        <v>0</v>
      </c>
      <c r="H11" s="62">
        <f t="shared" si="3"/>
        <v>0</v>
      </c>
      <c r="I11" s="4">
        <f t="shared" si="4"/>
        <v>1.4285714285714286E-3</v>
      </c>
      <c r="J11" s="4">
        <f t="shared" si="5"/>
        <v>0</v>
      </c>
      <c r="K11" s="4">
        <f t="shared" si="6"/>
        <v>1.5714285714285716E-4</v>
      </c>
      <c r="L11" s="62">
        <f t="shared" si="7"/>
        <v>5.0157142857142858E-2</v>
      </c>
    </row>
    <row r="12" spans="1:26" ht="14.25" customHeight="1">
      <c r="A12" s="4">
        <v>7</v>
      </c>
      <c r="B12" s="4">
        <v>7</v>
      </c>
      <c r="C12" s="4">
        <v>11</v>
      </c>
      <c r="D12" s="4">
        <v>0</v>
      </c>
      <c r="E12" s="4">
        <f t="shared" si="0"/>
        <v>2E-3</v>
      </c>
      <c r="F12" s="4">
        <f t="shared" si="1"/>
        <v>4.3999999999999997E-2</v>
      </c>
      <c r="G12" s="4">
        <f t="shared" si="2"/>
        <v>2.1999999999999998E-4</v>
      </c>
      <c r="H12" s="62">
        <f t="shared" si="3"/>
        <v>9.4219999999999998E-2</v>
      </c>
      <c r="I12" s="4">
        <f t="shared" si="4"/>
        <v>2E-3</v>
      </c>
      <c r="J12" s="4">
        <f t="shared" si="5"/>
        <v>0</v>
      </c>
      <c r="K12" s="4">
        <f t="shared" si="6"/>
        <v>0</v>
      </c>
      <c r="L12" s="62">
        <f t="shared" si="7"/>
        <v>0</v>
      </c>
    </row>
    <row r="13" spans="1:26" ht="14.25" customHeight="1">
      <c r="A13" s="4">
        <v>7</v>
      </c>
      <c r="B13" s="4">
        <v>7</v>
      </c>
      <c r="C13" s="4">
        <v>11</v>
      </c>
      <c r="D13" s="4">
        <v>9</v>
      </c>
      <c r="E13" s="4">
        <f t="shared" si="0"/>
        <v>2E-3</v>
      </c>
      <c r="F13" s="4">
        <f t="shared" si="1"/>
        <v>2.5999999999999999E-2</v>
      </c>
      <c r="G13" s="4">
        <f t="shared" si="2"/>
        <v>2.1999999999999998E-4</v>
      </c>
      <c r="H13" s="62">
        <f t="shared" si="3"/>
        <v>7.6219999999999996E-2</v>
      </c>
      <c r="I13" s="4">
        <f t="shared" si="4"/>
        <v>2E-3</v>
      </c>
      <c r="J13" s="4">
        <f t="shared" si="5"/>
        <v>1.8000000000000002E-2</v>
      </c>
      <c r="K13" s="4">
        <f t="shared" si="6"/>
        <v>1.8000000000000001E-4</v>
      </c>
      <c r="L13" s="62">
        <f t="shared" si="7"/>
        <v>1.8180000000000002E-2</v>
      </c>
    </row>
    <row r="14" spans="1:26" ht="14.25" customHeight="1">
      <c r="A14" s="4">
        <v>7</v>
      </c>
      <c r="B14" s="4">
        <v>7</v>
      </c>
      <c r="C14" s="4">
        <v>9</v>
      </c>
      <c r="D14" s="4">
        <v>11</v>
      </c>
      <c r="E14" s="4">
        <f t="shared" si="0"/>
        <v>2E-3</v>
      </c>
      <c r="F14" s="4">
        <f t="shared" si="1"/>
        <v>1.8000000000000002E-2</v>
      </c>
      <c r="G14" s="4">
        <f t="shared" si="2"/>
        <v>1.8000000000000001E-4</v>
      </c>
      <c r="H14" s="62">
        <f t="shared" si="3"/>
        <v>1.8180000000000002E-2</v>
      </c>
      <c r="I14" s="4">
        <f t="shared" si="4"/>
        <v>2E-3</v>
      </c>
      <c r="J14" s="4">
        <f t="shared" si="5"/>
        <v>2.5999999999999999E-2</v>
      </c>
      <c r="K14" s="4">
        <f t="shared" si="6"/>
        <v>2.1999999999999998E-4</v>
      </c>
      <c r="L14" s="62">
        <f t="shared" si="7"/>
        <v>7.6219999999999996E-2</v>
      </c>
    </row>
    <row r="15" spans="1:26" ht="14.25" customHeight="1">
      <c r="A15" s="4">
        <v>7</v>
      </c>
      <c r="B15" s="4">
        <v>7</v>
      </c>
      <c r="C15" s="4">
        <v>0</v>
      </c>
      <c r="D15" s="4">
        <v>11</v>
      </c>
      <c r="E15" s="4">
        <f t="shared" si="0"/>
        <v>2E-3</v>
      </c>
      <c r="F15" s="4">
        <f t="shared" si="1"/>
        <v>0</v>
      </c>
      <c r="G15" s="4">
        <f t="shared" si="2"/>
        <v>0</v>
      </c>
      <c r="H15" s="62">
        <f t="shared" si="3"/>
        <v>0</v>
      </c>
      <c r="I15" s="4">
        <f t="shared" si="4"/>
        <v>2E-3</v>
      </c>
      <c r="J15" s="4">
        <f t="shared" si="5"/>
        <v>4.3999999999999997E-2</v>
      </c>
      <c r="K15" s="4">
        <f t="shared" si="6"/>
        <v>2.1999999999999998E-4</v>
      </c>
      <c r="L15" s="62">
        <f t="shared" si="7"/>
        <v>9.4219999999999998E-2</v>
      </c>
    </row>
    <row r="16" spans="1:26" ht="14.25" customHeight="1">
      <c r="E16" s="4"/>
      <c r="F16" s="4"/>
      <c r="G16" s="4"/>
      <c r="I16" s="4"/>
      <c r="J16" s="4"/>
      <c r="K16" s="4"/>
    </row>
    <row r="17" spans="3:11" ht="14.25" customHeight="1">
      <c r="E17" s="4"/>
      <c r="F17" s="4"/>
      <c r="G17" s="4"/>
      <c r="I17" s="4"/>
      <c r="J17" s="4"/>
      <c r="K17" s="4"/>
    </row>
    <row r="18" spans="3:11" ht="14.25" customHeight="1">
      <c r="E18" s="4"/>
      <c r="F18" s="4"/>
      <c r="G18" s="4"/>
      <c r="I18" s="4"/>
      <c r="J18" s="4"/>
      <c r="K18" s="4"/>
    </row>
    <row r="19" spans="3:11" ht="14.25" customHeight="1">
      <c r="C19" s="4" t="s">
        <v>506</v>
      </c>
      <c r="E19" s="4"/>
      <c r="F19" s="4"/>
      <c r="G19" s="4">
        <v>0.05</v>
      </c>
      <c r="I19" s="4"/>
      <c r="J19" s="4"/>
      <c r="K19" s="4"/>
    </row>
    <row r="20" spans="3:11" ht="14.25" customHeight="1">
      <c r="C20" s="4" t="s">
        <v>507</v>
      </c>
      <c r="E20" s="4"/>
      <c r="F20" s="4" t="s">
        <v>508</v>
      </c>
      <c r="G20" s="4">
        <v>1000</v>
      </c>
      <c r="I20" s="4"/>
      <c r="J20" s="4"/>
      <c r="K20" s="4"/>
    </row>
    <row r="21" spans="3:11" ht="14.25" customHeight="1">
      <c r="C21" s="4" t="s">
        <v>509</v>
      </c>
      <c r="E21" s="4"/>
      <c r="F21" s="4" t="s">
        <v>510</v>
      </c>
      <c r="G21" s="4" t="s">
        <v>511</v>
      </c>
      <c r="I21" s="4"/>
      <c r="J21" s="4"/>
      <c r="K21" s="4"/>
    </row>
    <row r="22" spans="3:11" ht="14.25" customHeight="1">
      <c r="C22" s="4" t="s">
        <v>512</v>
      </c>
      <c r="D22" s="4"/>
      <c r="E22" s="4"/>
      <c r="F22" s="4" t="s">
        <v>513</v>
      </c>
      <c r="G22" s="4" t="s">
        <v>514</v>
      </c>
      <c r="I22" s="4"/>
      <c r="J22" s="4"/>
      <c r="K22" s="4"/>
    </row>
    <row r="23" spans="3:11" ht="14.25" customHeight="1">
      <c r="E23" s="4"/>
      <c r="F23" s="4"/>
      <c r="G23" s="4"/>
      <c r="I23" s="4"/>
      <c r="J23" s="4"/>
      <c r="K23" s="4"/>
    </row>
    <row r="24" spans="3:11" ht="14.25" customHeight="1">
      <c r="C24" s="4" t="s">
        <v>515</v>
      </c>
      <c r="D24" s="4"/>
      <c r="E24" s="4"/>
      <c r="F24" s="4"/>
      <c r="G24" s="4"/>
      <c r="I24" s="4"/>
      <c r="J24" s="4"/>
      <c r="K24" s="4"/>
    </row>
    <row r="25" spans="3:11" ht="14.25" customHeight="1">
      <c r="D25" s="4" t="s">
        <v>516</v>
      </c>
      <c r="E25" s="4"/>
      <c r="F25" s="4"/>
      <c r="G25" s="4"/>
      <c r="I25" s="4"/>
      <c r="J25" s="4"/>
      <c r="K25" s="4"/>
    </row>
    <row r="26" spans="3:11" ht="14.25" customHeight="1">
      <c r="E26" s="4" t="s">
        <v>517</v>
      </c>
      <c r="F26" s="4"/>
      <c r="G26" s="18" t="s">
        <v>518</v>
      </c>
      <c r="I26" s="4"/>
      <c r="J26" s="4"/>
      <c r="K26" s="4"/>
    </row>
    <row r="27" spans="3:11" ht="14.25" customHeight="1">
      <c r="D27" s="4" t="s">
        <v>519</v>
      </c>
      <c r="E27" s="4"/>
      <c r="F27" s="4"/>
      <c r="G27" s="4"/>
      <c r="I27" s="4"/>
      <c r="J27" s="4"/>
      <c r="K27" s="4"/>
    </row>
    <row r="28" spans="3:11" ht="14.25" customHeight="1">
      <c r="E28" s="4" t="s">
        <v>517</v>
      </c>
      <c r="F28" s="4"/>
      <c r="G28" s="18" t="s">
        <v>520</v>
      </c>
      <c r="I28" s="4"/>
      <c r="J28" s="4"/>
      <c r="K28" s="4"/>
    </row>
    <row r="29" spans="3:11" ht="14.25" customHeight="1">
      <c r="C29" s="4" t="s">
        <v>519</v>
      </c>
      <c r="E29" s="4"/>
      <c r="F29" s="4"/>
      <c r="G29" s="4"/>
      <c r="I29" s="4"/>
      <c r="J29" s="4"/>
      <c r="K29" s="4"/>
    </row>
    <row r="30" spans="3:11" ht="14.25" customHeight="1">
      <c r="D30" s="4" t="s">
        <v>516</v>
      </c>
      <c r="E30" s="4"/>
      <c r="F30" s="4"/>
      <c r="G30" s="4"/>
      <c r="I30" s="4"/>
      <c r="J30" s="4"/>
      <c r="K30" s="4"/>
    </row>
    <row r="31" spans="3:11" ht="14.25" customHeight="1">
      <c r="E31" s="4" t="s">
        <v>517</v>
      </c>
      <c r="F31" s="4"/>
      <c r="G31" s="18" t="s">
        <v>521</v>
      </c>
      <c r="I31" s="4"/>
      <c r="J31" s="4"/>
      <c r="K31" s="4"/>
    </row>
    <row r="32" spans="3:11" ht="14.25" customHeight="1">
      <c r="D32" s="4" t="s">
        <v>519</v>
      </c>
      <c r="E32" s="4"/>
      <c r="F32" s="4"/>
      <c r="G32" s="4"/>
      <c r="I32" s="4"/>
      <c r="J32" s="4"/>
      <c r="K32" s="4"/>
    </row>
    <row r="33" spans="5:11" ht="14.25" customHeight="1">
      <c r="E33" s="4" t="s">
        <v>517</v>
      </c>
      <c r="F33" s="4"/>
      <c r="G33" s="18" t="s">
        <v>522</v>
      </c>
      <c r="I33" s="4"/>
      <c r="J33" s="4"/>
      <c r="K33" s="4"/>
    </row>
    <row r="34" spans="5:11" ht="14.25" customHeight="1">
      <c r="E34" s="4"/>
      <c r="F34" s="4"/>
      <c r="G34" s="4"/>
      <c r="I34" s="4"/>
      <c r="J34" s="4"/>
      <c r="K34" s="4"/>
    </row>
    <row r="35" spans="5:11" ht="14.25" customHeight="1">
      <c r="E35" s="4"/>
      <c r="F35" s="4"/>
      <c r="G35" s="4"/>
      <c r="I35" s="4"/>
      <c r="J35" s="4"/>
      <c r="K35" s="4"/>
    </row>
    <row r="36" spans="5:11" ht="14.25" customHeight="1">
      <c r="E36" s="4"/>
      <c r="F36" s="4"/>
      <c r="G36" s="4"/>
      <c r="I36" s="4"/>
      <c r="J36" s="4"/>
      <c r="K36" s="4"/>
    </row>
    <row r="37" spans="5:11" ht="14.25" customHeight="1">
      <c r="E37" s="4"/>
      <c r="F37" s="4"/>
      <c r="G37" s="4"/>
      <c r="I37" s="4"/>
      <c r="J37" s="4"/>
      <c r="K37" s="4"/>
    </row>
    <row r="38" spans="5:11" ht="14.25" customHeight="1">
      <c r="E38" s="4"/>
      <c r="F38" s="4"/>
      <c r="G38" s="4"/>
      <c r="I38" s="4"/>
      <c r="J38" s="4"/>
      <c r="K38" s="4"/>
    </row>
    <row r="39" spans="5:11" ht="14.25" customHeight="1">
      <c r="E39" s="4"/>
      <c r="F39" s="4"/>
      <c r="G39" s="4"/>
      <c r="I39" s="4"/>
      <c r="J39" s="4"/>
      <c r="K39" s="4"/>
    </row>
    <row r="40" spans="5:11" ht="14.25" customHeight="1">
      <c r="E40" s="4"/>
      <c r="F40" s="4"/>
      <c r="G40" s="4"/>
      <c r="I40" s="4"/>
      <c r="J40" s="4"/>
      <c r="K40" s="4"/>
    </row>
    <row r="41" spans="5:11" ht="14.25" customHeight="1">
      <c r="E41" s="4"/>
      <c r="F41" s="4"/>
      <c r="G41" s="4"/>
      <c r="I41" s="4"/>
      <c r="J41" s="4"/>
      <c r="K41" s="4"/>
    </row>
    <row r="42" spans="5:11" ht="14.25" customHeight="1">
      <c r="E42" s="4"/>
      <c r="F42" s="4"/>
      <c r="G42" s="4"/>
      <c r="I42" s="4"/>
      <c r="J42" s="4"/>
      <c r="K42" s="4"/>
    </row>
    <row r="43" spans="5:11" ht="14.25" customHeight="1">
      <c r="E43" s="4"/>
      <c r="F43" s="4"/>
      <c r="G43" s="4"/>
      <c r="I43" s="4"/>
      <c r="J43" s="4"/>
      <c r="K43" s="4"/>
    </row>
    <row r="44" spans="5:11" ht="14.25" customHeight="1">
      <c r="E44" s="4"/>
      <c r="F44" s="4"/>
      <c r="G44" s="4"/>
      <c r="I44" s="4"/>
      <c r="J44" s="4"/>
      <c r="K44" s="4"/>
    </row>
    <row r="45" spans="5:11" ht="14.25" customHeight="1">
      <c r="E45" s="4"/>
      <c r="F45" s="4"/>
      <c r="G45" s="4"/>
      <c r="I45" s="4"/>
      <c r="J45" s="4"/>
      <c r="K45" s="4"/>
    </row>
    <row r="46" spans="5:11" ht="14.25" customHeight="1">
      <c r="E46" s="4"/>
      <c r="F46" s="4"/>
      <c r="G46" s="4"/>
      <c r="I46" s="4"/>
      <c r="J46" s="4"/>
      <c r="K46" s="4"/>
    </row>
    <row r="47" spans="5:11" ht="14.25" customHeight="1">
      <c r="E47" s="4"/>
      <c r="F47" s="4"/>
      <c r="G47" s="4"/>
      <c r="I47" s="4"/>
      <c r="J47" s="4"/>
      <c r="K47" s="4"/>
    </row>
    <row r="48" spans="5:11" ht="14.25" customHeight="1">
      <c r="E48" s="4"/>
      <c r="F48" s="4"/>
      <c r="G48" s="4"/>
      <c r="I48" s="4"/>
      <c r="J48" s="4"/>
      <c r="K48" s="4"/>
    </row>
    <row r="49" spans="5:11" ht="14.25" customHeight="1">
      <c r="E49" s="4"/>
      <c r="F49" s="4"/>
      <c r="G49" s="4"/>
      <c r="I49" s="4"/>
      <c r="J49" s="4"/>
      <c r="K49" s="4"/>
    </row>
    <row r="50" spans="5:11" ht="14.25" customHeight="1">
      <c r="E50" s="4"/>
      <c r="F50" s="4"/>
      <c r="G50" s="4"/>
      <c r="I50" s="4"/>
      <c r="J50" s="4"/>
      <c r="K50" s="4"/>
    </row>
    <row r="51" spans="5:11" ht="14.25" customHeight="1">
      <c r="E51" s="4"/>
      <c r="F51" s="4"/>
      <c r="G51" s="4"/>
      <c r="I51" s="4"/>
      <c r="J51" s="4"/>
      <c r="K51" s="4"/>
    </row>
    <row r="52" spans="5:11" ht="14.25" customHeight="1">
      <c r="E52" s="4"/>
      <c r="F52" s="4"/>
      <c r="G52" s="4"/>
      <c r="I52" s="4"/>
      <c r="J52" s="4"/>
      <c r="K52" s="4"/>
    </row>
    <row r="53" spans="5:11" ht="14.25" customHeight="1">
      <c r="E53" s="4"/>
      <c r="F53" s="4"/>
      <c r="G53" s="4"/>
      <c r="I53" s="4"/>
      <c r="J53" s="4"/>
      <c r="K53" s="4"/>
    </row>
    <row r="54" spans="5:11" ht="14.25" customHeight="1">
      <c r="E54" s="4"/>
      <c r="F54" s="4"/>
      <c r="G54" s="4"/>
      <c r="I54" s="4"/>
      <c r="J54" s="4"/>
      <c r="K54" s="4"/>
    </row>
    <row r="55" spans="5:11" ht="14.25" customHeight="1">
      <c r="E55" s="4"/>
      <c r="F55" s="4"/>
      <c r="G55" s="4"/>
      <c r="I55" s="4"/>
      <c r="J55" s="4"/>
      <c r="K55" s="4"/>
    </row>
    <row r="56" spans="5:11" ht="14.25" customHeight="1">
      <c r="E56" s="4"/>
      <c r="F56" s="4"/>
      <c r="G56" s="4"/>
      <c r="I56" s="4"/>
      <c r="J56" s="4"/>
      <c r="K56" s="4"/>
    </row>
    <row r="57" spans="5:11" ht="14.25" customHeight="1">
      <c r="E57" s="4"/>
      <c r="F57" s="4"/>
      <c r="G57" s="4"/>
      <c r="I57" s="4"/>
      <c r="J57" s="4"/>
      <c r="K57" s="4"/>
    </row>
    <row r="58" spans="5:11" ht="14.25" customHeight="1">
      <c r="E58" s="4"/>
      <c r="F58" s="4"/>
      <c r="G58" s="4"/>
      <c r="I58" s="4"/>
      <c r="J58" s="4"/>
      <c r="K58" s="4"/>
    </row>
    <row r="59" spans="5:11" ht="14.25" customHeight="1">
      <c r="E59" s="4"/>
      <c r="F59" s="4"/>
      <c r="G59" s="4"/>
      <c r="I59" s="4"/>
      <c r="J59" s="4"/>
      <c r="K59" s="4"/>
    </row>
    <row r="60" spans="5:11" ht="14.25" customHeight="1">
      <c r="E60" s="4"/>
      <c r="F60" s="4"/>
      <c r="G60" s="4"/>
      <c r="I60" s="4"/>
      <c r="J60" s="4"/>
      <c r="K60" s="4"/>
    </row>
    <row r="61" spans="5:11" ht="14.25" customHeight="1">
      <c r="E61" s="4"/>
      <c r="F61" s="4"/>
      <c r="G61" s="4"/>
      <c r="I61" s="4"/>
      <c r="J61" s="4"/>
      <c r="K61" s="4"/>
    </row>
    <row r="62" spans="5:11" ht="14.25" customHeight="1">
      <c r="E62" s="4"/>
      <c r="F62" s="4"/>
      <c r="G62" s="4"/>
      <c r="I62" s="4"/>
      <c r="J62" s="4"/>
      <c r="K62" s="4"/>
    </row>
    <row r="63" spans="5:11" ht="14.25" customHeight="1">
      <c r="E63" s="4"/>
      <c r="F63" s="4"/>
      <c r="G63" s="4"/>
      <c r="I63" s="4"/>
      <c r="J63" s="4"/>
      <c r="K63" s="4"/>
    </row>
    <row r="64" spans="5:11" ht="14.25" customHeight="1">
      <c r="E64" s="4"/>
      <c r="F64" s="4"/>
      <c r="G64" s="4"/>
      <c r="I64" s="4"/>
      <c r="J64" s="4"/>
      <c r="K64" s="4"/>
    </row>
    <row r="65" spans="5:11" ht="14.25" customHeight="1">
      <c r="E65" s="4"/>
      <c r="F65" s="4"/>
      <c r="G65" s="4"/>
      <c r="I65" s="4"/>
      <c r="J65" s="4"/>
      <c r="K65" s="4"/>
    </row>
    <row r="66" spans="5:11" ht="14.25" customHeight="1">
      <c r="E66" s="4"/>
      <c r="F66" s="4"/>
      <c r="G66" s="4"/>
      <c r="I66" s="4"/>
      <c r="J66" s="4"/>
      <c r="K66" s="4"/>
    </row>
    <row r="67" spans="5:11" ht="14.25" customHeight="1">
      <c r="E67" s="4"/>
      <c r="F67" s="4"/>
      <c r="G67" s="4"/>
      <c r="I67" s="4"/>
      <c r="J67" s="4"/>
      <c r="K67" s="4"/>
    </row>
    <row r="68" spans="5:11" ht="14.25" customHeight="1">
      <c r="E68" s="4"/>
      <c r="F68" s="4"/>
      <c r="G68" s="4"/>
      <c r="I68" s="4"/>
      <c r="J68" s="4"/>
      <c r="K68" s="4"/>
    </row>
    <row r="69" spans="5:11" ht="14.25" customHeight="1">
      <c r="E69" s="4"/>
      <c r="F69" s="4"/>
      <c r="G69" s="4"/>
      <c r="I69" s="4"/>
      <c r="J69" s="4"/>
      <c r="K69" s="4"/>
    </row>
    <row r="70" spans="5:11" ht="14.25" customHeight="1">
      <c r="E70" s="4"/>
      <c r="F70" s="4"/>
      <c r="G70" s="4"/>
      <c r="I70" s="4"/>
      <c r="J70" s="4"/>
      <c r="K70" s="4"/>
    </row>
    <row r="71" spans="5:11" ht="14.25" customHeight="1">
      <c r="E71" s="4"/>
      <c r="F71" s="4"/>
      <c r="G71" s="4"/>
      <c r="I71" s="4"/>
      <c r="J71" s="4"/>
      <c r="K71" s="4"/>
    </row>
    <row r="72" spans="5:11" ht="14.25" customHeight="1">
      <c r="E72" s="4"/>
      <c r="F72" s="4"/>
      <c r="G72" s="4"/>
      <c r="I72" s="4"/>
      <c r="J72" s="4"/>
      <c r="K72" s="4"/>
    </row>
    <row r="73" spans="5:11" ht="14.25" customHeight="1">
      <c r="E73" s="4"/>
      <c r="F73" s="4"/>
      <c r="G73" s="4"/>
      <c r="I73" s="4"/>
      <c r="J73" s="4"/>
      <c r="K73" s="4"/>
    </row>
    <row r="74" spans="5:11" ht="14.25" customHeight="1">
      <c r="E74" s="4"/>
      <c r="F74" s="4"/>
      <c r="G74" s="4"/>
      <c r="I74" s="4"/>
      <c r="J74" s="4"/>
      <c r="K74" s="4"/>
    </row>
    <row r="75" spans="5:11" ht="14.25" customHeight="1">
      <c r="E75" s="4"/>
      <c r="F75" s="4"/>
      <c r="G75" s="4"/>
      <c r="I75" s="4"/>
      <c r="J75" s="4"/>
      <c r="K75" s="4"/>
    </row>
    <row r="76" spans="5:11" ht="14.25" customHeight="1">
      <c r="E76" s="4"/>
      <c r="F76" s="4"/>
      <c r="G76" s="4"/>
      <c r="I76" s="4"/>
      <c r="J76" s="4"/>
      <c r="K76" s="4"/>
    </row>
    <row r="77" spans="5:11" ht="14.25" customHeight="1">
      <c r="E77" s="4"/>
      <c r="F77" s="4"/>
      <c r="G77" s="4"/>
      <c r="I77" s="4"/>
      <c r="J77" s="4"/>
      <c r="K77" s="4"/>
    </row>
    <row r="78" spans="5:11" ht="14.25" customHeight="1">
      <c r="E78" s="4"/>
      <c r="F78" s="4"/>
      <c r="G78" s="4"/>
      <c r="I78" s="4"/>
      <c r="J78" s="4"/>
      <c r="K78" s="4"/>
    </row>
    <row r="79" spans="5:11" ht="14.25" customHeight="1">
      <c r="E79" s="4"/>
      <c r="F79" s="4"/>
      <c r="G79" s="4"/>
      <c r="I79" s="4"/>
      <c r="J79" s="4"/>
      <c r="K79" s="4"/>
    </row>
    <row r="80" spans="5:11" ht="14.25" customHeight="1">
      <c r="E80" s="4"/>
      <c r="F80" s="4"/>
      <c r="G80" s="4"/>
      <c r="I80" s="4"/>
      <c r="J80" s="4"/>
      <c r="K80" s="4"/>
    </row>
    <row r="81" spans="5:11" ht="14.25" customHeight="1">
      <c r="E81" s="4"/>
      <c r="F81" s="4"/>
      <c r="G81" s="4"/>
      <c r="I81" s="4"/>
      <c r="J81" s="4"/>
      <c r="K81" s="4"/>
    </row>
    <row r="82" spans="5:11" ht="14.25" customHeight="1">
      <c r="E82" s="4"/>
      <c r="F82" s="4"/>
      <c r="G82" s="4"/>
      <c r="I82" s="4"/>
      <c r="J82" s="4"/>
      <c r="K82" s="4"/>
    </row>
    <row r="83" spans="5:11" ht="14.25" customHeight="1">
      <c r="E83" s="4"/>
      <c r="F83" s="4"/>
      <c r="G83" s="4"/>
      <c r="I83" s="4"/>
      <c r="J83" s="4"/>
      <c r="K83" s="4"/>
    </row>
    <row r="84" spans="5:11" ht="14.25" customHeight="1">
      <c r="E84" s="4"/>
      <c r="F84" s="4"/>
      <c r="G84" s="4"/>
      <c r="I84" s="4"/>
      <c r="J84" s="4"/>
      <c r="K84" s="4"/>
    </row>
    <row r="85" spans="5:11" ht="14.25" customHeight="1">
      <c r="E85" s="4"/>
      <c r="F85" s="4"/>
      <c r="G85" s="4"/>
      <c r="I85" s="4"/>
      <c r="J85" s="4"/>
      <c r="K85" s="4"/>
    </row>
    <row r="86" spans="5:11" ht="14.25" customHeight="1">
      <c r="E86" s="4"/>
      <c r="F86" s="4"/>
      <c r="G86" s="4"/>
      <c r="I86" s="4"/>
      <c r="J86" s="4"/>
      <c r="K86" s="4"/>
    </row>
    <row r="87" spans="5:11" ht="14.25" customHeight="1">
      <c r="E87" s="4"/>
      <c r="F87" s="4"/>
      <c r="G87" s="4"/>
      <c r="I87" s="4"/>
      <c r="J87" s="4"/>
      <c r="K87" s="4"/>
    </row>
    <row r="88" spans="5:11" ht="14.25" customHeight="1">
      <c r="E88" s="4"/>
      <c r="F88" s="4"/>
      <c r="G88" s="4"/>
      <c r="I88" s="4"/>
      <c r="J88" s="4"/>
      <c r="K88" s="4"/>
    </row>
    <row r="89" spans="5:11" ht="14.25" customHeight="1">
      <c r="E89" s="4"/>
      <c r="F89" s="4"/>
      <c r="G89" s="4"/>
      <c r="I89" s="4"/>
      <c r="J89" s="4"/>
      <c r="K89" s="4"/>
    </row>
    <row r="90" spans="5:11" ht="14.25" customHeight="1">
      <c r="E90" s="4"/>
      <c r="F90" s="4"/>
      <c r="G90" s="4"/>
      <c r="I90" s="4"/>
      <c r="J90" s="4"/>
      <c r="K90" s="4"/>
    </row>
    <row r="91" spans="5:11" ht="14.25" customHeight="1">
      <c r="E91" s="4"/>
      <c r="F91" s="4"/>
      <c r="G91" s="4"/>
      <c r="I91" s="4"/>
      <c r="J91" s="4"/>
      <c r="K91" s="4"/>
    </row>
    <row r="92" spans="5:11" ht="14.25" customHeight="1">
      <c r="E92" s="4"/>
      <c r="F92" s="4"/>
      <c r="G92" s="4"/>
      <c r="I92" s="4"/>
      <c r="J92" s="4"/>
      <c r="K92" s="4"/>
    </row>
    <row r="93" spans="5:11" ht="14.25" customHeight="1">
      <c r="E93" s="4"/>
      <c r="F93" s="4"/>
      <c r="G93" s="4"/>
      <c r="I93" s="4"/>
      <c r="J93" s="4"/>
      <c r="K93" s="4"/>
    </row>
    <row r="94" spans="5:11" ht="14.25" customHeight="1">
      <c r="E94" s="4"/>
      <c r="F94" s="4"/>
      <c r="G94" s="4"/>
      <c r="I94" s="4"/>
      <c r="J94" s="4"/>
      <c r="K94" s="4"/>
    </row>
    <row r="95" spans="5:11" ht="14.25" customHeight="1">
      <c r="E95" s="4"/>
      <c r="F95" s="4"/>
      <c r="G95" s="4"/>
      <c r="I95" s="4"/>
      <c r="J95" s="4"/>
      <c r="K95" s="4"/>
    </row>
    <row r="96" spans="5:11" ht="14.25" customHeight="1">
      <c r="E96" s="4"/>
      <c r="F96" s="4"/>
      <c r="G96" s="4"/>
      <c r="I96" s="4"/>
      <c r="J96" s="4"/>
      <c r="K96" s="4"/>
    </row>
    <row r="97" spans="5:11" ht="14.25" customHeight="1">
      <c r="E97" s="4"/>
      <c r="F97" s="4"/>
      <c r="G97" s="4"/>
      <c r="I97" s="4"/>
      <c r="J97" s="4"/>
      <c r="K97" s="4"/>
    </row>
    <row r="98" spans="5:11" ht="14.25" customHeight="1">
      <c r="E98" s="4"/>
      <c r="F98" s="4"/>
      <c r="G98" s="4"/>
      <c r="I98" s="4"/>
      <c r="J98" s="4"/>
      <c r="K98" s="4"/>
    </row>
    <row r="99" spans="5:11" ht="14.25" customHeight="1">
      <c r="E99" s="4"/>
      <c r="F99" s="4"/>
      <c r="G99" s="4"/>
      <c r="I99" s="4"/>
      <c r="J99" s="4"/>
      <c r="K99" s="4"/>
    </row>
    <row r="100" spans="5:11" ht="14.25" customHeight="1">
      <c r="E100" s="4"/>
      <c r="F100" s="4"/>
      <c r="G100" s="4"/>
      <c r="I100" s="4"/>
      <c r="J100" s="4"/>
      <c r="K100" s="4"/>
    </row>
    <row r="101" spans="5:11" ht="14.25" customHeight="1">
      <c r="E101" s="4"/>
      <c r="F101" s="4"/>
      <c r="G101" s="4"/>
      <c r="I101" s="4"/>
      <c r="J101" s="4"/>
      <c r="K101" s="4"/>
    </row>
    <row r="102" spans="5:11" ht="14.25" customHeight="1">
      <c r="E102" s="4"/>
      <c r="F102" s="4"/>
      <c r="G102" s="4"/>
      <c r="I102" s="4"/>
      <c r="J102" s="4"/>
      <c r="K102" s="4"/>
    </row>
    <row r="103" spans="5:11" ht="14.25" customHeight="1">
      <c r="E103" s="4"/>
      <c r="F103" s="4"/>
      <c r="G103" s="4"/>
      <c r="I103" s="4"/>
      <c r="J103" s="4"/>
      <c r="K103" s="4"/>
    </row>
    <row r="104" spans="5:11" ht="14.25" customHeight="1">
      <c r="E104" s="4"/>
      <c r="F104" s="4"/>
      <c r="G104" s="4"/>
      <c r="I104" s="4"/>
      <c r="J104" s="4"/>
      <c r="K104" s="4"/>
    </row>
    <row r="105" spans="5:11" ht="14.25" customHeight="1">
      <c r="E105" s="4"/>
      <c r="F105" s="4"/>
      <c r="G105" s="4"/>
      <c r="I105" s="4"/>
      <c r="J105" s="4"/>
      <c r="K105" s="4"/>
    </row>
    <row r="106" spans="5:11" ht="14.25" customHeight="1">
      <c r="E106" s="4"/>
      <c r="F106" s="4"/>
      <c r="G106" s="4"/>
      <c r="I106" s="4"/>
      <c r="J106" s="4"/>
      <c r="K106" s="4"/>
    </row>
    <row r="107" spans="5:11" ht="14.25" customHeight="1">
      <c r="E107" s="4"/>
      <c r="F107" s="4"/>
      <c r="G107" s="4"/>
      <c r="I107" s="4"/>
      <c r="J107" s="4"/>
      <c r="K107" s="4"/>
    </row>
    <row r="108" spans="5:11" ht="14.25" customHeight="1">
      <c r="E108" s="4"/>
      <c r="F108" s="4"/>
      <c r="G108" s="4"/>
      <c r="I108" s="4"/>
      <c r="J108" s="4"/>
      <c r="K108" s="4"/>
    </row>
    <row r="109" spans="5:11" ht="14.25" customHeight="1">
      <c r="E109" s="4"/>
      <c r="F109" s="4"/>
      <c r="G109" s="4"/>
      <c r="I109" s="4"/>
      <c r="J109" s="4"/>
      <c r="K109" s="4"/>
    </row>
    <row r="110" spans="5:11" ht="14.25" customHeight="1">
      <c r="E110" s="4"/>
      <c r="F110" s="4"/>
      <c r="G110" s="4"/>
      <c r="I110" s="4"/>
      <c r="J110" s="4"/>
      <c r="K110" s="4"/>
    </row>
    <row r="111" spans="5:11" ht="14.25" customHeight="1">
      <c r="E111" s="4"/>
      <c r="F111" s="4"/>
      <c r="G111" s="4"/>
      <c r="I111" s="4"/>
      <c r="J111" s="4"/>
      <c r="K111" s="4"/>
    </row>
    <row r="112" spans="5:11" ht="14.25" customHeight="1">
      <c r="E112" s="4"/>
      <c r="F112" s="4"/>
      <c r="G112" s="4"/>
      <c r="I112" s="4"/>
      <c r="J112" s="4"/>
      <c r="K112" s="4"/>
    </row>
    <row r="113" spans="5:11" ht="14.25" customHeight="1">
      <c r="E113" s="4"/>
      <c r="F113" s="4"/>
      <c r="G113" s="4"/>
      <c r="I113" s="4"/>
      <c r="J113" s="4"/>
      <c r="K113" s="4"/>
    </row>
    <row r="114" spans="5:11" ht="14.25" customHeight="1">
      <c r="E114" s="4"/>
      <c r="F114" s="4"/>
      <c r="G114" s="4"/>
      <c r="I114" s="4"/>
      <c r="J114" s="4"/>
      <c r="K114" s="4"/>
    </row>
    <row r="115" spans="5:11" ht="14.25" customHeight="1">
      <c r="E115" s="4"/>
      <c r="F115" s="4"/>
      <c r="G115" s="4"/>
      <c r="I115" s="4"/>
      <c r="J115" s="4"/>
      <c r="K115" s="4"/>
    </row>
    <row r="116" spans="5:11" ht="14.25" customHeight="1">
      <c r="E116" s="4"/>
      <c r="F116" s="4"/>
      <c r="G116" s="4"/>
      <c r="I116" s="4"/>
      <c r="J116" s="4"/>
      <c r="K116" s="4"/>
    </row>
    <row r="117" spans="5:11" ht="14.25" customHeight="1">
      <c r="E117" s="4"/>
      <c r="F117" s="4"/>
      <c r="G117" s="4"/>
      <c r="I117" s="4"/>
      <c r="J117" s="4"/>
      <c r="K117" s="4"/>
    </row>
    <row r="118" spans="5:11" ht="14.25" customHeight="1">
      <c r="E118" s="4"/>
      <c r="F118" s="4"/>
      <c r="G118" s="4"/>
      <c r="I118" s="4"/>
      <c r="J118" s="4"/>
      <c r="K118" s="4"/>
    </row>
    <row r="119" spans="5:11" ht="14.25" customHeight="1">
      <c r="E119" s="4"/>
      <c r="F119" s="4"/>
      <c r="G119" s="4"/>
      <c r="I119" s="4"/>
      <c r="J119" s="4"/>
      <c r="K119" s="4"/>
    </row>
    <row r="120" spans="5:11" ht="14.25" customHeight="1">
      <c r="E120" s="4"/>
      <c r="F120" s="4"/>
      <c r="G120" s="4"/>
      <c r="I120" s="4"/>
      <c r="J120" s="4"/>
      <c r="K120" s="4"/>
    </row>
    <row r="121" spans="5:11" ht="14.25" customHeight="1">
      <c r="E121" s="4"/>
      <c r="F121" s="4"/>
      <c r="G121" s="4"/>
      <c r="I121" s="4"/>
      <c r="J121" s="4"/>
      <c r="K121" s="4"/>
    </row>
    <row r="122" spans="5:11" ht="14.25" customHeight="1">
      <c r="E122" s="4"/>
      <c r="F122" s="4"/>
      <c r="G122" s="4"/>
      <c r="I122" s="4"/>
      <c r="J122" s="4"/>
      <c r="K122" s="4"/>
    </row>
    <row r="123" spans="5:11" ht="14.25" customHeight="1">
      <c r="E123" s="4"/>
      <c r="F123" s="4"/>
      <c r="G123" s="4"/>
      <c r="I123" s="4"/>
      <c r="J123" s="4"/>
      <c r="K123" s="4"/>
    </row>
    <row r="124" spans="5:11" ht="14.25" customHeight="1">
      <c r="E124" s="4"/>
      <c r="F124" s="4"/>
      <c r="G124" s="4"/>
      <c r="I124" s="4"/>
      <c r="J124" s="4"/>
      <c r="K124" s="4"/>
    </row>
    <row r="125" spans="5:11" ht="14.25" customHeight="1">
      <c r="E125" s="4"/>
      <c r="F125" s="4"/>
      <c r="G125" s="4"/>
      <c r="I125" s="4"/>
      <c r="J125" s="4"/>
      <c r="K125" s="4"/>
    </row>
    <row r="126" spans="5:11" ht="14.25" customHeight="1">
      <c r="E126" s="4"/>
      <c r="F126" s="4"/>
      <c r="G126" s="4"/>
      <c r="I126" s="4"/>
      <c r="J126" s="4"/>
      <c r="K126" s="4"/>
    </row>
    <row r="127" spans="5:11" ht="14.25" customHeight="1">
      <c r="E127" s="4"/>
      <c r="F127" s="4"/>
      <c r="G127" s="4"/>
      <c r="I127" s="4"/>
      <c r="J127" s="4"/>
      <c r="K127" s="4"/>
    </row>
    <row r="128" spans="5:11" ht="14.25" customHeight="1">
      <c r="E128" s="4"/>
      <c r="F128" s="4"/>
      <c r="G128" s="4"/>
      <c r="I128" s="4"/>
      <c r="J128" s="4"/>
      <c r="K128" s="4"/>
    </row>
    <row r="129" spans="5:11" ht="14.25" customHeight="1">
      <c r="E129" s="4"/>
      <c r="F129" s="4"/>
      <c r="G129" s="4"/>
      <c r="I129" s="4"/>
      <c r="J129" s="4"/>
      <c r="K129" s="4"/>
    </row>
    <row r="130" spans="5:11" ht="14.25" customHeight="1">
      <c r="E130" s="4"/>
      <c r="F130" s="4"/>
      <c r="G130" s="4"/>
      <c r="I130" s="4"/>
      <c r="J130" s="4"/>
      <c r="K130" s="4"/>
    </row>
    <row r="131" spans="5:11" ht="14.25" customHeight="1">
      <c r="E131" s="4"/>
      <c r="F131" s="4"/>
      <c r="G131" s="4"/>
      <c r="I131" s="4"/>
      <c r="J131" s="4"/>
      <c r="K131" s="4"/>
    </row>
    <row r="132" spans="5:11" ht="14.25" customHeight="1">
      <c r="E132" s="4"/>
      <c r="F132" s="4"/>
      <c r="G132" s="4"/>
      <c r="I132" s="4"/>
      <c r="J132" s="4"/>
      <c r="K132" s="4"/>
    </row>
    <row r="133" spans="5:11" ht="14.25" customHeight="1">
      <c r="E133" s="4"/>
      <c r="F133" s="4"/>
      <c r="G133" s="4"/>
      <c r="I133" s="4"/>
      <c r="J133" s="4"/>
      <c r="K133" s="4"/>
    </row>
    <row r="134" spans="5:11" ht="14.25" customHeight="1">
      <c r="E134" s="4"/>
      <c r="F134" s="4"/>
      <c r="G134" s="4"/>
      <c r="I134" s="4"/>
      <c r="J134" s="4"/>
      <c r="K134" s="4"/>
    </row>
    <row r="135" spans="5:11" ht="14.25" customHeight="1">
      <c r="E135" s="4"/>
      <c r="F135" s="4"/>
      <c r="G135" s="4"/>
      <c r="I135" s="4"/>
      <c r="J135" s="4"/>
      <c r="K135" s="4"/>
    </row>
    <row r="136" spans="5:11" ht="14.25" customHeight="1">
      <c r="E136" s="4"/>
      <c r="F136" s="4"/>
      <c r="G136" s="4"/>
      <c r="I136" s="4"/>
      <c r="J136" s="4"/>
      <c r="K136" s="4"/>
    </row>
    <row r="137" spans="5:11" ht="14.25" customHeight="1">
      <c r="E137" s="4"/>
      <c r="F137" s="4"/>
      <c r="G137" s="4"/>
      <c r="I137" s="4"/>
      <c r="J137" s="4"/>
      <c r="K137" s="4"/>
    </row>
    <row r="138" spans="5:11" ht="14.25" customHeight="1">
      <c r="E138" s="4"/>
      <c r="F138" s="4"/>
      <c r="G138" s="4"/>
      <c r="I138" s="4"/>
      <c r="J138" s="4"/>
      <c r="K138" s="4"/>
    </row>
    <row r="139" spans="5:11" ht="14.25" customHeight="1">
      <c r="E139" s="4"/>
      <c r="F139" s="4"/>
      <c r="G139" s="4"/>
      <c r="I139" s="4"/>
      <c r="J139" s="4"/>
      <c r="K139" s="4"/>
    </row>
    <row r="140" spans="5:11" ht="14.25" customHeight="1">
      <c r="E140" s="4"/>
      <c r="F140" s="4"/>
      <c r="G140" s="4"/>
      <c r="I140" s="4"/>
      <c r="J140" s="4"/>
      <c r="K140" s="4"/>
    </row>
    <row r="141" spans="5:11" ht="14.25" customHeight="1">
      <c r="E141" s="4"/>
      <c r="F141" s="4"/>
      <c r="G141" s="4"/>
      <c r="I141" s="4"/>
      <c r="J141" s="4"/>
      <c r="K141" s="4"/>
    </row>
    <row r="142" spans="5:11" ht="14.25" customHeight="1">
      <c r="E142" s="4"/>
      <c r="F142" s="4"/>
      <c r="G142" s="4"/>
      <c r="I142" s="4"/>
      <c r="J142" s="4"/>
      <c r="K142" s="4"/>
    </row>
    <row r="143" spans="5:11" ht="14.25" customHeight="1">
      <c r="E143" s="4"/>
      <c r="F143" s="4"/>
      <c r="G143" s="4"/>
      <c r="I143" s="4"/>
      <c r="J143" s="4"/>
      <c r="K143" s="4"/>
    </row>
    <row r="144" spans="5:11" ht="14.25" customHeight="1">
      <c r="E144" s="4"/>
      <c r="F144" s="4"/>
      <c r="G144" s="4"/>
      <c r="I144" s="4"/>
      <c r="J144" s="4"/>
      <c r="K144" s="4"/>
    </row>
    <row r="145" spans="5:11" ht="14.25" customHeight="1">
      <c r="E145" s="4"/>
      <c r="F145" s="4"/>
      <c r="G145" s="4"/>
      <c r="I145" s="4"/>
      <c r="J145" s="4"/>
      <c r="K145" s="4"/>
    </row>
    <row r="146" spans="5:11" ht="14.25" customHeight="1">
      <c r="E146" s="4"/>
      <c r="F146" s="4"/>
      <c r="G146" s="4"/>
      <c r="I146" s="4"/>
      <c r="J146" s="4"/>
      <c r="K146" s="4"/>
    </row>
    <row r="147" spans="5:11" ht="14.25" customHeight="1">
      <c r="E147" s="4"/>
      <c r="F147" s="4"/>
      <c r="G147" s="4"/>
      <c r="I147" s="4"/>
      <c r="J147" s="4"/>
      <c r="K147" s="4"/>
    </row>
    <row r="148" spans="5:11" ht="14.25" customHeight="1">
      <c r="E148" s="4"/>
      <c r="F148" s="4"/>
      <c r="G148" s="4"/>
      <c r="I148" s="4"/>
      <c r="J148" s="4"/>
      <c r="K148" s="4"/>
    </row>
    <row r="149" spans="5:11" ht="14.25" customHeight="1">
      <c r="E149" s="4"/>
      <c r="F149" s="4"/>
      <c r="G149" s="4"/>
      <c r="I149" s="4"/>
      <c r="J149" s="4"/>
      <c r="K149" s="4"/>
    </row>
    <row r="150" spans="5:11" ht="14.25" customHeight="1">
      <c r="E150" s="4"/>
      <c r="F150" s="4"/>
      <c r="G150" s="4"/>
      <c r="I150" s="4"/>
      <c r="J150" s="4"/>
      <c r="K150" s="4"/>
    </row>
    <row r="151" spans="5:11" ht="14.25" customHeight="1">
      <c r="E151" s="4"/>
      <c r="F151" s="4"/>
      <c r="G151" s="4"/>
      <c r="I151" s="4"/>
      <c r="J151" s="4"/>
      <c r="K151" s="4"/>
    </row>
    <row r="152" spans="5:11" ht="14.25" customHeight="1">
      <c r="E152" s="4"/>
      <c r="F152" s="4"/>
      <c r="G152" s="4"/>
      <c r="I152" s="4"/>
      <c r="J152" s="4"/>
      <c r="K152" s="4"/>
    </row>
    <row r="153" spans="5:11" ht="14.25" customHeight="1">
      <c r="E153" s="4"/>
      <c r="F153" s="4"/>
      <c r="G153" s="4"/>
      <c r="I153" s="4"/>
      <c r="J153" s="4"/>
      <c r="K153" s="4"/>
    </row>
    <row r="154" spans="5:11" ht="14.25" customHeight="1">
      <c r="E154" s="4"/>
      <c r="F154" s="4"/>
      <c r="G154" s="4"/>
      <c r="I154" s="4"/>
      <c r="J154" s="4"/>
      <c r="K154" s="4"/>
    </row>
    <row r="155" spans="5:11" ht="14.25" customHeight="1">
      <c r="E155" s="4"/>
      <c r="F155" s="4"/>
      <c r="G155" s="4"/>
      <c r="I155" s="4"/>
      <c r="J155" s="4"/>
      <c r="K155" s="4"/>
    </row>
    <row r="156" spans="5:11" ht="14.25" customHeight="1">
      <c r="E156" s="4"/>
      <c r="F156" s="4"/>
      <c r="G156" s="4"/>
      <c r="I156" s="4"/>
      <c r="J156" s="4"/>
      <c r="K156" s="4"/>
    </row>
    <row r="157" spans="5:11" ht="14.25" customHeight="1">
      <c r="E157" s="4"/>
      <c r="F157" s="4"/>
      <c r="G157" s="4"/>
      <c r="I157" s="4"/>
      <c r="J157" s="4"/>
      <c r="K157" s="4"/>
    </row>
    <row r="158" spans="5:11" ht="14.25" customHeight="1">
      <c r="E158" s="4"/>
      <c r="F158" s="4"/>
      <c r="G158" s="4"/>
      <c r="I158" s="4"/>
      <c r="J158" s="4"/>
      <c r="K158" s="4"/>
    </row>
    <row r="159" spans="5:11" ht="14.25" customHeight="1">
      <c r="E159" s="4"/>
      <c r="F159" s="4"/>
      <c r="G159" s="4"/>
      <c r="I159" s="4"/>
      <c r="J159" s="4"/>
      <c r="K159" s="4"/>
    </row>
    <row r="160" spans="5:11" ht="14.25" customHeight="1">
      <c r="E160" s="4"/>
      <c r="F160" s="4"/>
      <c r="G160" s="4"/>
      <c r="I160" s="4"/>
      <c r="J160" s="4"/>
      <c r="K160" s="4"/>
    </row>
    <row r="161" spans="5:11" ht="14.25" customHeight="1">
      <c r="E161" s="4"/>
      <c r="F161" s="4"/>
      <c r="G161" s="4"/>
      <c r="I161" s="4"/>
      <c r="J161" s="4"/>
      <c r="K161" s="4"/>
    </row>
    <row r="162" spans="5:11" ht="14.25" customHeight="1">
      <c r="E162" s="4"/>
      <c r="F162" s="4"/>
      <c r="G162" s="4"/>
      <c r="I162" s="4"/>
      <c r="J162" s="4"/>
      <c r="K162" s="4"/>
    </row>
    <row r="163" spans="5:11" ht="14.25" customHeight="1">
      <c r="E163" s="4"/>
      <c r="F163" s="4"/>
      <c r="G163" s="4"/>
      <c r="I163" s="4"/>
      <c r="J163" s="4"/>
      <c r="K163" s="4"/>
    </row>
    <row r="164" spans="5:11" ht="14.25" customHeight="1">
      <c r="E164" s="4"/>
      <c r="F164" s="4"/>
      <c r="G164" s="4"/>
      <c r="I164" s="4"/>
      <c r="J164" s="4"/>
      <c r="K164" s="4"/>
    </row>
    <row r="165" spans="5:11" ht="14.25" customHeight="1">
      <c r="E165" s="4"/>
      <c r="F165" s="4"/>
      <c r="G165" s="4"/>
      <c r="I165" s="4"/>
      <c r="J165" s="4"/>
      <c r="K165" s="4"/>
    </row>
    <row r="166" spans="5:11" ht="14.25" customHeight="1">
      <c r="E166" s="4"/>
      <c r="F166" s="4"/>
      <c r="G166" s="4"/>
      <c r="I166" s="4"/>
      <c r="J166" s="4"/>
      <c r="K166" s="4"/>
    </row>
    <row r="167" spans="5:11" ht="14.25" customHeight="1">
      <c r="E167" s="4"/>
      <c r="F167" s="4"/>
      <c r="G167" s="4"/>
      <c r="I167" s="4"/>
      <c r="J167" s="4"/>
      <c r="K167" s="4"/>
    </row>
    <row r="168" spans="5:11" ht="14.25" customHeight="1">
      <c r="E168" s="4"/>
      <c r="F168" s="4"/>
      <c r="G168" s="4"/>
      <c r="I168" s="4"/>
      <c r="J168" s="4"/>
      <c r="K168" s="4"/>
    </row>
    <row r="169" spans="5:11" ht="14.25" customHeight="1">
      <c r="E169" s="4"/>
      <c r="F169" s="4"/>
      <c r="G169" s="4"/>
      <c r="I169" s="4"/>
      <c r="J169" s="4"/>
      <c r="K169" s="4"/>
    </row>
    <row r="170" spans="5:11" ht="14.25" customHeight="1">
      <c r="E170" s="4"/>
      <c r="F170" s="4"/>
      <c r="G170" s="4"/>
      <c r="I170" s="4"/>
      <c r="J170" s="4"/>
      <c r="K170" s="4"/>
    </row>
    <row r="171" spans="5:11" ht="14.25" customHeight="1">
      <c r="E171" s="4"/>
      <c r="F171" s="4"/>
      <c r="G171" s="4"/>
      <c r="I171" s="4"/>
      <c r="J171" s="4"/>
      <c r="K171" s="4"/>
    </row>
    <row r="172" spans="5:11" ht="14.25" customHeight="1">
      <c r="E172" s="4"/>
      <c r="F172" s="4"/>
      <c r="G172" s="4"/>
      <c r="I172" s="4"/>
      <c r="J172" s="4"/>
      <c r="K172" s="4"/>
    </row>
    <row r="173" spans="5:11" ht="14.25" customHeight="1">
      <c r="E173" s="4"/>
      <c r="F173" s="4"/>
      <c r="G173" s="4"/>
      <c r="I173" s="4"/>
      <c r="J173" s="4"/>
      <c r="K173" s="4"/>
    </row>
    <row r="174" spans="5:11" ht="14.25" customHeight="1">
      <c r="E174" s="4"/>
      <c r="F174" s="4"/>
      <c r="G174" s="4"/>
      <c r="I174" s="4"/>
      <c r="J174" s="4"/>
      <c r="K174" s="4"/>
    </row>
    <row r="175" spans="5:11" ht="14.25" customHeight="1">
      <c r="E175" s="4"/>
      <c r="F175" s="4"/>
      <c r="G175" s="4"/>
      <c r="I175" s="4"/>
      <c r="J175" s="4"/>
      <c r="K175" s="4"/>
    </row>
    <row r="176" spans="5:11" ht="14.25" customHeight="1">
      <c r="E176" s="4"/>
      <c r="F176" s="4"/>
      <c r="G176" s="4"/>
      <c r="I176" s="4"/>
      <c r="J176" s="4"/>
      <c r="K176" s="4"/>
    </row>
    <row r="177" spans="5:11" ht="14.25" customHeight="1">
      <c r="E177" s="4"/>
      <c r="F177" s="4"/>
      <c r="G177" s="4"/>
      <c r="I177" s="4"/>
      <c r="J177" s="4"/>
      <c r="K177" s="4"/>
    </row>
    <row r="178" spans="5:11" ht="14.25" customHeight="1">
      <c r="E178" s="4"/>
      <c r="F178" s="4"/>
      <c r="G178" s="4"/>
      <c r="I178" s="4"/>
      <c r="J178" s="4"/>
      <c r="K178" s="4"/>
    </row>
    <row r="179" spans="5:11" ht="14.25" customHeight="1">
      <c r="E179" s="4"/>
      <c r="F179" s="4"/>
      <c r="G179" s="4"/>
      <c r="I179" s="4"/>
      <c r="J179" s="4"/>
      <c r="K179" s="4"/>
    </row>
    <row r="180" spans="5:11" ht="14.25" customHeight="1">
      <c r="E180" s="4"/>
      <c r="F180" s="4"/>
      <c r="G180" s="4"/>
      <c r="I180" s="4"/>
      <c r="J180" s="4"/>
      <c r="K180" s="4"/>
    </row>
    <row r="181" spans="5:11" ht="14.25" customHeight="1">
      <c r="E181" s="4"/>
      <c r="F181" s="4"/>
      <c r="G181" s="4"/>
      <c r="I181" s="4"/>
      <c r="J181" s="4"/>
      <c r="K181" s="4"/>
    </row>
    <row r="182" spans="5:11" ht="14.25" customHeight="1">
      <c r="E182" s="4"/>
      <c r="F182" s="4"/>
      <c r="G182" s="4"/>
      <c r="I182" s="4"/>
      <c r="J182" s="4"/>
      <c r="K182" s="4"/>
    </row>
    <row r="183" spans="5:11" ht="14.25" customHeight="1">
      <c r="E183" s="4"/>
      <c r="F183" s="4"/>
      <c r="G183" s="4"/>
      <c r="I183" s="4"/>
      <c r="J183" s="4"/>
      <c r="K183" s="4"/>
    </row>
    <row r="184" spans="5:11" ht="14.25" customHeight="1">
      <c r="E184" s="4"/>
      <c r="F184" s="4"/>
      <c r="G184" s="4"/>
      <c r="I184" s="4"/>
      <c r="J184" s="4"/>
      <c r="K184" s="4"/>
    </row>
    <row r="185" spans="5:11" ht="14.25" customHeight="1">
      <c r="E185" s="4"/>
      <c r="F185" s="4"/>
      <c r="G185" s="4"/>
      <c r="I185" s="4"/>
      <c r="J185" s="4"/>
      <c r="K185" s="4"/>
    </row>
    <row r="186" spans="5:11" ht="14.25" customHeight="1">
      <c r="E186" s="4"/>
      <c r="F186" s="4"/>
      <c r="G186" s="4"/>
      <c r="I186" s="4"/>
      <c r="J186" s="4"/>
      <c r="K186" s="4"/>
    </row>
    <row r="187" spans="5:11" ht="14.25" customHeight="1">
      <c r="E187" s="4"/>
      <c r="F187" s="4"/>
      <c r="G187" s="4"/>
      <c r="I187" s="4"/>
      <c r="J187" s="4"/>
      <c r="K187" s="4"/>
    </row>
    <row r="188" spans="5:11" ht="14.25" customHeight="1">
      <c r="E188" s="4"/>
      <c r="F188" s="4"/>
      <c r="G188" s="4"/>
      <c r="I188" s="4"/>
      <c r="J188" s="4"/>
      <c r="K188" s="4"/>
    </row>
    <row r="189" spans="5:11" ht="14.25" customHeight="1">
      <c r="E189" s="4"/>
      <c r="F189" s="4"/>
      <c r="G189" s="4"/>
      <c r="I189" s="4"/>
      <c r="J189" s="4"/>
      <c r="K189" s="4"/>
    </row>
    <row r="190" spans="5:11" ht="14.25" customHeight="1">
      <c r="E190" s="4"/>
      <c r="F190" s="4"/>
      <c r="G190" s="4"/>
      <c r="I190" s="4"/>
      <c r="J190" s="4"/>
      <c r="K190" s="4"/>
    </row>
    <row r="191" spans="5:11" ht="14.25" customHeight="1">
      <c r="E191" s="4"/>
      <c r="F191" s="4"/>
      <c r="G191" s="4"/>
      <c r="I191" s="4"/>
      <c r="J191" s="4"/>
      <c r="K191" s="4"/>
    </row>
    <row r="192" spans="5:11" ht="14.25" customHeight="1">
      <c r="E192" s="4"/>
      <c r="F192" s="4"/>
      <c r="G192" s="4"/>
      <c r="I192" s="4"/>
      <c r="J192" s="4"/>
      <c r="K192" s="4"/>
    </row>
    <row r="193" spans="5:11" ht="14.25" customHeight="1">
      <c r="E193" s="4"/>
      <c r="F193" s="4"/>
      <c r="G193" s="4"/>
      <c r="I193" s="4"/>
      <c r="J193" s="4"/>
      <c r="K193" s="4"/>
    </row>
    <row r="194" spans="5:11" ht="14.25" customHeight="1">
      <c r="E194" s="4"/>
      <c r="F194" s="4"/>
      <c r="G194" s="4"/>
      <c r="I194" s="4"/>
      <c r="J194" s="4"/>
      <c r="K194" s="4"/>
    </row>
    <row r="195" spans="5:11" ht="14.25" customHeight="1">
      <c r="E195" s="4"/>
      <c r="F195" s="4"/>
      <c r="G195" s="4"/>
      <c r="I195" s="4"/>
      <c r="J195" s="4"/>
      <c r="K195" s="4"/>
    </row>
    <row r="196" spans="5:11" ht="14.25" customHeight="1">
      <c r="E196" s="4"/>
      <c r="F196" s="4"/>
      <c r="G196" s="4"/>
      <c r="I196" s="4"/>
      <c r="J196" s="4"/>
      <c r="K196" s="4"/>
    </row>
    <row r="197" spans="5:11" ht="14.25" customHeight="1">
      <c r="E197" s="4"/>
      <c r="F197" s="4"/>
      <c r="G197" s="4"/>
      <c r="I197" s="4"/>
      <c r="J197" s="4"/>
      <c r="K197" s="4"/>
    </row>
    <row r="198" spans="5:11" ht="14.25" customHeight="1">
      <c r="E198" s="4"/>
      <c r="F198" s="4"/>
      <c r="G198" s="4"/>
      <c r="I198" s="4"/>
      <c r="J198" s="4"/>
      <c r="K198" s="4"/>
    </row>
    <row r="199" spans="5:11" ht="14.25" customHeight="1">
      <c r="E199" s="4"/>
      <c r="F199" s="4"/>
      <c r="G199" s="4"/>
      <c r="I199" s="4"/>
      <c r="J199" s="4"/>
      <c r="K199" s="4"/>
    </row>
    <row r="200" spans="5:11" ht="14.25" customHeight="1">
      <c r="E200" s="4"/>
      <c r="F200" s="4"/>
      <c r="G200" s="4"/>
      <c r="I200" s="4"/>
      <c r="J200" s="4"/>
      <c r="K200" s="4"/>
    </row>
    <row r="201" spans="5:11" ht="14.25" customHeight="1">
      <c r="E201" s="4"/>
      <c r="F201" s="4"/>
      <c r="G201" s="4"/>
      <c r="I201" s="4"/>
      <c r="J201" s="4"/>
      <c r="K201" s="4"/>
    </row>
    <row r="202" spans="5:11" ht="14.25" customHeight="1">
      <c r="E202" s="4"/>
      <c r="F202" s="4"/>
      <c r="G202" s="4"/>
      <c r="I202" s="4"/>
      <c r="J202" s="4"/>
      <c r="K202" s="4"/>
    </row>
    <row r="203" spans="5:11" ht="14.25" customHeight="1">
      <c r="E203" s="4"/>
      <c r="F203" s="4"/>
      <c r="G203" s="4"/>
      <c r="I203" s="4"/>
      <c r="J203" s="4"/>
      <c r="K203" s="4"/>
    </row>
    <row r="204" spans="5:11" ht="14.25" customHeight="1">
      <c r="E204" s="4"/>
      <c r="F204" s="4"/>
      <c r="G204" s="4"/>
      <c r="I204" s="4"/>
      <c r="J204" s="4"/>
      <c r="K204" s="4"/>
    </row>
    <row r="205" spans="5:11" ht="14.25" customHeight="1">
      <c r="E205" s="4"/>
      <c r="F205" s="4"/>
      <c r="G205" s="4"/>
      <c r="I205" s="4"/>
      <c r="J205" s="4"/>
      <c r="K205" s="4"/>
    </row>
    <row r="206" spans="5:11" ht="14.25" customHeight="1">
      <c r="E206" s="4"/>
      <c r="F206" s="4"/>
      <c r="G206" s="4"/>
      <c r="I206" s="4"/>
      <c r="J206" s="4"/>
      <c r="K206" s="4"/>
    </row>
    <row r="207" spans="5:11" ht="14.25" customHeight="1">
      <c r="E207" s="4"/>
      <c r="F207" s="4"/>
      <c r="G207" s="4"/>
      <c r="I207" s="4"/>
      <c r="J207" s="4"/>
      <c r="K207" s="4"/>
    </row>
    <row r="208" spans="5:11" ht="14.25" customHeight="1">
      <c r="E208" s="4"/>
      <c r="F208" s="4"/>
      <c r="G208" s="4"/>
      <c r="I208" s="4"/>
      <c r="J208" s="4"/>
      <c r="K208" s="4"/>
    </row>
    <row r="209" spans="5:11" ht="14.25" customHeight="1">
      <c r="E209" s="4"/>
      <c r="F209" s="4"/>
      <c r="G209" s="4"/>
      <c r="I209" s="4"/>
      <c r="J209" s="4"/>
      <c r="K209" s="4"/>
    </row>
    <row r="210" spans="5:11" ht="14.25" customHeight="1">
      <c r="E210" s="4"/>
      <c r="F210" s="4"/>
      <c r="G210" s="4"/>
      <c r="I210" s="4"/>
      <c r="J210" s="4"/>
      <c r="K210" s="4"/>
    </row>
    <row r="211" spans="5:11" ht="14.25" customHeight="1">
      <c r="E211" s="4"/>
      <c r="F211" s="4"/>
      <c r="G211" s="4"/>
      <c r="I211" s="4"/>
      <c r="J211" s="4"/>
      <c r="K211" s="4"/>
    </row>
    <row r="212" spans="5:11" ht="14.25" customHeight="1">
      <c r="E212" s="4"/>
      <c r="F212" s="4"/>
      <c r="G212" s="4"/>
      <c r="I212" s="4"/>
      <c r="J212" s="4"/>
      <c r="K212" s="4"/>
    </row>
    <row r="213" spans="5:11" ht="14.25" customHeight="1">
      <c r="E213" s="4"/>
      <c r="F213" s="4"/>
      <c r="G213" s="4"/>
      <c r="I213" s="4"/>
      <c r="J213" s="4"/>
      <c r="K213" s="4"/>
    </row>
    <row r="214" spans="5:11" ht="14.25" customHeight="1">
      <c r="E214" s="4"/>
      <c r="F214" s="4"/>
      <c r="G214" s="4"/>
      <c r="I214" s="4"/>
      <c r="J214" s="4"/>
      <c r="K214" s="4"/>
    </row>
    <row r="215" spans="5:11" ht="14.25" customHeight="1">
      <c r="E215" s="4"/>
      <c r="F215" s="4"/>
      <c r="G215" s="4"/>
      <c r="I215" s="4"/>
      <c r="J215" s="4"/>
      <c r="K215" s="4"/>
    </row>
    <row r="216" spans="5:11" ht="14.25" customHeight="1">
      <c r="E216" s="4"/>
      <c r="F216" s="4"/>
      <c r="G216" s="4"/>
      <c r="I216" s="4"/>
      <c r="J216" s="4"/>
      <c r="K216" s="4"/>
    </row>
    <row r="217" spans="5:11" ht="14.25" customHeight="1">
      <c r="E217" s="4"/>
      <c r="F217" s="4"/>
      <c r="G217" s="4"/>
      <c r="I217" s="4"/>
      <c r="J217" s="4"/>
      <c r="K217" s="4"/>
    </row>
    <row r="218" spans="5:11" ht="14.25" customHeight="1">
      <c r="E218" s="4"/>
      <c r="F218" s="4"/>
      <c r="G218" s="4"/>
      <c r="I218" s="4"/>
      <c r="J218" s="4"/>
      <c r="K218" s="4"/>
    </row>
    <row r="219" spans="5:11" ht="14.25" customHeight="1">
      <c r="E219" s="4"/>
      <c r="F219" s="4"/>
      <c r="G219" s="4"/>
      <c r="I219" s="4"/>
      <c r="J219" s="4"/>
      <c r="K219" s="4"/>
    </row>
    <row r="220" spans="5:11" ht="14.25" customHeight="1">
      <c r="E220" s="4"/>
      <c r="F220" s="4"/>
      <c r="G220" s="4"/>
      <c r="I220" s="4"/>
      <c r="J220" s="4"/>
      <c r="K220" s="4"/>
    </row>
    <row r="221" spans="5:11" ht="14.25" customHeight="1">
      <c r="E221" s="4"/>
      <c r="F221" s="4"/>
      <c r="G221" s="4"/>
      <c r="I221" s="4"/>
      <c r="J221" s="4"/>
      <c r="K221" s="4"/>
    </row>
    <row r="222" spans="5:11" ht="14.25" customHeight="1">
      <c r="E222" s="4"/>
      <c r="F222" s="4"/>
      <c r="G222" s="4"/>
      <c r="I222" s="4"/>
      <c r="J222" s="4"/>
      <c r="K222" s="4"/>
    </row>
    <row r="223" spans="5:11" ht="14.25" customHeight="1">
      <c r="E223" s="4"/>
      <c r="F223" s="4"/>
      <c r="G223" s="4"/>
      <c r="I223" s="4"/>
      <c r="J223" s="4"/>
      <c r="K223" s="4"/>
    </row>
    <row r="224" spans="5:11" ht="14.25" customHeight="1">
      <c r="E224" s="4"/>
      <c r="F224" s="4"/>
      <c r="G224" s="4"/>
      <c r="I224" s="4"/>
      <c r="J224" s="4"/>
      <c r="K224" s="4"/>
    </row>
    <row r="225" spans="5:11" ht="14.25" customHeight="1">
      <c r="E225" s="4"/>
      <c r="F225" s="4"/>
      <c r="G225" s="4"/>
      <c r="I225" s="4"/>
      <c r="J225" s="4"/>
      <c r="K225" s="4"/>
    </row>
    <row r="226" spans="5:11" ht="14.25" customHeight="1">
      <c r="E226" s="4"/>
      <c r="F226" s="4"/>
      <c r="G226" s="4"/>
      <c r="I226" s="4"/>
      <c r="J226" s="4"/>
      <c r="K226" s="4"/>
    </row>
    <row r="227" spans="5:11" ht="14.25" customHeight="1">
      <c r="E227" s="4"/>
      <c r="F227" s="4"/>
      <c r="G227" s="4"/>
      <c r="I227" s="4"/>
      <c r="J227" s="4"/>
      <c r="K227" s="4"/>
    </row>
    <row r="228" spans="5:11" ht="14.25" customHeight="1">
      <c r="E228" s="4"/>
      <c r="F228" s="4"/>
      <c r="G228" s="4"/>
      <c r="I228" s="4"/>
      <c r="J228" s="4"/>
      <c r="K228" s="4"/>
    </row>
    <row r="229" spans="5:11" ht="14.25" customHeight="1">
      <c r="E229" s="4"/>
      <c r="F229" s="4"/>
      <c r="G229" s="4"/>
      <c r="I229" s="4"/>
      <c r="J229" s="4"/>
      <c r="K229" s="4"/>
    </row>
    <row r="230" spans="5:11" ht="14.25" customHeight="1">
      <c r="E230" s="4"/>
      <c r="F230" s="4"/>
      <c r="G230" s="4"/>
      <c r="I230" s="4"/>
      <c r="J230" s="4"/>
      <c r="K230" s="4"/>
    </row>
    <row r="231" spans="5:11" ht="14.25" customHeight="1">
      <c r="E231" s="4"/>
      <c r="F231" s="4"/>
      <c r="G231" s="4"/>
      <c r="I231" s="4"/>
      <c r="J231" s="4"/>
      <c r="K231" s="4"/>
    </row>
    <row r="232" spans="5:11" ht="14.25" customHeight="1">
      <c r="E232" s="4"/>
      <c r="F232" s="4"/>
      <c r="G232" s="4"/>
      <c r="I232" s="4"/>
      <c r="J232" s="4"/>
      <c r="K232" s="4"/>
    </row>
    <row r="233" spans="5:11" ht="14.25" customHeight="1">
      <c r="E233" s="4"/>
      <c r="F233" s="4"/>
      <c r="G233" s="4"/>
      <c r="I233" s="4"/>
      <c r="J233" s="4"/>
      <c r="K233" s="4"/>
    </row>
    <row r="234" spans="5:11" ht="14.25" customHeight="1">
      <c r="E234" s="4"/>
      <c r="F234" s="4"/>
      <c r="G234" s="4"/>
      <c r="I234" s="4"/>
      <c r="J234" s="4"/>
      <c r="K234" s="4"/>
    </row>
    <row r="235" spans="5:11" ht="14.25" customHeight="1">
      <c r="E235" s="4"/>
      <c r="F235" s="4"/>
      <c r="G235" s="4"/>
      <c r="I235" s="4"/>
      <c r="J235" s="4"/>
      <c r="K235" s="4"/>
    </row>
    <row r="236" spans="5:11" ht="14.25" customHeight="1">
      <c r="E236" s="4"/>
      <c r="F236" s="4"/>
      <c r="G236" s="4"/>
      <c r="I236" s="4"/>
      <c r="J236" s="4"/>
      <c r="K236" s="4"/>
    </row>
    <row r="237" spans="5:11" ht="14.25" customHeight="1">
      <c r="E237" s="4"/>
      <c r="F237" s="4"/>
      <c r="G237" s="4"/>
      <c r="I237" s="4"/>
      <c r="J237" s="4"/>
      <c r="K237" s="4"/>
    </row>
    <row r="238" spans="5:11" ht="14.25" customHeight="1">
      <c r="E238" s="4"/>
      <c r="F238" s="4"/>
      <c r="G238" s="4"/>
      <c r="I238" s="4"/>
      <c r="J238" s="4"/>
      <c r="K238" s="4"/>
    </row>
    <row r="239" spans="5:11" ht="14.25" customHeight="1">
      <c r="E239" s="4"/>
      <c r="F239" s="4"/>
      <c r="G239" s="4"/>
      <c r="I239" s="4"/>
      <c r="J239" s="4"/>
      <c r="K239" s="4"/>
    </row>
    <row r="240" spans="5:11" ht="14.25" customHeight="1">
      <c r="E240" s="4"/>
      <c r="F240" s="4"/>
      <c r="G240" s="4"/>
      <c r="I240" s="4"/>
      <c r="J240" s="4"/>
      <c r="K240" s="4"/>
    </row>
    <row r="241" spans="5:11" ht="14.25" customHeight="1">
      <c r="E241" s="4"/>
      <c r="F241" s="4"/>
      <c r="G241" s="4"/>
      <c r="I241" s="4"/>
      <c r="J241" s="4"/>
      <c r="K241" s="4"/>
    </row>
    <row r="242" spans="5:11" ht="14.25" customHeight="1">
      <c r="E242" s="4"/>
      <c r="F242" s="4"/>
      <c r="G242" s="4"/>
      <c r="I242" s="4"/>
      <c r="J242" s="4"/>
      <c r="K242" s="4"/>
    </row>
    <row r="243" spans="5:11" ht="14.25" customHeight="1">
      <c r="E243" s="4"/>
      <c r="F243" s="4"/>
      <c r="G243" s="4"/>
      <c r="I243" s="4"/>
      <c r="J243" s="4"/>
      <c r="K243" s="4"/>
    </row>
    <row r="244" spans="5:11" ht="14.25" customHeight="1">
      <c r="E244" s="4"/>
      <c r="F244" s="4"/>
      <c r="G244" s="4"/>
      <c r="I244" s="4"/>
      <c r="J244" s="4"/>
      <c r="K244" s="4"/>
    </row>
    <row r="245" spans="5:11" ht="14.25" customHeight="1">
      <c r="E245" s="4"/>
      <c r="F245" s="4"/>
      <c r="G245" s="4"/>
      <c r="I245" s="4"/>
      <c r="J245" s="4"/>
      <c r="K245" s="4"/>
    </row>
    <row r="246" spans="5:11" ht="14.25" customHeight="1">
      <c r="E246" s="4"/>
      <c r="F246" s="4"/>
      <c r="G246" s="4"/>
      <c r="I246" s="4"/>
      <c r="J246" s="4"/>
      <c r="K246" s="4"/>
    </row>
    <row r="247" spans="5:11" ht="14.25" customHeight="1">
      <c r="E247" s="4"/>
      <c r="F247" s="4"/>
      <c r="G247" s="4"/>
      <c r="I247" s="4"/>
      <c r="J247" s="4"/>
      <c r="K247" s="4"/>
    </row>
    <row r="248" spans="5:11" ht="14.25" customHeight="1">
      <c r="E248" s="4"/>
      <c r="F248" s="4"/>
      <c r="G248" s="4"/>
      <c r="I248" s="4"/>
      <c r="J248" s="4"/>
      <c r="K248" s="4"/>
    </row>
    <row r="249" spans="5:11" ht="14.25" customHeight="1">
      <c r="E249" s="4"/>
      <c r="F249" s="4"/>
      <c r="G249" s="4"/>
      <c r="I249" s="4"/>
      <c r="J249" s="4"/>
      <c r="K249" s="4"/>
    </row>
    <row r="250" spans="5:11" ht="14.25" customHeight="1">
      <c r="E250" s="4"/>
      <c r="F250" s="4"/>
      <c r="G250" s="4"/>
      <c r="I250" s="4"/>
      <c r="J250" s="4"/>
      <c r="K250" s="4"/>
    </row>
    <row r="251" spans="5:11" ht="14.25" customHeight="1">
      <c r="E251" s="4"/>
      <c r="F251" s="4"/>
      <c r="G251" s="4"/>
      <c r="I251" s="4"/>
      <c r="J251" s="4"/>
      <c r="K251" s="4"/>
    </row>
    <row r="252" spans="5:11" ht="14.25" customHeight="1">
      <c r="E252" s="4"/>
      <c r="F252" s="4"/>
      <c r="G252" s="4"/>
      <c r="I252" s="4"/>
      <c r="J252" s="4"/>
      <c r="K252" s="4"/>
    </row>
    <row r="253" spans="5:11" ht="14.25" customHeight="1">
      <c r="E253" s="4"/>
      <c r="F253" s="4"/>
      <c r="G253" s="4"/>
      <c r="I253" s="4"/>
      <c r="J253" s="4"/>
      <c r="K253" s="4"/>
    </row>
    <row r="254" spans="5:11" ht="14.25" customHeight="1">
      <c r="E254" s="4"/>
      <c r="F254" s="4"/>
      <c r="G254" s="4"/>
      <c r="I254" s="4"/>
      <c r="J254" s="4"/>
      <c r="K254" s="4"/>
    </row>
    <row r="255" spans="5:11" ht="14.25" customHeight="1">
      <c r="E255" s="4"/>
      <c r="F255" s="4"/>
      <c r="G255" s="4"/>
      <c r="I255" s="4"/>
      <c r="J255" s="4"/>
      <c r="K255" s="4"/>
    </row>
    <row r="256" spans="5:11" ht="14.25" customHeight="1">
      <c r="E256" s="4"/>
      <c r="F256" s="4"/>
      <c r="G256" s="4"/>
      <c r="I256" s="4"/>
      <c r="J256" s="4"/>
      <c r="K256" s="4"/>
    </row>
    <row r="257" spans="5:11" ht="14.25" customHeight="1">
      <c r="E257" s="4"/>
      <c r="F257" s="4"/>
      <c r="G257" s="4"/>
      <c r="I257" s="4"/>
      <c r="J257" s="4"/>
      <c r="K257" s="4"/>
    </row>
    <row r="258" spans="5:11" ht="14.25" customHeight="1">
      <c r="E258" s="4"/>
      <c r="F258" s="4"/>
      <c r="G258" s="4"/>
      <c r="I258" s="4"/>
      <c r="J258" s="4"/>
      <c r="K258" s="4"/>
    </row>
    <row r="259" spans="5:11" ht="14.25" customHeight="1">
      <c r="E259" s="4"/>
      <c r="F259" s="4"/>
      <c r="G259" s="4"/>
      <c r="I259" s="4"/>
      <c r="J259" s="4"/>
      <c r="K259" s="4"/>
    </row>
    <row r="260" spans="5:11" ht="14.25" customHeight="1">
      <c r="E260" s="4"/>
      <c r="F260" s="4"/>
      <c r="G260" s="4"/>
      <c r="I260" s="4"/>
      <c r="J260" s="4"/>
      <c r="K260" s="4"/>
    </row>
    <row r="261" spans="5:11" ht="14.25" customHeight="1">
      <c r="E261" s="4"/>
      <c r="F261" s="4"/>
      <c r="G261" s="4"/>
      <c r="I261" s="4"/>
      <c r="J261" s="4"/>
      <c r="K261" s="4"/>
    </row>
    <row r="262" spans="5:11" ht="14.25" customHeight="1">
      <c r="E262" s="4"/>
      <c r="F262" s="4"/>
      <c r="G262" s="4"/>
      <c r="I262" s="4"/>
      <c r="J262" s="4"/>
      <c r="K262" s="4"/>
    </row>
    <row r="263" spans="5:11" ht="14.25" customHeight="1">
      <c r="E263" s="4"/>
      <c r="F263" s="4"/>
      <c r="G263" s="4"/>
      <c r="I263" s="4"/>
      <c r="J263" s="4"/>
      <c r="K263" s="4"/>
    </row>
    <row r="264" spans="5:11" ht="14.25" customHeight="1">
      <c r="E264" s="4"/>
      <c r="F264" s="4"/>
      <c r="G264" s="4"/>
      <c r="I264" s="4"/>
      <c r="J264" s="4"/>
      <c r="K264" s="4"/>
    </row>
    <row r="265" spans="5:11" ht="14.25" customHeight="1">
      <c r="E265" s="4"/>
      <c r="F265" s="4"/>
      <c r="G265" s="4"/>
      <c r="I265" s="4"/>
      <c r="J265" s="4"/>
      <c r="K265" s="4"/>
    </row>
    <row r="266" spans="5:11" ht="14.25" customHeight="1">
      <c r="E266" s="4"/>
      <c r="F266" s="4"/>
      <c r="G266" s="4"/>
      <c r="I266" s="4"/>
      <c r="J266" s="4"/>
      <c r="K266" s="4"/>
    </row>
    <row r="267" spans="5:11" ht="14.25" customHeight="1">
      <c r="E267" s="4"/>
      <c r="F267" s="4"/>
      <c r="G267" s="4"/>
      <c r="I267" s="4"/>
      <c r="J267" s="4"/>
      <c r="K267" s="4"/>
    </row>
    <row r="268" spans="5:11" ht="14.25" customHeight="1">
      <c r="E268" s="4"/>
      <c r="F268" s="4"/>
      <c r="G268" s="4"/>
      <c r="I268" s="4"/>
      <c r="J268" s="4"/>
      <c r="K268" s="4"/>
    </row>
    <row r="269" spans="5:11" ht="14.25" customHeight="1">
      <c r="E269" s="4"/>
      <c r="F269" s="4"/>
      <c r="G269" s="4"/>
      <c r="I269" s="4"/>
      <c r="J269" s="4"/>
      <c r="K269" s="4"/>
    </row>
    <row r="270" spans="5:11" ht="14.25" customHeight="1">
      <c r="E270" s="4"/>
      <c r="F270" s="4"/>
      <c r="G270" s="4"/>
      <c r="I270" s="4"/>
      <c r="J270" s="4"/>
      <c r="K270" s="4"/>
    </row>
    <row r="271" spans="5:11" ht="14.25" customHeight="1">
      <c r="E271" s="4"/>
      <c r="F271" s="4"/>
      <c r="G271" s="4"/>
      <c r="I271" s="4"/>
      <c r="J271" s="4"/>
      <c r="K271" s="4"/>
    </row>
    <row r="272" spans="5:11" ht="14.25" customHeight="1">
      <c r="E272" s="4"/>
      <c r="F272" s="4"/>
      <c r="G272" s="4"/>
      <c r="I272" s="4"/>
      <c r="J272" s="4"/>
      <c r="K272" s="4"/>
    </row>
    <row r="273" spans="5:11" ht="14.25" customHeight="1">
      <c r="E273" s="4"/>
      <c r="F273" s="4"/>
      <c r="G273" s="4"/>
      <c r="I273" s="4"/>
      <c r="J273" s="4"/>
      <c r="K273" s="4"/>
    </row>
    <row r="274" spans="5:11" ht="14.25" customHeight="1">
      <c r="E274" s="4"/>
      <c r="F274" s="4"/>
      <c r="G274" s="4"/>
      <c r="I274" s="4"/>
      <c r="J274" s="4"/>
      <c r="K274" s="4"/>
    </row>
    <row r="275" spans="5:11" ht="14.25" customHeight="1">
      <c r="E275" s="4"/>
      <c r="F275" s="4"/>
      <c r="G275" s="4"/>
      <c r="I275" s="4"/>
      <c r="J275" s="4"/>
      <c r="K275" s="4"/>
    </row>
    <row r="276" spans="5:11" ht="14.25" customHeight="1">
      <c r="E276" s="4"/>
      <c r="F276" s="4"/>
      <c r="G276" s="4"/>
      <c r="I276" s="4"/>
      <c r="J276" s="4"/>
      <c r="K276" s="4"/>
    </row>
    <row r="277" spans="5:11" ht="14.25" customHeight="1">
      <c r="E277" s="4"/>
      <c r="F277" s="4"/>
      <c r="G277" s="4"/>
      <c r="I277" s="4"/>
      <c r="J277" s="4"/>
      <c r="K277" s="4"/>
    </row>
    <row r="278" spans="5:11" ht="14.25" customHeight="1">
      <c r="E278" s="4"/>
      <c r="F278" s="4"/>
      <c r="G278" s="4"/>
      <c r="I278" s="4"/>
      <c r="J278" s="4"/>
      <c r="K278" s="4"/>
    </row>
    <row r="279" spans="5:11" ht="14.25" customHeight="1">
      <c r="E279" s="4"/>
      <c r="F279" s="4"/>
      <c r="G279" s="4"/>
      <c r="I279" s="4"/>
      <c r="J279" s="4"/>
      <c r="K279" s="4"/>
    </row>
    <row r="280" spans="5:11" ht="14.25" customHeight="1">
      <c r="E280" s="4"/>
      <c r="F280" s="4"/>
      <c r="G280" s="4"/>
      <c r="I280" s="4"/>
      <c r="J280" s="4"/>
      <c r="K280" s="4"/>
    </row>
    <row r="281" spans="5:11" ht="14.25" customHeight="1">
      <c r="E281" s="4"/>
      <c r="F281" s="4"/>
      <c r="G281" s="4"/>
      <c r="I281" s="4"/>
      <c r="J281" s="4"/>
      <c r="K281" s="4"/>
    </row>
    <row r="282" spans="5:11" ht="14.25" customHeight="1">
      <c r="E282" s="4"/>
      <c r="F282" s="4"/>
      <c r="G282" s="4"/>
      <c r="I282" s="4"/>
      <c r="J282" s="4"/>
      <c r="K282" s="4"/>
    </row>
    <row r="283" spans="5:11" ht="14.25" customHeight="1">
      <c r="E283" s="4"/>
      <c r="F283" s="4"/>
      <c r="G283" s="4"/>
      <c r="I283" s="4"/>
      <c r="J283" s="4"/>
      <c r="K283" s="4"/>
    </row>
    <row r="284" spans="5:11" ht="14.25" customHeight="1">
      <c r="E284" s="4"/>
      <c r="F284" s="4"/>
      <c r="G284" s="4"/>
      <c r="I284" s="4"/>
      <c r="J284" s="4"/>
      <c r="K284" s="4"/>
    </row>
    <row r="285" spans="5:11" ht="14.25" customHeight="1">
      <c r="E285" s="4"/>
      <c r="F285" s="4"/>
      <c r="G285" s="4"/>
      <c r="I285" s="4"/>
      <c r="J285" s="4"/>
      <c r="K285" s="4"/>
    </row>
    <row r="286" spans="5:11" ht="14.25" customHeight="1">
      <c r="E286" s="4"/>
      <c r="F286" s="4"/>
      <c r="G286" s="4"/>
      <c r="I286" s="4"/>
      <c r="J286" s="4"/>
      <c r="K286" s="4"/>
    </row>
    <row r="287" spans="5:11" ht="14.25" customHeight="1">
      <c r="E287" s="4"/>
      <c r="F287" s="4"/>
      <c r="G287" s="4"/>
      <c r="I287" s="4"/>
      <c r="J287" s="4"/>
      <c r="K287" s="4"/>
    </row>
    <row r="288" spans="5:11" ht="14.25" customHeight="1">
      <c r="E288" s="4"/>
      <c r="F288" s="4"/>
      <c r="G288" s="4"/>
      <c r="I288" s="4"/>
      <c r="J288" s="4"/>
      <c r="K288" s="4"/>
    </row>
    <row r="289" spans="5:11" ht="14.25" customHeight="1">
      <c r="E289" s="4"/>
      <c r="F289" s="4"/>
      <c r="G289" s="4"/>
      <c r="I289" s="4"/>
      <c r="J289" s="4"/>
      <c r="K289" s="4"/>
    </row>
    <row r="290" spans="5:11" ht="14.25" customHeight="1">
      <c r="E290" s="4"/>
      <c r="F290" s="4"/>
      <c r="G290" s="4"/>
      <c r="I290" s="4"/>
      <c r="J290" s="4"/>
      <c r="K290" s="4"/>
    </row>
    <row r="291" spans="5:11" ht="14.25" customHeight="1">
      <c r="E291" s="4"/>
      <c r="F291" s="4"/>
      <c r="G291" s="4"/>
      <c r="I291" s="4"/>
      <c r="J291" s="4"/>
      <c r="K291" s="4"/>
    </row>
    <row r="292" spans="5:11" ht="14.25" customHeight="1">
      <c r="E292" s="4"/>
      <c r="F292" s="4"/>
      <c r="G292" s="4"/>
      <c r="I292" s="4"/>
      <c r="J292" s="4"/>
      <c r="K292" s="4"/>
    </row>
    <row r="293" spans="5:11" ht="14.25" customHeight="1">
      <c r="E293" s="4"/>
      <c r="F293" s="4"/>
      <c r="G293" s="4"/>
      <c r="I293" s="4"/>
      <c r="J293" s="4"/>
      <c r="K293" s="4"/>
    </row>
    <row r="294" spans="5:11" ht="14.25" customHeight="1">
      <c r="E294" s="4"/>
      <c r="F294" s="4"/>
      <c r="G294" s="4"/>
      <c r="I294" s="4"/>
      <c r="J294" s="4"/>
      <c r="K294" s="4"/>
    </row>
    <row r="295" spans="5:11" ht="14.25" customHeight="1">
      <c r="E295" s="4"/>
      <c r="F295" s="4"/>
      <c r="G295" s="4"/>
      <c r="I295" s="4"/>
      <c r="J295" s="4"/>
      <c r="K295" s="4"/>
    </row>
    <row r="296" spans="5:11" ht="14.25" customHeight="1">
      <c r="E296" s="4"/>
      <c r="F296" s="4"/>
      <c r="G296" s="4"/>
      <c r="I296" s="4"/>
      <c r="J296" s="4"/>
      <c r="K296" s="4"/>
    </row>
    <row r="297" spans="5:11" ht="14.25" customHeight="1">
      <c r="E297" s="4"/>
      <c r="F297" s="4"/>
      <c r="G297" s="4"/>
      <c r="I297" s="4"/>
      <c r="J297" s="4"/>
      <c r="K297" s="4"/>
    </row>
    <row r="298" spans="5:11" ht="14.25" customHeight="1">
      <c r="E298" s="4"/>
      <c r="F298" s="4"/>
      <c r="G298" s="4"/>
      <c r="I298" s="4"/>
      <c r="J298" s="4"/>
      <c r="K298" s="4"/>
    </row>
    <row r="299" spans="5:11" ht="14.25" customHeight="1">
      <c r="E299" s="4"/>
      <c r="F299" s="4"/>
      <c r="G299" s="4"/>
      <c r="I299" s="4"/>
      <c r="J299" s="4"/>
      <c r="K299" s="4"/>
    </row>
    <row r="300" spans="5:11" ht="14.25" customHeight="1">
      <c r="E300" s="4"/>
      <c r="F300" s="4"/>
      <c r="G300" s="4"/>
      <c r="I300" s="4"/>
      <c r="J300" s="4"/>
      <c r="K300" s="4"/>
    </row>
    <row r="301" spans="5:11" ht="14.25" customHeight="1">
      <c r="E301" s="4"/>
      <c r="F301" s="4"/>
      <c r="G301" s="4"/>
      <c r="I301" s="4"/>
      <c r="J301" s="4"/>
      <c r="K301" s="4"/>
    </row>
    <row r="302" spans="5:11" ht="14.25" customHeight="1">
      <c r="E302" s="4"/>
      <c r="F302" s="4"/>
      <c r="G302" s="4"/>
      <c r="I302" s="4"/>
      <c r="J302" s="4"/>
      <c r="K302" s="4"/>
    </row>
    <row r="303" spans="5:11" ht="14.25" customHeight="1">
      <c r="E303" s="4"/>
      <c r="F303" s="4"/>
      <c r="G303" s="4"/>
      <c r="I303" s="4"/>
      <c r="J303" s="4"/>
      <c r="K303" s="4"/>
    </row>
    <row r="304" spans="5:11" ht="14.25" customHeight="1">
      <c r="E304" s="4"/>
      <c r="F304" s="4"/>
      <c r="G304" s="4"/>
      <c r="I304" s="4"/>
      <c r="J304" s="4"/>
      <c r="K304" s="4"/>
    </row>
    <row r="305" spans="5:11" ht="14.25" customHeight="1">
      <c r="E305" s="4"/>
      <c r="F305" s="4"/>
      <c r="G305" s="4"/>
      <c r="I305" s="4"/>
      <c r="J305" s="4"/>
      <c r="K305" s="4"/>
    </row>
    <row r="306" spans="5:11" ht="14.25" customHeight="1">
      <c r="E306" s="4"/>
      <c r="F306" s="4"/>
      <c r="G306" s="4"/>
      <c r="I306" s="4"/>
      <c r="J306" s="4"/>
      <c r="K306" s="4"/>
    </row>
    <row r="307" spans="5:11" ht="14.25" customHeight="1">
      <c r="E307" s="4"/>
      <c r="F307" s="4"/>
      <c r="G307" s="4"/>
      <c r="I307" s="4"/>
      <c r="J307" s="4"/>
      <c r="K307" s="4"/>
    </row>
    <row r="308" spans="5:11" ht="14.25" customHeight="1">
      <c r="E308" s="4"/>
      <c r="F308" s="4"/>
      <c r="G308" s="4"/>
      <c r="I308" s="4"/>
      <c r="J308" s="4"/>
      <c r="K308" s="4"/>
    </row>
    <row r="309" spans="5:11" ht="14.25" customHeight="1">
      <c r="E309" s="4"/>
      <c r="F309" s="4"/>
      <c r="G309" s="4"/>
      <c r="I309" s="4"/>
      <c r="J309" s="4"/>
      <c r="K309" s="4"/>
    </row>
    <row r="310" spans="5:11" ht="14.25" customHeight="1">
      <c r="E310" s="4"/>
      <c r="F310" s="4"/>
      <c r="G310" s="4"/>
      <c r="I310" s="4"/>
      <c r="J310" s="4"/>
      <c r="K310" s="4"/>
    </row>
    <row r="311" spans="5:11" ht="14.25" customHeight="1">
      <c r="E311" s="4"/>
      <c r="F311" s="4"/>
      <c r="G311" s="4"/>
      <c r="I311" s="4"/>
      <c r="J311" s="4"/>
      <c r="K311" s="4"/>
    </row>
    <row r="312" spans="5:11" ht="14.25" customHeight="1">
      <c r="E312" s="4"/>
      <c r="F312" s="4"/>
      <c r="G312" s="4"/>
      <c r="I312" s="4"/>
      <c r="J312" s="4"/>
      <c r="K312" s="4"/>
    </row>
    <row r="313" spans="5:11" ht="14.25" customHeight="1">
      <c r="E313" s="4"/>
      <c r="F313" s="4"/>
      <c r="G313" s="4"/>
      <c r="I313" s="4"/>
      <c r="J313" s="4"/>
      <c r="K313" s="4"/>
    </row>
    <row r="314" spans="5:11" ht="14.25" customHeight="1">
      <c r="E314" s="4"/>
      <c r="F314" s="4"/>
      <c r="G314" s="4"/>
      <c r="I314" s="4"/>
      <c r="J314" s="4"/>
      <c r="K314" s="4"/>
    </row>
    <row r="315" spans="5:11" ht="14.25" customHeight="1">
      <c r="E315" s="4"/>
      <c r="F315" s="4"/>
      <c r="G315" s="4"/>
      <c r="I315" s="4"/>
      <c r="J315" s="4"/>
      <c r="K315" s="4"/>
    </row>
    <row r="316" spans="5:11" ht="14.25" customHeight="1">
      <c r="E316" s="4"/>
      <c r="F316" s="4"/>
      <c r="G316" s="4"/>
      <c r="I316" s="4"/>
      <c r="J316" s="4"/>
      <c r="K316" s="4"/>
    </row>
    <row r="317" spans="5:11" ht="14.25" customHeight="1">
      <c r="E317" s="4"/>
      <c r="F317" s="4"/>
      <c r="G317" s="4"/>
      <c r="I317" s="4"/>
      <c r="J317" s="4"/>
      <c r="K317" s="4"/>
    </row>
    <row r="318" spans="5:11" ht="14.25" customHeight="1">
      <c r="E318" s="4"/>
      <c r="F318" s="4"/>
      <c r="G318" s="4"/>
      <c r="I318" s="4"/>
      <c r="J318" s="4"/>
      <c r="K318" s="4"/>
    </row>
    <row r="319" spans="5:11" ht="14.25" customHeight="1">
      <c r="E319" s="4"/>
      <c r="F319" s="4"/>
      <c r="G319" s="4"/>
      <c r="I319" s="4"/>
      <c r="J319" s="4"/>
      <c r="K319" s="4"/>
    </row>
    <row r="320" spans="5:11" ht="14.25" customHeight="1">
      <c r="E320" s="4"/>
      <c r="F320" s="4"/>
      <c r="G320" s="4"/>
      <c r="I320" s="4"/>
      <c r="J320" s="4"/>
      <c r="K320" s="4"/>
    </row>
    <row r="321" spans="5:11" ht="14.25" customHeight="1">
      <c r="E321" s="4"/>
      <c r="F321" s="4"/>
      <c r="G321" s="4"/>
      <c r="I321" s="4"/>
      <c r="J321" s="4"/>
      <c r="K321" s="4"/>
    </row>
    <row r="322" spans="5:11" ht="14.25" customHeight="1">
      <c r="E322" s="4"/>
      <c r="F322" s="4"/>
      <c r="G322" s="4"/>
      <c r="I322" s="4"/>
      <c r="J322" s="4"/>
      <c r="K322" s="4"/>
    </row>
    <row r="323" spans="5:11" ht="14.25" customHeight="1">
      <c r="E323" s="4"/>
      <c r="F323" s="4"/>
      <c r="G323" s="4"/>
      <c r="I323" s="4"/>
      <c r="J323" s="4"/>
      <c r="K323" s="4"/>
    </row>
    <row r="324" spans="5:11" ht="14.25" customHeight="1">
      <c r="E324" s="4"/>
      <c r="F324" s="4"/>
      <c r="G324" s="4"/>
      <c r="I324" s="4"/>
      <c r="J324" s="4"/>
      <c r="K324" s="4"/>
    </row>
    <row r="325" spans="5:11" ht="14.25" customHeight="1">
      <c r="E325" s="4"/>
      <c r="F325" s="4"/>
      <c r="G325" s="4"/>
      <c r="I325" s="4"/>
      <c r="J325" s="4"/>
      <c r="K325" s="4"/>
    </row>
    <row r="326" spans="5:11" ht="14.25" customHeight="1">
      <c r="E326" s="4"/>
      <c r="F326" s="4"/>
      <c r="G326" s="4"/>
      <c r="I326" s="4"/>
      <c r="J326" s="4"/>
      <c r="K326" s="4"/>
    </row>
    <row r="327" spans="5:11" ht="14.25" customHeight="1">
      <c r="E327" s="4"/>
      <c r="F327" s="4"/>
      <c r="G327" s="4"/>
      <c r="I327" s="4"/>
      <c r="J327" s="4"/>
      <c r="K327" s="4"/>
    </row>
    <row r="328" spans="5:11" ht="14.25" customHeight="1">
      <c r="E328" s="4"/>
      <c r="F328" s="4"/>
      <c r="G328" s="4"/>
      <c r="I328" s="4"/>
      <c r="J328" s="4"/>
      <c r="K328" s="4"/>
    </row>
    <row r="329" spans="5:11" ht="14.25" customHeight="1">
      <c r="E329" s="4"/>
      <c r="F329" s="4"/>
      <c r="G329" s="4"/>
      <c r="I329" s="4"/>
      <c r="J329" s="4"/>
      <c r="K329" s="4"/>
    </row>
    <row r="330" spans="5:11" ht="14.25" customHeight="1">
      <c r="E330" s="4"/>
      <c r="F330" s="4"/>
      <c r="G330" s="4"/>
      <c r="I330" s="4"/>
      <c r="J330" s="4"/>
      <c r="K330" s="4"/>
    </row>
    <row r="331" spans="5:11" ht="14.25" customHeight="1">
      <c r="E331" s="4"/>
      <c r="F331" s="4"/>
      <c r="G331" s="4"/>
      <c r="I331" s="4"/>
      <c r="J331" s="4"/>
      <c r="K331" s="4"/>
    </row>
    <row r="332" spans="5:11" ht="14.25" customHeight="1">
      <c r="E332" s="4"/>
      <c r="F332" s="4"/>
      <c r="G332" s="4"/>
      <c r="I332" s="4"/>
      <c r="J332" s="4"/>
      <c r="K332" s="4"/>
    </row>
    <row r="333" spans="5:11" ht="14.25" customHeight="1">
      <c r="E333" s="4"/>
      <c r="F333" s="4"/>
      <c r="G333" s="4"/>
      <c r="I333" s="4"/>
      <c r="J333" s="4"/>
      <c r="K333" s="4"/>
    </row>
    <row r="334" spans="5:11" ht="14.25" customHeight="1">
      <c r="E334" s="4"/>
      <c r="F334" s="4"/>
      <c r="G334" s="4"/>
      <c r="I334" s="4"/>
      <c r="J334" s="4"/>
      <c r="K334" s="4"/>
    </row>
    <row r="335" spans="5:11" ht="14.25" customHeight="1">
      <c r="E335" s="4"/>
      <c r="F335" s="4"/>
      <c r="G335" s="4"/>
      <c r="I335" s="4"/>
      <c r="J335" s="4"/>
      <c r="K335" s="4"/>
    </row>
    <row r="336" spans="5:11" ht="14.25" customHeight="1">
      <c r="E336" s="4"/>
      <c r="F336" s="4"/>
      <c r="G336" s="4"/>
      <c r="I336" s="4"/>
      <c r="J336" s="4"/>
      <c r="K336" s="4"/>
    </row>
    <row r="337" spans="5:11" ht="14.25" customHeight="1">
      <c r="E337" s="4"/>
      <c r="F337" s="4"/>
      <c r="G337" s="4"/>
      <c r="I337" s="4"/>
      <c r="J337" s="4"/>
      <c r="K337" s="4"/>
    </row>
    <row r="338" spans="5:11" ht="14.25" customHeight="1">
      <c r="E338" s="4"/>
      <c r="F338" s="4"/>
      <c r="G338" s="4"/>
      <c r="I338" s="4"/>
      <c r="J338" s="4"/>
      <c r="K338" s="4"/>
    </row>
    <row r="339" spans="5:11" ht="14.25" customHeight="1">
      <c r="E339" s="4"/>
      <c r="F339" s="4"/>
      <c r="G339" s="4"/>
      <c r="I339" s="4"/>
      <c r="J339" s="4"/>
      <c r="K339" s="4"/>
    </row>
    <row r="340" spans="5:11" ht="14.25" customHeight="1">
      <c r="E340" s="4"/>
      <c r="F340" s="4"/>
      <c r="G340" s="4"/>
      <c r="I340" s="4"/>
      <c r="J340" s="4"/>
      <c r="K340" s="4"/>
    </row>
    <row r="341" spans="5:11" ht="14.25" customHeight="1">
      <c r="E341" s="4"/>
      <c r="F341" s="4"/>
      <c r="G341" s="4"/>
      <c r="I341" s="4"/>
      <c r="J341" s="4"/>
      <c r="K341" s="4"/>
    </row>
    <row r="342" spans="5:11" ht="14.25" customHeight="1">
      <c r="E342" s="4"/>
      <c r="F342" s="4"/>
      <c r="G342" s="4"/>
      <c r="I342" s="4"/>
      <c r="J342" s="4"/>
      <c r="K342" s="4"/>
    </row>
    <row r="343" spans="5:11" ht="14.25" customHeight="1">
      <c r="E343" s="4"/>
      <c r="F343" s="4"/>
      <c r="G343" s="4"/>
      <c r="I343" s="4"/>
      <c r="J343" s="4"/>
      <c r="K343" s="4"/>
    </row>
    <row r="344" spans="5:11" ht="14.25" customHeight="1">
      <c r="E344" s="4"/>
      <c r="F344" s="4"/>
      <c r="G344" s="4"/>
      <c r="I344" s="4"/>
      <c r="J344" s="4"/>
      <c r="K344" s="4"/>
    </row>
    <row r="345" spans="5:11" ht="14.25" customHeight="1">
      <c r="E345" s="4"/>
      <c r="F345" s="4"/>
      <c r="G345" s="4"/>
      <c r="I345" s="4"/>
      <c r="J345" s="4"/>
      <c r="K345" s="4"/>
    </row>
    <row r="346" spans="5:11" ht="14.25" customHeight="1">
      <c r="E346" s="4"/>
      <c r="F346" s="4"/>
      <c r="G346" s="4"/>
      <c r="I346" s="4"/>
      <c r="J346" s="4"/>
      <c r="K346" s="4"/>
    </row>
    <row r="347" spans="5:11" ht="14.25" customHeight="1">
      <c r="E347" s="4"/>
      <c r="F347" s="4"/>
      <c r="G347" s="4"/>
      <c r="I347" s="4"/>
      <c r="J347" s="4"/>
      <c r="K347" s="4"/>
    </row>
    <row r="348" spans="5:11" ht="14.25" customHeight="1">
      <c r="E348" s="4"/>
      <c r="F348" s="4"/>
      <c r="G348" s="4"/>
      <c r="I348" s="4"/>
      <c r="J348" s="4"/>
      <c r="K348" s="4"/>
    </row>
    <row r="349" spans="5:11" ht="14.25" customHeight="1">
      <c r="E349" s="4"/>
      <c r="F349" s="4"/>
      <c r="G349" s="4"/>
      <c r="I349" s="4"/>
      <c r="J349" s="4"/>
      <c r="K349" s="4"/>
    </row>
    <row r="350" spans="5:11" ht="14.25" customHeight="1">
      <c r="E350" s="4"/>
      <c r="F350" s="4"/>
      <c r="G350" s="4"/>
      <c r="I350" s="4"/>
      <c r="J350" s="4"/>
      <c r="K350" s="4"/>
    </row>
    <row r="351" spans="5:11" ht="14.25" customHeight="1">
      <c r="E351" s="4"/>
      <c r="F351" s="4"/>
      <c r="G351" s="4"/>
      <c r="I351" s="4"/>
      <c r="J351" s="4"/>
      <c r="K351" s="4"/>
    </row>
    <row r="352" spans="5:11" ht="14.25" customHeight="1">
      <c r="E352" s="4"/>
      <c r="F352" s="4"/>
      <c r="G352" s="4"/>
      <c r="I352" s="4"/>
      <c r="J352" s="4"/>
      <c r="K352" s="4"/>
    </row>
    <row r="353" spans="5:11" ht="14.25" customHeight="1">
      <c r="E353" s="4"/>
      <c r="F353" s="4"/>
      <c r="G353" s="4"/>
      <c r="I353" s="4"/>
      <c r="J353" s="4"/>
      <c r="K353" s="4"/>
    </row>
    <row r="354" spans="5:11" ht="14.25" customHeight="1">
      <c r="E354" s="4"/>
      <c r="F354" s="4"/>
      <c r="G354" s="4"/>
      <c r="I354" s="4"/>
      <c r="J354" s="4"/>
      <c r="K354" s="4"/>
    </row>
    <row r="355" spans="5:11" ht="14.25" customHeight="1">
      <c r="E355" s="4"/>
      <c r="F355" s="4"/>
      <c r="G355" s="4"/>
      <c r="I355" s="4"/>
      <c r="J355" s="4"/>
      <c r="K355" s="4"/>
    </row>
    <row r="356" spans="5:11" ht="14.25" customHeight="1">
      <c r="E356" s="4"/>
      <c r="F356" s="4"/>
      <c r="G356" s="4"/>
      <c r="I356" s="4"/>
      <c r="J356" s="4"/>
      <c r="K356" s="4"/>
    </row>
    <row r="357" spans="5:11" ht="14.25" customHeight="1">
      <c r="E357" s="4"/>
      <c r="F357" s="4"/>
      <c r="G357" s="4"/>
      <c r="I357" s="4"/>
      <c r="J357" s="4"/>
      <c r="K357" s="4"/>
    </row>
    <row r="358" spans="5:11" ht="14.25" customHeight="1">
      <c r="E358" s="4"/>
      <c r="F358" s="4"/>
      <c r="G358" s="4"/>
      <c r="I358" s="4"/>
      <c r="J358" s="4"/>
      <c r="K358" s="4"/>
    </row>
    <row r="359" spans="5:11" ht="14.25" customHeight="1">
      <c r="E359" s="4"/>
      <c r="F359" s="4"/>
      <c r="G359" s="4"/>
      <c r="I359" s="4"/>
      <c r="J359" s="4"/>
      <c r="K359" s="4"/>
    </row>
    <row r="360" spans="5:11" ht="14.25" customHeight="1">
      <c r="E360" s="4"/>
      <c r="F360" s="4"/>
      <c r="G360" s="4"/>
      <c r="I360" s="4"/>
      <c r="J360" s="4"/>
      <c r="K360" s="4"/>
    </row>
    <row r="361" spans="5:11" ht="14.25" customHeight="1">
      <c r="E361" s="4"/>
      <c r="F361" s="4"/>
      <c r="G361" s="4"/>
      <c r="I361" s="4"/>
      <c r="J361" s="4"/>
      <c r="K361" s="4"/>
    </row>
    <row r="362" spans="5:11" ht="14.25" customHeight="1">
      <c r="E362" s="4"/>
      <c r="F362" s="4"/>
      <c r="G362" s="4"/>
      <c r="I362" s="4"/>
      <c r="J362" s="4"/>
      <c r="K362" s="4"/>
    </row>
    <row r="363" spans="5:11" ht="14.25" customHeight="1">
      <c r="E363" s="4"/>
      <c r="F363" s="4"/>
      <c r="G363" s="4"/>
      <c r="I363" s="4"/>
      <c r="J363" s="4"/>
      <c r="K363" s="4"/>
    </row>
    <row r="364" spans="5:11" ht="14.25" customHeight="1">
      <c r="E364" s="4"/>
      <c r="F364" s="4"/>
      <c r="G364" s="4"/>
      <c r="I364" s="4"/>
      <c r="J364" s="4"/>
      <c r="K364" s="4"/>
    </row>
    <row r="365" spans="5:11" ht="14.25" customHeight="1">
      <c r="E365" s="4"/>
      <c r="F365" s="4"/>
      <c r="G365" s="4"/>
      <c r="I365" s="4"/>
      <c r="J365" s="4"/>
      <c r="K365" s="4"/>
    </row>
    <row r="366" spans="5:11" ht="14.25" customHeight="1">
      <c r="E366" s="4"/>
      <c r="F366" s="4"/>
      <c r="G366" s="4"/>
      <c r="I366" s="4"/>
      <c r="J366" s="4"/>
      <c r="K366" s="4"/>
    </row>
    <row r="367" spans="5:11" ht="14.25" customHeight="1">
      <c r="E367" s="4"/>
      <c r="F367" s="4"/>
      <c r="G367" s="4"/>
      <c r="I367" s="4"/>
      <c r="J367" s="4"/>
      <c r="K367" s="4"/>
    </row>
    <row r="368" spans="5:11" ht="14.25" customHeight="1">
      <c r="E368" s="4"/>
      <c r="F368" s="4"/>
      <c r="G368" s="4"/>
      <c r="I368" s="4"/>
      <c r="J368" s="4"/>
      <c r="K368" s="4"/>
    </row>
    <row r="369" spans="5:11" ht="14.25" customHeight="1">
      <c r="E369" s="4"/>
      <c r="F369" s="4"/>
      <c r="G369" s="4"/>
      <c r="I369" s="4"/>
      <c r="J369" s="4"/>
      <c r="K369" s="4"/>
    </row>
    <row r="370" spans="5:11" ht="14.25" customHeight="1">
      <c r="E370" s="4"/>
      <c r="F370" s="4"/>
      <c r="G370" s="4"/>
      <c r="I370" s="4"/>
      <c r="J370" s="4"/>
      <c r="K370" s="4"/>
    </row>
    <row r="371" spans="5:11" ht="14.25" customHeight="1">
      <c r="E371" s="4"/>
      <c r="F371" s="4"/>
      <c r="G371" s="4"/>
      <c r="I371" s="4"/>
      <c r="J371" s="4"/>
      <c r="K371" s="4"/>
    </row>
    <row r="372" spans="5:11" ht="14.25" customHeight="1">
      <c r="E372" s="4"/>
      <c r="F372" s="4"/>
      <c r="G372" s="4"/>
      <c r="I372" s="4"/>
      <c r="J372" s="4"/>
      <c r="K372" s="4"/>
    </row>
    <row r="373" spans="5:11" ht="14.25" customHeight="1">
      <c r="E373" s="4"/>
      <c r="F373" s="4"/>
      <c r="G373" s="4"/>
      <c r="I373" s="4"/>
      <c r="J373" s="4"/>
      <c r="K373" s="4"/>
    </row>
    <row r="374" spans="5:11" ht="14.25" customHeight="1">
      <c r="E374" s="4"/>
      <c r="F374" s="4"/>
      <c r="G374" s="4"/>
      <c r="I374" s="4"/>
      <c r="J374" s="4"/>
      <c r="K374" s="4"/>
    </row>
    <row r="375" spans="5:11" ht="14.25" customHeight="1">
      <c r="E375" s="4"/>
      <c r="F375" s="4"/>
      <c r="G375" s="4"/>
      <c r="I375" s="4"/>
      <c r="J375" s="4"/>
      <c r="K375" s="4"/>
    </row>
    <row r="376" spans="5:11" ht="14.25" customHeight="1">
      <c r="E376" s="4"/>
      <c r="F376" s="4"/>
      <c r="G376" s="4"/>
      <c r="I376" s="4"/>
      <c r="J376" s="4"/>
      <c r="K376" s="4"/>
    </row>
    <row r="377" spans="5:11" ht="14.25" customHeight="1">
      <c r="E377" s="4"/>
      <c r="F377" s="4"/>
      <c r="G377" s="4"/>
      <c r="I377" s="4"/>
      <c r="J377" s="4"/>
      <c r="K377" s="4"/>
    </row>
    <row r="378" spans="5:11" ht="14.25" customHeight="1">
      <c r="E378" s="4"/>
      <c r="F378" s="4"/>
      <c r="G378" s="4"/>
      <c r="I378" s="4"/>
      <c r="J378" s="4"/>
      <c r="K378" s="4"/>
    </row>
    <row r="379" spans="5:11" ht="14.25" customHeight="1">
      <c r="E379" s="4"/>
      <c r="F379" s="4"/>
      <c r="G379" s="4"/>
      <c r="I379" s="4"/>
      <c r="J379" s="4"/>
      <c r="K379" s="4"/>
    </row>
    <row r="380" spans="5:11" ht="14.25" customHeight="1">
      <c r="E380" s="4"/>
      <c r="F380" s="4"/>
      <c r="G380" s="4"/>
      <c r="I380" s="4"/>
      <c r="J380" s="4"/>
      <c r="K380" s="4"/>
    </row>
    <row r="381" spans="5:11" ht="14.25" customHeight="1">
      <c r="E381" s="4"/>
      <c r="F381" s="4"/>
      <c r="G381" s="4"/>
      <c r="I381" s="4"/>
      <c r="J381" s="4"/>
      <c r="K381" s="4"/>
    </row>
    <row r="382" spans="5:11" ht="14.25" customHeight="1">
      <c r="E382" s="4"/>
      <c r="F382" s="4"/>
      <c r="G382" s="4"/>
      <c r="I382" s="4"/>
      <c r="J382" s="4"/>
      <c r="K382" s="4"/>
    </row>
    <row r="383" spans="5:11" ht="14.25" customHeight="1">
      <c r="E383" s="4"/>
      <c r="F383" s="4"/>
      <c r="G383" s="4"/>
      <c r="I383" s="4"/>
      <c r="J383" s="4"/>
      <c r="K383" s="4"/>
    </row>
    <row r="384" spans="5:11" ht="14.25" customHeight="1">
      <c r="E384" s="4"/>
      <c r="F384" s="4"/>
      <c r="G384" s="4"/>
      <c r="I384" s="4"/>
      <c r="J384" s="4"/>
      <c r="K384" s="4"/>
    </row>
    <row r="385" spans="5:11" ht="14.25" customHeight="1">
      <c r="E385" s="4"/>
      <c r="F385" s="4"/>
      <c r="G385" s="4"/>
      <c r="I385" s="4"/>
      <c r="J385" s="4"/>
      <c r="K385" s="4"/>
    </row>
    <row r="386" spans="5:11" ht="14.25" customHeight="1">
      <c r="E386" s="4"/>
      <c r="F386" s="4"/>
      <c r="G386" s="4"/>
      <c r="I386" s="4"/>
      <c r="J386" s="4"/>
      <c r="K386" s="4"/>
    </row>
    <row r="387" spans="5:11" ht="14.25" customHeight="1">
      <c r="E387" s="4"/>
      <c r="F387" s="4"/>
      <c r="G387" s="4"/>
      <c r="I387" s="4"/>
      <c r="J387" s="4"/>
      <c r="K387" s="4"/>
    </row>
    <row r="388" spans="5:11" ht="14.25" customHeight="1">
      <c r="E388" s="4"/>
      <c r="F388" s="4"/>
      <c r="G388" s="4"/>
      <c r="I388" s="4"/>
      <c r="J388" s="4"/>
      <c r="K388" s="4"/>
    </row>
    <row r="389" spans="5:11" ht="14.25" customHeight="1">
      <c r="E389" s="4"/>
      <c r="F389" s="4"/>
      <c r="G389" s="4"/>
      <c r="I389" s="4"/>
      <c r="J389" s="4"/>
      <c r="K389" s="4"/>
    </row>
    <row r="390" spans="5:11" ht="14.25" customHeight="1">
      <c r="E390" s="4"/>
      <c r="F390" s="4"/>
      <c r="G390" s="4"/>
      <c r="I390" s="4"/>
      <c r="J390" s="4"/>
      <c r="K390" s="4"/>
    </row>
    <row r="391" spans="5:11" ht="14.25" customHeight="1">
      <c r="E391" s="4"/>
      <c r="F391" s="4"/>
      <c r="G391" s="4"/>
      <c r="I391" s="4"/>
      <c r="J391" s="4"/>
      <c r="K391" s="4"/>
    </row>
    <row r="392" spans="5:11" ht="14.25" customHeight="1">
      <c r="E392" s="4"/>
      <c r="F392" s="4"/>
      <c r="G392" s="4"/>
      <c r="I392" s="4"/>
      <c r="J392" s="4"/>
      <c r="K392" s="4"/>
    </row>
    <row r="393" spans="5:11" ht="14.25" customHeight="1">
      <c r="E393" s="4"/>
      <c r="F393" s="4"/>
      <c r="G393" s="4"/>
      <c r="I393" s="4"/>
      <c r="J393" s="4"/>
      <c r="K393" s="4"/>
    </row>
    <row r="394" spans="5:11" ht="14.25" customHeight="1">
      <c r="E394" s="4"/>
      <c r="F394" s="4"/>
      <c r="G394" s="4"/>
      <c r="I394" s="4"/>
      <c r="J394" s="4"/>
      <c r="K394" s="4"/>
    </row>
    <row r="395" spans="5:11" ht="14.25" customHeight="1">
      <c r="E395" s="4"/>
      <c r="F395" s="4"/>
      <c r="G395" s="4"/>
      <c r="I395" s="4"/>
      <c r="J395" s="4"/>
      <c r="K395" s="4"/>
    </row>
    <row r="396" spans="5:11" ht="14.25" customHeight="1">
      <c r="E396" s="4"/>
      <c r="F396" s="4"/>
      <c r="G396" s="4"/>
      <c r="I396" s="4"/>
      <c r="J396" s="4"/>
      <c r="K396" s="4"/>
    </row>
    <row r="397" spans="5:11" ht="14.25" customHeight="1">
      <c r="E397" s="4"/>
      <c r="F397" s="4"/>
      <c r="G397" s="4"/>
      <c r="I397" s="4"/>
      <c r="J397" s="4"/>
      <c r="K397" s="4"/>
    </row>
    <row r="398" spans="5:11" ht="14.25" customHeight="1">
      <c r="E398" s="4"/>
      <c r="F398" s="4"/>
      <c r="G398" s="4"/>
      <c r="I398" s="4"/>
      <c r="J398" s="4"/>
      <c r="K398" s="4"/>
    </row>
    <row r="399" spans="5:11" ht="14.25" customHeight="1">
      <c r="E399" s="4"/>
      <c r="F399" s="4"/>
      <c r="G399" s="4"/>
      <c r="I399" s="4"/>
      <c r="J399" s="4"/>
      <c r="K399" s="4"/>
    </row>
    <row r="400" spans="5:11" ht="14.25" customHeight="1">
      <c r="E400" s="4"/>
      <c r="F400" s="4"/>
      <c r="G400" s="4"/>
      <c r="I400" s="4"/>
      <c r="J400" s="4"/>
      <c r="K400" s="4"/>
    </row>
    <row r="401" spans="5:11" ht="14.25" customHeight="1">
      <c r="E401" s="4"/>
      <c r="F401" s="4"/>
      <c r="G401" s="4"/>
      <c r="I401" s="4"/>
      <c r="J401" s="4"/>
      <c r="K401" s="4"/>
    </row>
    <row r="402" spans="5:11" ht="14.25" customHeight="1">
      <c r="E402" s="4"/>
      <c r="F402" s="4"/>
      <c r="G402" s="4"/>
      <c r="I402" s="4"/>
      <c r="J402" s="4"/>
      <c r="K402" s="4"/>
    </row>
    <row r="403" spans="5:11" ht="14.25" customHeight="1">
      <c r="E403" s="4"/>
      <c r="F403" s="4"/>
      <c r="G403" s="4"/>
      <c r="I403" s="4"/>
      <c r="J403" s="4"/>
      <c r="K403" s="4"/>
    </row>
    <row r="404" spans="5:11" ht="14.25" customHeight="1">
      <c r="E404" s="4"/>
      <c r="F404" s="4"/>
      <c r="G404" s="4"/>
      <c r="I404" s="4"/>
      <c r="J404" s="4"/>
      <c r="K404" s="4"/>
    </row>
    <row r="405" spans="5:11" ht="14.25" customHeight="1">
      <c r="E405" s="4"/>
      <c r="F405" s="4"/>
      <c r="G405" s="4"/>
      <c r="I405" s="4"/>
      <c r="J405" s="4"/>
      <c r="K405" s="4"/>
    </row>
    <row r="406" spans="5:11" ht="14.25" customHeight="1">
      <c r="E406" s="4"/>
      <c r="F406" s="4"/>
      <c r="G406" s="4"/>
      <c r="I406" s="4"/>
      <c r="J406" s="4"/>
      <c r="K406" s="4"/>
    </row>
    <row r="407" spans="5:11" ht="14.25" customHeight="1">
      <c r="E407" s="4"/>
      <c r="F407" s="4"/>
      <c r="G407" s="4"/>
      <c r="I407" s="4"/>
      <c r="J407" s="4"/>
      <c r="K407" s="4"/>
    </row>
    <row r="408" spans="5:11" ht="14.25" customHeight="1">
      <c r="E408" s="4"/>
      <c r="F408" s="4"/>
      <c r="G408" s="4"/>
      <c r="I408" s="4"/>
      <c r="J408" s="4"/>
      <c r="K408" s="4"/>
    </row>
    <row r="409" spans="5:11" ht="14.25" customHeight="1">
      <c r="E409" s="4"/>
      <c r="F409" s="4"/>
      <c r="G409" s="4"/>
      <c r="I409" s="4"/>
      <c r="J409" s="4"/>
      <c r="K409" s="4"/>
    </row>
    <row r="410" spans="5:11" ht="14.25" customHeight="1">
      <c r="E410" s="4"/>
      <c r="F410" s="4"/>
      <c r="G410" s="4"/>
      <c r="I410" s="4"/>
      <c r="J410" s="4"/>
      <c r="K410" s="4"/>
    </row>
    <row r="411" spans="5:11" ht="14.25" customHeight="1">
      <c r="E411" s="4"/>
      <c r="F411" s="4"/>
      <c r="G411" s="4"/>
      <c r="I411" s="4"/>
      <c r="J411" s="4"/>
      <c r="K411" s="4"/>
    </row>
    <row r="412" spans="5:11" ht="14.25" customHeight="1">
      <c r="E412" s="4"/>
      <c r="F412" s="4"/>
      <c r="G412" s="4"/>
      <c r="I412" s="4"/>
      <c r="J412" s="4"/>
      <c r="K412" s="4"/>
    </row>
    <row r="413" spans="5:11" ht="14.25" customHeight="1">
      <c r="E413" s="4"/>
      <c r="F413" s="4"/>
      <c r="G413" s="4"/>
      <c r="I413" s="4"/>
      <c r="J413" s="4"/>
      <c r="K413" s="4"/>
    </row>
    <row r="414" spans="5:11" ht="14.25" customHeight="1">
      <c r="E414" s="4"/>
      <c r="F414" s="4"/>
      <c r="G414" s="4"/>
      <c r="I414" s="4"/>
      <c r="J414" s="4"/>
      <c r="K414" s="4"/>
    </row>
    <row r="415" spans="5:11" ht="14.25" customHeight="1">
      <c r="E415" s="4"/>
      <c r="F415" s="4"/>
      <c r="G415" s="4"/>
      <c r="I415" s="4"/>
      <c r="J415" s="4"/>
      <c r="K415" s="4"/>
    </row>
    <row r="416" spans="5:11" ht="14.25" customHeight="1">
      <c r="E416" s="4"/>
      <c r="F416" s="4"/>
      <c r="G416" s="4"/>
      <c r="I416" s="4"/>
      <c r="J416" s="4"/>
      <c r="K416" s="4"/>
    </row>
    <row r="417" spans="5:11" ht="14.25" customHeight="1">
      <c r="E417" s="4"/>
      <c r="F417" s="4"/>
      <c r="G417" s="4"/>
      <c r="I417" s="4"/>
      <c r="J417" s="4"/>
      <c r="K417" s="4"/>
    </row>
    <row r="418" spans="5:11" ht="14.25" customHeight="1">
      <c r="E418" s="4"/>
      <c r="F418" s="4"/>
      <c r="G418" s="4"/>
      <c r="I418" s="4"/>
      <c r="J418" s="4"/>
      <c r="K418" s="4"/>
    </row>
    <row r="419" spans="5:11" ht="14.25" customHeight="1">
      <c r="E419" s="4"/>
      <c r="F419" s="4"/>
      <c r="G419" s="4"/>
      <c r="I419" s="4"/>
      <c r="J419" s="4"/>
      <c r="K419" s="4"/>
    </row>
    <row r="420" spans="5:11" ht="14.25" customHeight="1">
      <c r="E420" s="4"/>
      <c r="F420" s="4"/>
      <c r="G420" s="4"/>
      <c r="I420" s="4"/>
      <c r="J420" s="4"/>
      <c r="K420" s="4"/>
    </row>
    <row r="421" spans="5:11" ht="14.25" customHeight="1">
      <c r="E421" s="4"/>
      <c r="F421" s="4"/>
      <c r="G421" s="4"/>
      <c r="I421" s="4"/>
      <c r="J421" s="4"/>
      <c r="K421" s="4"/>
    </row>
    <row r="422" spans="5:11" ht="14.25" customHeight="1">
      <c r="E422" s="4"/>
      <c r="F422" s="4"/>
      <c r="G422" s="4"/>
      <c r="I422" s="4"/>
      <c r="J422" s="4"/>
      <c r="K422" s="4"/>
    </row>
    <row r="423" spans="5:11" ht="14.25" customHeight="1">
      <c r="E423" s="4"/>
      <c r="F423" s="4"/>
      <c r="G423" s="4"/>
      <c r="I423" s="4"/>
      <c r="J423" s="4"/>
      <c r="K423" s="4"/>
    </row>
    <row r="424" spans="5:11" ht="14.25" customHeight="1">
      <c r="E424" s="4"/>
      <c r="F424" s="4"/>
      <c r="G424" s="4"/>
      <c r="I424" s="4"/>
      <c r="J424" s="4"/>
      <c r="K424" s="4"/>
    </row>
    <row r="425" spans="5:11" ht="14.25" customHeight="1">
      <c r="E425" s="4"/>
      <c r="F425" s="4"/>
      <c r="G425" s="4"/>
      <c r="I425" s="4"/>
      <c r="J425" s="4"/>
      <c r="K425" s="4"/>
    </row>
    <row r="426" spans="5:11" ht="14.25" customHeight="1">
      <c r="E426" s="4"/>
      <c r="F426" s="4"/>
      <c r="G426" s="4"/>
      <c r="I426" s="4"/>
      <c r="J426" s="4"/>
      <c r="K426" s="4"/>
    </row>
    <row r="427" spans="5:11" ht="14.25" customHeight="1">
      <c r="E427" s="4"/>
      <c r="F427" s="4"/>
      <c r="G427" s="4"/>
      <c r="I427" s="4"/>
      <c r="J427" s="4"/>
      <c r="K427" s="4"/>
    </row>
    <row r="428" spans="5:11" ht="14.25" customHeight="1">
      <c r="E428" s="4"/>
      <c r="F428" s="4"/>
      <c r="G428" s="4"/>
      <c r="I428" s="4"/>
      <c r="J428" s="4"/>
      <c r="K428" s="4"/>
    </row>
    <row r="429" spans="5:11" ht="14.25" customHeight="1">
      <c r="E429" s="4"/>
      <c r="F429" s="4"/>
      <c r="G429" s="4"/>
      <c r="I429" s="4"/>
      <c r="J429" s="4"/>
      <c r="K429" s="4"/>
    </row>
    <row r="430" spans="5:11" ht="14.25" customHeight="1">
      <c r="E430" s="4"/>
      <c r="F430" s="4"/>
      <c r="G430" s="4"/>
      <c r="I430" s="4"/>
      <c r="J430" s="4"/>
      <c r="K430" s="4"/>
    </row>
    <row r="431" spans="5:11" ht="14.25" customHeight="1">
      <c r="E431" s="4"/>
      <c r="F431" s="4"/>
      <c r="G431" s="4"/>
      <c r="I431" s="4"/>
      <c r="J431" s="4"/>
      <c r="K431" s="4"/>
    </row>
    <row r="432" spans="5:11" ht="14.25" customHeight="1">
      <c r="E432" s="4"/>
      <c r="F432" s="4"/>
      <c r="G432" s="4"/>
      <c r="I432" s="4"/>
      <c r="J432" s="4"/>
      <c r="K432" s="4"/>
    </row>
    <row r="433" spans="5:11" ht="14.25" customHeight="1">
      <c r="E433" s="4"/>
      <c r="F433" s="4"/>
      <c r="G433" s="4"/>
      <c r="I433" s="4"/>
      <c r="J433" s="4"/>
      <c r="K433" s="4"/>
    </row>
    <row r="434" spans="5:11" ht="14.25" customHeight="1">
      <c r="E434" s="4"/>
      <c r="F434" s="4"/>
      <c r="G434" s="4"/>
      <c r="I434" s="4"/>
      <c r="J434" s="4"/>
      <c r="K434" s="4"/>
    </row>
    <row r="435" spans="5:11" ht="14.25" customHeight="1">
      <c r="E435" s="4"/>
      <c r="F435" s="4"/>
      <c r="G435" s="4"/>
      <c r="I435" s="4"/>
      <c r="J435" s="4"/>
      <c r="K435" s="4"/>
    </row>
    <row r="436" spans="5:11" ht="14.25" customHeight="1">
      <c r="E436" s="4"/>
      <c r="F436" s="4"/>
      <c r="G436" s="4"/>
      <c r="I436" s="4"/>
      <c r="J436" s="4"/>
      <c r="K436" s="4"/>
    </row>
    <row r="437" spans="5:11" ht="14.25" customHeight="1">
      <c r="E437" s="4"/>
      <c r="F437" s="4"/>
      <c r="G437" s="4"/>
      <c r="I437" s="4"/>
      <c r="J437" s="4"/>
      <c r="K437" s="4"/>
    </row>
    <row r="438" spans="5:11" ht="14.25" customHeight="1">
      <c r="E438" s="4"/>
      <c r="F438" s="4"/>
      <c r="G438" s="4"/>
      <c r="I438" s="4"/>
      <c r="J438" s="4"/>
      <c r="K438" s="4"/>
    </row>
    <row r="439" spans="5:11" ht="14.25" customHeight="1">
      <c r="E439" s="4"/>
      <c r="F439" s="4"/>
      <c r="G439" s="4"/>
      <c r="I439" s="4"/>
      <c r="J439" s="4"/>
      <c r="K439" s="4"/>
    </row>
    <row r="440" spans="5:11" ht="14.25" customHeight="1">
      <c r="E440" s="4"/>
      <c r="F440" s="4"/>
      <c r="G440" s="4"/>
      <c r="I440" s="4"/>
      <c r="J440" s="4"/>
      <c r="K440" s="4"/>
    </row>
    <row r="441" spans="5:11" ht="14.25" customHeight="1">
      <c r="E441" s="4"/>
      <c r="F441" s="4"/>
      <c r="G441" s="4"/>
      <c r="I441" s="4"/>
      <c r="J441" s="4"/>
      <c r="K441" s="4"/>
    </row>
    <row r="442" spans="5:11" ht="14.25" customHeight="1">
      <c r="E442" s="4"/>
      <c r="F442" s="4"/>
      <c r="G442" s="4"/>
      <c r="I442" s="4"/>
      <c r="J442" s="4"/>
      <c r="K442" s="4"/>
    </row>
    <row r="443" spans="5:11" ht="14.25" customHeight="1">
      <c r="E443" s="4"/>
      <c r="F443" s="4"/>
      <c r="G443" s="4"/>
      <c r="I443" s="4"/>
      <c r="J443" s="4"/>
      <c r="K443" s="4"/>
    </row>
    <row r="444" spans="5:11" ht="14.25" customHeight="1">
      <c r="E444" s="4"/>
      <c r="F444" s="4"/>
      <c r="G444" s="4"/>
      <c r="I444" s="4"/>
      <c r="J444" s="4"/>
      <c r="K444" s="4"/>
    </row>
    <row r="445" spans="5:11" ht="14.25" customHeight="1">
      <c r="E445" s="4"/>
      <c r="F445" s="4"/>
      <c r="G445" s="4"/>
      <c r="I445" s="4"/>
      <c r="J445" s="4"/>
      <c r="K445" s="4"/>
    </row>
    <row r="446" spans="5:11" ht="14.25" customHeight="1">
      <c r="E446" s="4"/>
      <c r="F446" s="4"/>
      <c r="G446" s="4"/>
      <c r="I446" s="4"/>
      <c r="J446" s="4"/>
      <c r="K446" s="4"/>
    </row>
    <row r="447" spans="5:11" ht="14.25" customHeight="1">
      <c r="E447" s="4"/>
      <c r="F447" s="4"/>
      <c r="G447" s="4"/>
      <c r="I447" s="4"/>
      <c r="J447" s="4"/>
      <c r="K447" s="4"/>
    </row>
    <row r="448" spans="5:11" ht="14.25" customHeight="1">
      <c r="E448" s="4"/>
      <c r="F448" s="4"/>
      <c r="G448" s="4"/>
      <c r="I448" s="4"/>
      <c r="J448" s="4"/>
      <c r="K448" s="4"/>
    </row>
    <row r="449" spans="5:11" ht="14.25" customHeight="1">
      <c r="E449" s="4"/>
      <c r="F449" s="4"/>
      <c r="G449" s="4"/>
      <c r="I449" s="4"/>
      <c r="J449" s="4"/>
      <c r="K449" s="4"/>
    </row>
    <row r="450" spans="5:11" ht="14.25" customHeight="1">
      <c r="E450" s="4"/>
      <c r="F450" s="4"/>
      <c r="G450" s="4"/>
      <c r="I450" s="4"/>
      <c r="J450" s="4"/>
      <c r="K450" s="4"/>
    </row>
    <row r="451" spans="5:11" ht="14.25" customHeight="1">
      <c r="E451" s="4"/>
      <c r="F451" s="4"/>
      <c r="G451" s="4"/>
      <c r="I451" s="4"/>
      <c r="J451" s="4"/>
      <c r="K451" s="4"/>
    </row>
    <row r="452" spans="5:11" ht="14.25" customHeight="1">
      <c r="E452" s="4"/>
      <c r="F452" s="4"/>
      <c r="G452" s="4"/>
      <c r="I452" s="4"/>
      <c r="J452" s="4"/>
      <c r="K452" s="4"/>
    </row>
    <row r="453" spans="5:11" ht="14.25" customHeight="1">
      <c r="E453" s="4"/>
      <c r="F453" s="4"/>
      <c r="G453" s="4"/>
      <c r="I453" s="4"/>
      <c r="J453" s="4"/>
      <c r="K453" s="4"/>
    </row>
    <row r="454" spans="5:11" ht="14.25" customHeight="1">
      <c r="E454" s="4"/>
      <c r="F454" s="4"/>
      <c r="G454" s="4"/>
      <c r="I454" s="4"/>
      <c r="J454" s="4"/>
      <c r="K454" s="4"/>
    </row>
    <row r="455" spans="5:11" ht="14.25" customHeight="1">
      <c r="E455" s="4"/>
      <c r="F455" s="4"/>
      <c r="G455" s="4"/>
      <c r="I455" s="4"/>
      <c r="J455" s="4"/>
      <c r="K455" s="4"/>
    </row>
    <row r="456" spans="5:11" ht="14.25" customHeight="1">
      <c r="E456" s="4"/>
      <c r="F456" s="4"/>
      <c r="G456" s="4"/>
      <c r="I456" s="4"/>
      <c r="J456" s="4"/>
      <c r="K456" s="4"/>
    </row>
    <row r="457" spans="5:11" ht="14.25" customHeight="1">
      <c r="E457" s="4"/>
      <c r="F457" s="4"/>
      <c r="G457" s="4"/>
      <c r="I457" s="4"/>
      <c r="J457" s="4"/>
      <c r="K457" s="4"/>
    </row>
    <row r="458" spans="5:11" ht="14.25" customHeight="1">
      <c r="E458" s="4"/>
      <c r="F458" s="4"/>
      <c r="G458" s="4"/>
      <c r="I458" s="4"/>
      <c r="J458" s="4"/>
      <c r="K458" s="4"/>
    </row>
    <row r="459" spans="5:11" ht="14.25" customHeight="1">
      <c r="E459" s="4"/>
      <c r="F459" s="4"/>
      <c r="G459" s="4"/>
      <c r="I459" s="4"/>
      <c r="J459" s="4"/>
      <c r="K459" s="4"/>
    </row>
    <row r="460" spans="5:11" ht="14.25" customHeight="1">
      <c r="E460" s="4"/>
      <c r="F460" s="4"/>
      <c r="G460" s="4"/>
      <c r="I460" s="4"/>
      <c r="J460" s="4"/>
      <c r="K460" s="4"/>
    </row>
    <row r="461" spans="5:11" ht="14.25" customHeight="1">
      <c r="E461" s="4"/>
      <c r="F461" s="4"/>
      <c r="G461" s="4"/>
      <c r="I461" s="4"/>
      <c r="J461" s="4"/>
      <c r="K461" s="4"/>
    </row>
    <row r="462" spans="5:11" ht="14.25" customHeight="1">
      <c r="E462" s="4"/>
      <c r="F462" s="4"/>
      <c r="G462" s="4"/>
      <c r="I462" s="4"/>
      <c r="J462" s="4"/>
      <c r="K462" s="4"/>
    </row>
    <row r="463" spans="5:11" ht="14.25" customHeight="1">
      <c r="E463" s="4"/>
      <c r="F463" s="4"/>
      <c r="G463" s="4"/>
      <c r="I463" s="4"/>
      <c r="J463" s="4"/>
      <c r="K463" s="4"/>
    </row>
    <row r="464" spans="5:11" ht="14.25" customHeight="1">
      <c r="E464" s="4"/>
      <c r="F464" s="4"/>
      <c r="G464" s="4"/>
      <c r="I464" s="4"/>
      <c r="J464" s="4"/>
      <c r="K464" s="4"/>
    </row>
    <row r="465" spans="5:11" ht="14.25" customHeight="1">
      <c r="E465" s="4"/>
      <c r="F465" s="4"/>
      <c r="G465" s="4"/>
      <c r="I465" s="4"/>
      <c r="J465" s="4"/>
      <c r="K465" s="4"/>
    </row>
    <row r="466" spans="5:11" ht="14.25" customHeight="1">
      <c r="E466" s="4"/>
      <c r="F466" s="4"/>
      <c r="G466" s="4"/>
      <c r="I466" s="4"/>
      <c r="J466" s="4"/>
      <c r="K466" s="4"/>
    </row>
    <row r="467" spans="5:11" ht="14.25" customHeight="1">
      <c r="E467" s="4"/>
      <c r="F467" s="4"/>
      <c r="G467" s="4"/>
      <c r="I467" s="4"/>
      <c r="J467" s="4"/>
      <c r="K467" s="4"/>
    </row>
    <row r="468" spans="5:11" ht="14.25" customHeight="1">
      <c r="E468" s="4"/>
      <c r="F468" s="4"/>
      <c r="G468" s="4"/>
      <c r="I468" s="4"/>
      <c r="J468" s="4"/>
      <c r="K468" s="4"/>
    </row>
    <row r="469" spans="5:11" ht="14.25" customHeight="1">
      <c r="E469" s="4"/>
      <c r="F469" s="4"/>
      <c r="G469" s="4"/>
      <c r="I469" s="4"/>
      <c r="J469" s="4"/>
      <c r="K469" s="4"/>
    </row>
    <row r="470" spans="5:11" ht="14.25" customHeight="1">
      <c r="E470" s="4"/>
      <c r="F470" s="4"/>
      <c r="G470" s="4"/>
      <c r="I470" s="4"/>
      <c r="J470" s="4"/>
      <c r="K470" s="4"/>
    </row>
    <row r="471" spans="5:11" ht="14.25" customHeight="1">
      <c r="E471" s="4"/>
      <c r="F471" s="4"/>
      <c r="G471" s="4"/>
      <c r="I471" s="4"/>
      <c r="J471" s="4"/>
      <c r="K471" s="4"/>
    </row>
    <row r="472" spans="5:11" ht="14.25" customHeight="1">
      <c r="E472" s="4"/>
      <c r="F472" s="4"/>
      <c r="G472" s="4"/>
      <c r="I472" s="4"/>
      <c r="J472" s="4"/>
      <c r="K472" s="4"/>
    </row>
    <row r="473" spans="5:11" ht="14.25" customHeight="1">
      <c r="E473" s="4"/>
      <c r="F473" s="4"/>
      <c r="G473" s="4"/>
      <c r="I473" s="4"/>
      <c r="J473" s="4"/>
      <c r="K473" s="4"/>
    </row>
    <row r="474" spans="5:11" ht="14.25" customHeight="1">
      <c r="E474" s="4"/>
      <c r="F474" s="4"/>
      <c r="G474" s="4"/>
      <c r="I474" s="4"/>
      <c r="J474" s="4"/>
      <c r="K474" s="4"/>
    </row>
    <row r="475" spans="5:11" ht="14.25" customHeight="1">
      <c r="E475" s="4"/>
      <c r="F475" s="4"/>
      <c r="G475" s="4"/>
      <c r="I475" s="4"/>
      <c r="J475" s="4"/>
      <c r="K475" s="4"/>
    </row>
    <row r="476" spans="5:11" ht="14.25" customHeight="1">
      <c r="E476" s="4"/>
      <c r="F476" s="4"/>
      <c r="G476" s="4"/>
      <c r="I476" s="4"/>
      <c r="J476" s="4"/>
      <c r="K476" s="4"/>
    </row>
    <row r="477" spans="5:11" ht="14.25" customHeight="1">
      <c r="E477" s="4"/>
      <c r="F477" s="4"/>
      <c r="G477" s="4"/>
      <c r="I477" s="4"/>
      <c r="J477" s="4"/>
      <c r="K477" s="4"/>
    </row>
    <row r="478" spans="5:11" ht="14.25" customHeight="1">
      <c r="E478" s="4"/>
      <c r="F478" s="4"/>
      <c r="G478" s="4"/>
      <c r="I478" s="4"/>
      <c r="J478" s="4"/>
      <c r="K478" s="4"/>
    </row>
    <row r="479" spans="5:11" ht="14.25" customHeight="1">
      <c r="E479" s="4"/>
      <c r="F479" s="4"/>
      <c r="G479" s="4"/>
      <c r="I479" s="4"/>
      <c r="J479" s="4"/>
      <c r="K479" s="4"/>
    </row>
    <row r="480" spans="5:11" ht="14.25" customHeight="1">
      <c r="E480" s="4"/>
      <c r="F480" s="4"/>
      <c r="G480" s="4"/>
      <c r="I480" s="4"/>
      <c r="J480" s="4"/>
      <c r="K480" s="4"/>
    </row>
    <row r="481" spans="5:11" ht="14.25" customHeight="1">
      <c r="E481" s="4"/>
      <c r="F481" s="4"/>
      <c r="G481" s="4"/>
      <c r="I481" s="4"/>
      <c r="J481" s="4"/>
      <c r="K481" s="4"/>
    </row>
    <row r="482" spans="5:11" ht="14.25" customHeight="1">
      <c r="E482" s="4"/>
      <c r="F482" s="4"/>
      <c r="G482" s="4"/>
      <c r="I482" s="4"/>
      <c r="J482" s="4"/>
      <c r="K482" s="4"/>
    </row>
    <row r="483" spans="5:11" ht="14.25" customHeight="1">
      <c r="E483" s="4"/>
      <c r="F483" s="4"/>
      <c r="G483" s="4"/>
      <c r="I483" s="4"/>
      <c r="J483" s="4"/>
      <c r="K483" s="4"/>
    </row>
    <row r="484" spans="5:11" ht="14.25" customHeight="1">
      <c r="E484" s="4"/>
      <c r="F484" s="4"/>
      <c r="G484" s="4"/>
      <c r="I484" s="4"/>
      <c r="J484" s="4"/>
      <c r="K484" s="4"/>
    </row>
    <row r="485" spans="5:11" ht="14.25" customHeight="1">
      <c r="E485" s="4"/>
      <c r="F485" s="4"/>
      <c r="G485" s="4"/>
      <c r="I485" s="4"/>
      <c r="J485" s="4"/>
      <c r="K485" s="4"/>
    </row>
    <row r="486" spans="5:11" ht="14.25" customHeight="1">
      <c r="E486" s="4"/>
      <c r="F486" s="4"/>
      <c r="G486" s="4"/>
      <c r="I486" s="4"/>
      <c r="J486" s="4"/>
      <c r="K486" s="4"/>
    </row>
    <row r="487" spans="5:11" ht="14.25" customHeight="1">
      <c r="E487" s="4"/>
      <c r="F487" s="4"/>
      <c r="G487" s="4"/>
      <c r="I487" s="4"/>
      <c r="J487" s="4"/>
      <c r="K487" s="4"/>
    </row>
    <row r="488" spans="5:11" ht="14.25" customHeight="1">
      <c r="E488" s="4"/>
      <c r="F488" s="4"/>
      <c r="G488" s="4"/>
      <c r="I488" s="4"/>
      <c r="J488" s="4"/>
      <c r="K488" s="4"/>
    </row>
    <row r="489" spans="5:11" ht="14.25" customHeight="1">
      <c r="E489" s="4"/>
      <c r="F489" s="4"/>
      <c r="G489" s="4"/>
      <c r="I489" s="4"/>
      <c r="J489" s="4"/>
      <c r="K489" s="4"/>
    </row>
    <row r="490" spans="5:11" ht="14.25" customHeight="1">
      <c r="E490" s="4"/>
      <c r="F490" s="4"/>
      <c r="G490" s="4"/>
      <c r="I490" s="4"/>
      <c r="J490" s="4"/>
      <c r="K490" s="4"/>
    </row>
    <row r="491" spans="5:11" ht="14.25" customHeight="1">
      <c r="E491" s="4"/>
      <c r="F491" s="4"/>
      <c r="G491" s="4"/>
      <c r="I491" s="4"/>
      <c r="J491" s="4"/>
      <c r="K491" s="4"/>
    </row>
    <row r="492" spans="5:11" ht="14.25" customHeight="1">
      <c r="E492" s="4"/>
      <c r="F492" s="4"/>
      <c r="G492" s="4"/>
      <c r="I492" s="4"/>
      <c r="J492" s="4"/>
      <c r="K492" s="4"/>
    </row>
    <row r="493" spans="5:11" ht="14.25" customHeight="1">
      <c r="E493" s="4"/>
      <c r="F493" s="4"/>
      <c r="G493" s="4"/>
      <c r="I493" s="4"/>
      <c r="J493" s="4"/>
      <c r="K493" s="4"/>
    </row>
    <row r="494" spans="5:11" ht="14.25" customHeight="1">
      <c r="E494" s="4"/>
      <c r="F494" s="4"/>
      <c r="G494" s="4"/>
      <c r="I494" s="4"/>
      <c r="J494" s="4"/>
      <c r="K494" s="4"/>
    </row>
    <row r="495" spans="5:11" ht="14.25" customHeight="1">
      <c r="E495" s="4"/>
      <c r="F495" s="4"/>
      <c r="G495" s="4"/>
      <c r="I495" s="4"/>
      <c r="J495" s="4"/>
      <c r="K495" s="4"/>
    </row>
    <row r="496" spans="5:11" ht="14.25" customHeight="1">
      <c r="E496" s="4"/>
      <c r="F496" s="4"/>
      <c r="G496" s="4"/>
      <c r="I496" s="4"/>
      <c r="J496" s="4"/>
      <c r="K496" s="4"/>
    </row>
    <row r="497" spans="5:11" ht="14.25" customHeight="1">
      <c r="E497" s="4"/>
      <c r="F497" s="4"/>
      <c r="G497" s="4"/>
      <c r="I497" s="4"/>
      <c r="J497" s="4"/>
      <c r="K497" s="4"/>
    </row>
    <row r="498" spans="5:11" ht="14.25" customHeight="1">
      <c r="E498" s="4"/>
      <c r="F498" s="4"/>
      <c r="G498" s="4"/>
      <c r="I498" s="4"/>
      <c r="J498" s="4"/>
      <c r="K498" s="4"/>
    </row>
    <row r="499" spans="5:11" ht="14.25" customHeight="1">
      <c r="E499" s="4"/>
      <c r="F499" s="4"/>
      <c r="G499" s="4"/>
      <c r="I499" s="4"/>
      <c r="J499" s="4"/>
      <c r="K499" s="4"/>
    </row>
    <row r="500" spans="5:11" ht="14.25" customHeight="1">
      <c r="E500" s="4"/>
      <c r="F500" s="4"/>
      <c r="G500" s="4"/>
      <c r="I500" s="4"/>
      <c r="J500" s="4"/>
      <c r="K500" s="4"/>
    </row>
    <row r="501" spans="5:11" ht="14.25" customHeight="1">
      <c r="E501" s="4"/>
      <c r="F501" s="4"/>
      <c r="G501" s="4"/>
      <c r="I501" s="4"/>
      <c r="J501" s="4"/>
      <c r="K501" s="4"/>
    </row>
    <row r="502" spans="5:11" ht="14.25" customHeight="1">
      <c r="E502" s="4"/>
      <c r="F502" s="4"/>
      <c r="G502" s="4"/>
      <c r="I502" s="4"/>
      <c r="J502" s="4"/>
      <c r="K502" s="4"/>
    </row>
    <row r="503" spans="5:11" ht="14.25" customHeight="1">
      <c r="E503" s="4"/>
      <c r="F503" s="4"/>
      <c r="G503" s="4"/>
      <c r="I503" s="4"/>
      <c r="J503" s="4"/>
      <c r="K503" s="4"/>
    </row>
    <row r="504" spans="5:11" ht="14.25" customHeight="1">
      <c r="E504" s="4"/>
      <c r="F504" s="4"/>
      <c r="G504" s="4"/>
      <c r="I504" s="4"/>
      <c r="J504" s="4"/>
      <c r="K504" s="4"/>
    </row>
    <row r="505" spans="5:11" ht="14.25" customHeight="1">
      <c r="E505" s="4"/>
      <c r="F505" s="4"/>
      <c r="G505" s="4"/>
      <c r="I505" s="4"/>
      <c r="J505" s="4"/>
      <c r="K505" s="4"/>
    </row>
    <row r="506" spans="5:11" ht="14.25" customHeight="1">
      <c r="E506" s="4"/>
      <c r="F506" s="4"/>
      <c r="G506" s="4"/>
      <c r="I506" s="4"/>
      <c r="J506" s="4"/>
      <c r="K506" s="4"/>
    </row>
    <row r="507" spans="5:11" ht="14.25" customHeight="1">
      <c r="E507" s="4"/>
      <c r="F507" s="4"/>
      <c r="G507" s="4"/>
      <c r="I507" s="4"/>
      <c r="J507" s="4"/>
      <c r="K507" s="4"/>
    </row>
    <row r="508" spans="5:11" ht="14.25" customHeight="1">
      <c r="E508" s="4"/>
      <c r="F508" s="4"/>
      <c r="G508" s="4"/>
      <c r="I508" s="4"/>
      <c r="J508" s="4"/>
      <c r="K508" s="4"/>
    </row>
    <row r="509" spans="5:11" ht="14.25" customHeight="1">
      <c r="E509" s="4"/>
      <c r="F509" s="4"/>
      <c r="G509" s="4"/>
      <c r="I509" s="4"/>
      <c r="J509" s="4"/>
      <c r="K509" s="4"/>
    </row>
    <row r="510" spans="5:11" ht="14.25" customHeight="1">
      <c r="E510" s="4"/>
      <c r="F510" s="4"/>
      <c r="G510" s="4"/>
      <c r="I510" s="4"/>
      <c r="J510" s="4"/>
      <c r="K510" s="4"/>
    </row>
    <row r="511" spans="5:11" ht="14.25" customHeight="1">
      <c r="E511" s="4"/>
      <c r="F511" s="4"/>
      <c r="G511" s="4"/>
      <c r="I511" s="4"/>
      <c r="J511" s="4"/>
      <c r="K511" s="4"/>
    </row>
    <row r="512" spans="5:11" ht="14.25" customHeight="1">
      <c r="E512" s="4"/>
      <c r="F512" s="4"/>
      <c r="G512" s="4"/>
      <c r="I512" s="4"/>
      <c r="J512" s="4"/>
      <c r="K512" s="4"/>
    </row>
    <row r="513" spans="5:11" ht="14.25" customHeight="1">
      <c r="E513" s="4"/>
      <c r="F513" s="4"/>
      <c r="G513" s="4"/>
      <c r="I513" s="4"/>
      <c r="J513" s="4"/>
      <c r="K513" s="4"/>
    </row>
    <row r="514" spans="5:11" ht="14.25" customHeight="1">
      <c r="E514" s="4"/>
      <c r="F514" s="4"/>
      <c r="G514" s="4"/>
      <c r="I514" s="4"/>
      <c r="J514" s="4"/>
      <c r="K514" s="4"/>
    </row>
    <row r="515" spans="5:11" ht="14.25" customHeight="1">
      <c r="E515" s="4"/>
      <c r="F515" s="4"/>
      <c r="G515" s="4"/>
      <c r="I515" s="4"/>
      <c r="J515" s="4"/>
      <c r="K515" s="4"/>
    </row>
    <row r="516" spans="5:11" ht="14.25" customHeight="1">
      <c r="E516" s="4"/>
      <c r="F516" s="4"/>
      <c r="G516" s="4"/>
      <c r="I516" s="4"/>
      <c r="J516" s="4"/>
      <c r="K516" s="4"/>
    </row>
    <row r="517" spans="5:11" ht="14.25" customHeight="1">
      <c r="E517" s="4"/>
      <c r="F517" s="4"/>
      <c r="G517" s="4"/>
      <c r="I517" s="4"/>
      <c r="J517" s="4"/>
      <c r="K517" s="4"/>
    </row>
    <row r="518" spans="5:11" ht="14.25" customHeight="1">
      <c r="E518" s="4"/>
      <c r="F518" s="4"/>
      <c r="G518" s="4"/>
      <c r="I518" s="4"/>
      <c r="J518" s="4"/>
      <c r="K518" s="4"/>
    </row>
    <row r="519" spans="5:11" ht="14.25" customHeight="1">
      <c r="E519" s="4"/>
      <c r="F519" s="4"/>
      <c r="G519" s="4"/>
      <c r="I519" s="4"/>
      <c r="J519" s="4"/>
      <c r="K519" s="4"/>
    </row>
    <row r="520" spans="5:11" ht="14.25" customHeight="1">
      <c r="E520" s="4"/>
      <c r="F520" s="4"/>
      <c r="G520" s="4"/>
      <c r="I520" s="4"/>
      <c r="J520" s="4"/>
      <c r="K520" s="4"/>
    </row>
    <row r="521" spans="5:11" ht="14.25" customHeight="1">
      <c r="E521" s="4"/>
      <c r="F521" s="4"/>
      <c r="G521" s="4"/>
      <c r="I521" s="4"/>
      <c r="J521" s="4"/>
      <c r="K521" s="4"/>
    </row>
    <row r="522" spans="5:11" ht="14.25" customHeight="1">
      <c r="E522" s="4"/>
      <c r="F522" s="4"/>
      <c r="G522" s="4"/>
      <c r="I522" s="4"/>
      <c r="J522" s="4"/>
      <c r="K522" s="4"/>
    </row>
    <row r="523" spans="5:11" ht="14.25" customHeight="1">
      <c r="E523" s="4"/>
      <c r="F523" s="4"/>
      <c r="G523" s="4"/>
      <c r="I523" s="4"/>
      <c r="J523" s="4"/>
      <c r="K523" s="4"/>
    </row>
    <row r="524" spans="5:11" ht="14.25" customHeight="1">
      <c r="E524" s="4"/>
      <c r="F524" s="4"/>
      <c r="G524" s="4"/>
      <c r="I524" s="4"/>
      <c r="J524" s="4"/>
      <c r="K524" s="4"/>
    </row>
    <row r="525" spans="5:11" ht="14.25" customHeight="1">
      <c r="E525" s="4"/>
      <c r="F525" s="4"/>
      <c r="G525" s="4"/>
      <c r="I525" s="4"/>
      <c r="J525" s="4"/>
      <c r="K525" s="4"/>
    </row>
    <row r="526" spans="5:11" ht="14.25" customHeight="1">
      <c r="E526" s="4"/>
      <c r="F526" s="4"/>
      <c r="G526" s="4"/>
      <c r="I526" s="4"/>
      <c r="J526" s="4"/>
      <c r="K526" s="4"/>
    </row>
    <row r="527" spans="5:11" ht="14.25" customHeight="1">
      <c r="E527" s="4"/>
      <c r="F527" s="4"/>
      <c r="G527" s="4"/>
      <c r="I527" s="4"/>
      <c r="J527" s="4"/>
      <c r="K527" s="4"/>
    </row>
    <row r="528" spans="5:11" ht="14.25" customHeight="1">
      <c r="E528" s="4"/>
      <c r="F528" s="4"/>
      <c r="G528" s="4"/>
      <c r="I528" s="4"/>
      <c r="J528" s="4"/>
      <c r="K528" s="4"/>
    </row>
    <row r="529" spans="5:11" ht="14.25" customHeight="1">
      <c r="E529" s="4"/>
      <c r="F529" s="4"/>
      <c r="G529" s="4"/>
      <c r="I529" s="4"/>
      <c r="J529" s="4"/>
      <c r="K529" s="4"/>
    </row>
    <row r="530" spans="5:11" ht="14.25" customHeight="1">
      <c r="E530" s="4"/>
      <c r="F530" s="4"/>
      <c r="G530" s="4"/>
      <c r="I530" s="4"/>
      <c r="J530" s="4"/>
      <c r="K530" s="4"/>
    </row>
    <row r="531" spans="5:11" ht="14.25" customHeight="1">
      <c r="E531" s="4"/>
      <c r="F531" s="4"/>
      <c r="G531" s="4"/>
      <c r="I531" s="4"/>
      <c r="J531" s="4"/>
      <c r="K531" s="4"/>
    </row>
    <row r="532" spans="5:11" ht="14.25" customHeight="1">
      <c r="E532" s="4"/>
      <c r="F532" s="4"/>
      <c r="G532" s="4"/>
      <c r="I532" s="4"/>
      <c r="J532" s="4"/>
      <c r="K532" s="4"/>
    </row>
    <row r="533" spans="5:11" ht="14.25" customHeight="1">
      <c r="E533" s="4"/>
      <c r="F533" s="4"/>
      <c r="G533" s="4"/>
      <c r="I533" s="4"/>
      <c r="J533" s="4"/>
      <c r="K533" s="4"/>
    </row>
    <row r="534" spans="5:11" ht="14.25" customHeight="1">
      <c r="E534" s="4"/>
      <c r="F534" s="4"/>
      <c r="G534" s="4"/>
      <c r="I534" s="4"/>
      <c r="J534" s="4"/>
      <c r="K534" s="4"/>
    </row>
    <row r="535" spans="5:11" ht="14.25" customHeight="1">
      <c r="E535" s="4"/>
      <c r="F535" s="4"/>
      <c r="G535" s="4"/>
      <c r="I535" s="4"/>
      <c r="J535" s="4"/>
      <c r="K535" s="4"/>
    </row>
    <row r="536" spans="5:11" ht="14.25" customHeight="1">
      <c r="E536" s="4"/>
      <c r="F536" s="4"/>
      <c r="G536" s="4"/>
      <c r="I536" s="4"/>
      <c r="J536" s="4"/>
      <c r="K536" s="4"/>
    </row>
    <row r="537" spans="5:11" ht="14.25" customHeight="1">
      <c r="E537" s="4"/>
      <c r="F537" s="4"/>
      <c r="G537" s="4"/>
      <c r="I537" s="4"/>
      <c r="J537" s="4"/>
      <c r="K537" s="4"/>
    </row>
    <row r="538" spans="5:11" ht="14.25" customHeight="1">
      <c r="E538" s="4"/>
      <c r="F538" s="4"/>
      <c r="G538" s="4"/>
      <c r="I538" s="4"/>
      <c r="J538" s="4"/>
      <c r="K538" s="4"/>
    </row>
    <row r="539" spans="5:11" ht="14.25" customHeight="1">
      <c r="E539" s="4"/>
      <c r="F539" s="4"/>
      <c r="G539" s="4"/>
      <c r="I539" s="4"/>
      <c r="J539" s="4"/>
      <c r="K539" s="4"/>
    </row>
    <row r="540" spans="5:11" ht="14.25" customHeight="1">
      <c r="E540" s="4"/>
      <c r="F540" s="4"/>
      <c r="G540" s="4"/>
      <c r="I540" s="4"/>
      <c r="J540" s="4"/>
      <c r="K540" s="4"/>
    </row>
    <row r="541" spans="5:11" ht="14.25" customHeight="1">
      <c r="E541" s="4"/>
      <c r="F541" s="4"/>
      <c r="G541" s="4"/>
      <c r="I541" s="4"/>
      <c r="J541" s="4"/>
      <c r="K541" s="4"/>
    </row>
    <row r="542" spans="5:11" ht="14.25" customHeight="1">
      <c r="E542" s="4"/>
      <c r="F542" s="4"/>
      <c r="G542" s="4"/>
      <c r="I542" s="4"/>
      <c r="J542" s="4"/>
      <c r="K542" s="4"/>
    </row>
    <row r="543" spans="5:11" ht="14.25" customHeight="1">
      <c r="E543" s="4"/>
      <c r="F543" s="4"/>
      <c r="G543" s="4"/>
      <c r="I543" s="4"/>
      <c r="J543" s="4"/>
      <c r="K543" s="4"/>
    </row>
    <row r="544" spans="5:11" ht="14.25" customHeight="1">
      <c r="E544" s="4"/>
      <c r="F544" s="4"/>
      <c r="G544" s="4"/>
      <c r="I544" s="4"/>
      <c r="J544" s="4"/>
      <c r="K544" s="4"/>
    </row>
    <row r="545" spans="5:11" ht="14.25" customHeight="1">
      <c r="E545" s="4"/>
      <c r="F545" s="4"/>
      <c r="G545" s="4"/>
      <c r="I545" s="4"/>
      <c r="J545" s="4"/>
      <c r="K545" s="4"/>
    </row>
    <row r="546" spans="5:11" ht="14.25" customHeight="1">
      <c r="E546" s="4"/>
      <c r="F546" s="4"/>
      <c r="G546" s="4"/>
      <c r="I546" s="4"/>
      <c r="J546" s="4"/>
      <c r="K546" s="4"/>
    </row>
    <row r="547" spans="5:11" ht="14.25" customHeight="1">
      <c r="E547" s="4"/>
      <c r="F547" s="4"/>
      <c r="G547" s="4"/>
      <c r="I547" s="4"/>
      <c r="J547" s="4"/>
      <c r="K547" s="4"/>
    </row>
    <row r="548" spans="5:11" ht="14.25" customHeight="1">
      <c r="E548" s="4"/>
      <c r="F548" s="4"/>
      <c r="G548" s="4"/>
      <c r="I548" s="4"/>
      <c r="J548" s="4"/>
      <c r="K548" s="4"/>
    </row>
    <row r="549" spans="5:11" ht="14.25" customHeight="1">
      <c r="E549" s="4"/>
      <c r="F549" s="4"/>
      <c r="G549" s="4"/>
      <c r="I549" s="4"/>
      <c r="J549" s="4"/>
      <c r="K549" s="4"/>
    </row>
    <row r="550" spans="5:11" ht="14.25" customHeight="1">
      <c r="E550" s="4"/>
      <c r="F550" s="4"/>
      <c r="G550" s="4"/>
      <c r="I550" s="4"/>
      <c r="J550" s="4"/>
      <c r="K550" s="4"/>
    </row>
    <row r="551" spans="5:11" ht="14.25" customHeight="1">
      <c r="E551" s="4"/>
      <c r="F551" s="4"/>
      <c r="G551" s="4"/>
      <c r="I551" s="4"/>
      <c r="J551" s="4"/>
      <c r="K551" s="4"/>
    </row>
    <row r="552" spans="5:11" ht="14.25" customHeight="1">
      <c r="E552" s="4"/>
      <c r="F552" s="4"/>
      <c r="G552" s="4"/>
      <c r="I552" s="4"/>
      <c r="J552" s="4"/>
      <c r="K552" s="4"/>
    </row>
    <row r="553" spans="5:11" ht="14.25" customHeight="1">
      <c r="E553" s="4"/>
      <c r="F553" s="4"/>
      <c r="G553" s="4"/>
      <c r="I553" s="4"/>
      <c r="J553" s="4"/>
      <c r="K553" s="4"/>
    </row>
    <row r="554" spans="5:11" ht="14.25" customHeight="1">
      <c r="E554" s="4"/>
      <c r="F554" s="4"/>
      <c r="G554" s="4"/>
      <c r="I554" s="4"/>
      <c r="J554" s="4"/>
      <c r="K554" s="4"/>
    </row>
    <row r="555" spans="5:11" ht="14.25" customHeight="1">
      <c r="E555" s="4"/>
      <c r="F555" s="4"/>
      <c r="G555" s="4"/>
      <c r="I555" s="4"/>
      <c r="J555" s="4"/>
      <c r="K555" s="4"/>
    </row>
    <row r="556" spans="5:11" ht="14.25" customHeight="1">
      <c r="E556" s="4"/>
      <c r="F556" s="4"/>
      <c r="G556" s="4"/>
      <c r="I556" s="4"/>
      <c r="J556" s="4"/>
      <c r="K556" s="4"/>
    </row>
    <row r="557" spans="5:11" ht="14.25" customHeight="1">
      <c r="E557" s="4"/>
      <c r="F557" s="4"/>
      <c r="G557" s="4"/>
      <c r="I557" s="4"/>
      <c r="J557" s="4"/>
      <c r="K557" s="4"/>
    </row>
    <row r="558" spans="5:11" ht="14.25" customHeight="1">
      <c r="E558" s="4"/>
      <c r="F558" s="4"/>
      <c r="G558" s="4"/>
      <c r="I558" s="4"/>
      <c r="J558" s="4"/>
      <c r="K558" s="4"/>
    </row>
    <row r="559" spans="5:11" ht="14.25" customHeight="1">
      <c r="E559" s="4"/>
      <c r="F559" s="4"/>
      <c r="G559" s="4"/>
      <c r="I559" s="4"/>
      <c r="J559" s="4"/>
      <c r="K559" s="4"/>
    </row>
    <row r="560" spans="5:11" ht="14.25" customHeight="1">
      <c r="E560" s="4"/>
      <c r="F560" s="4"/>
      <c r="G560" s="4"/>
      <c r="I560" s="4"/>
      <c r="J560" s="4"/>
      <c r="K560" s="4"/>
    </row>
    <row r="561" spans="5:11" ht="14.25" customHeight="1">
      <c r="E561" s="4"/>
      <c r="F561" s="4"/>
      <c r="G561" s="4"/>
      <c r="I561" s="4"/>
      <c r="J561" s="4"/>
      <c r="K561" s="4"/>
    </row>
    <row r="562" spans="5:11" ht="14.25" customHeight="1">
      <c r="E562" s="4"/>
      <c r="F562" s="4"/>
      <c r="G562" s="4"/>
      <c r="I562" s="4"/>
      <c r="J562" s="4"/>
      <c r="K562" s="4"/>
    </row>
    <row r="563" spans="5:11" ht="14.25" customHeight="1">
      <c r="E563" s="4"/>
      <c r="F563" s="4"/>
      <c r="G563" s="4"/>
      <c r="I563" s="4"/>
      <c r="J563" s="4"/>
      <c r="K563" s="4"/>
    </row>
    <row r="564" spans="5:11" ht="14.25" customHeight="1">
      <c r="E564" s="4"/>
      <c r="F564" s="4"/>
      <c r="G564" s="4"/>
      <c r="I564" s="4"/>
      <c r="J564" s="4"/>
      <c r="K564" s="4"/>
    </row>
    <row r="565" spans="5:11" ht="14.25" customHeight="1">
      <c r="E565" s="4"/>
      <c r="F565" s="4"/>
      <c r="G565" s="4"/>
      <c r="I565" s="4"/>
      <c r="J565" s="4"/>
      <c r="K565" s="4"/>
    </row>
    <row r="566" spans="5:11" ht="14.25" customHeight="1">
      <c r="E566" s="4"/>
      <c r="F566" s="4"/>
      <c r="G566" s="4"/>
      <c r="I566" s="4"/>
      <c r="J566" s="4"/>
      <c r="K566" s="4"/>
    </row>
    <row r="567" spans="5:11" ht="14.25" customHeight="1">
      <c r="E567" s="4"/>
      <c r="F567" s="4"/>
      <c r="G567" s="4"/>
      <c r="I567" s="4"/>
      <c r="J567" s="4"/>
      <c r="K567" s="4"/>
    </row>
    <row r="568" spans="5:11" ht="14.25" customHeight="1">
      <c r="E568" s="4"/>
      <c r="F568" s="4"/>
      <c r="G568" s="4"/>
      <c r="I568" s="4"/>
      <c r="J568" s="4"/>
      <c r="K568" s="4"/>
    </row>
    <row r="569" spans="5:11" ht="14.25" customHeight="1">
      <c r="E569" s="4"/>
      <c r="F569" s="4"/>
      <c r="G569" s="4"/>
      <c r="I569" s="4"/>
      <c r="J569" s="4"/>
      <c r="K569" s="4"/>
    </row>
    <row r="570" spans="5:11" ht="14.25" customHeight="1">
      <c r="E570" s="4"/>
      <c r="F570" s="4"/>
      <c r="G570" s="4"/>
      <c r="I570" s="4"/>
      <c r="J570" s="4"/>
      <c r="K570" s="4"/>
    </row>
    <row r="571" spans="5:11" ht="14.25" customHeight="1">
      <c r="E571" s="4"/>
      <c r="F571" s="4"/>
      <c r="G571" s="4"/>
      <c r="I571" s="4"/>
      <c r="J571" s="4"/>
      <c r="K571" s="4"/>
    </row>
    <row r="572" spans="5:11" ht="14.25" customHeight="1">
      <c r="E572" s="4"/>
      <c r="F572" s="4"/>
      <c r="G572" s="4"/>
      <c r="I572" s="4"/>
      <c r="J572" s="4"/>
      <c r="K572" s="4"/>
    </row>
    <row r="573" spans="5:11" ht="14.25" customHeight="1">
      <c r="E573" s="4"/>
      <c r="F573" s="4"/>
      <c r="G573" s="4"/>
      <c r="I573" s="4"/>
      <c r="J573" s="4"/>
      <c r="K573" s="4"/>
    </row>
    <row r="574" spans="5:11" ht="14.25" customHeight="1">
      <c r="E574" s="4"/>
      <c r="F574" s="4"/>
      <c r="G574" s="4"/>
      <c r="I574" s="4"/>
      <c r="J574" s="4"/>
      <c r="K574" s="4"/>
    </row>
    <row r="575" spans="5:11" ht="14.25" customHeight="1">
      <c r="E575" s="4"/>
      <c r="F575" s="4"/>
      <c r="G575" s="4"/>
      <c r="I575" s="4"/>
      <c r="J575" s="4"/>
      <c r="K575" s="4"/>
    </row>
    <row r="576" spans="5:11" ht="14.25" customHeight="1">
      <c r="E576" s="4"/>
      <c r="F576" s="4"/>
      <c r="G576" s="4"/>
      <c r="I576" s="4"/>
      <c r="J576" s="4"/>
      <c r="K576" s="4"/>
    </row>
    <row r="577" spans="5:11" ht="14.25" customHeight="1">
      <c r="E577" s="4"/>
      <c r="F577" s="4"/>
      <c r="G577" s="4"/>
      <c r="I577" s="4"/>
      <c r="J577" s="4"/>
      <c r="K577" s="4"/>
    </row>
    <row r="578" spans="5:11" ht="14.25" customHeight="1">
      <c r="E578" s="4"/>
      <c r="F578" s="4"/>
      <c r="G578" s="4"/>
      <c r="I578" s="4"/>
      <c r="J578" s="4"/>
      <c r="K578" s="4"/>
    </row>
    <row r="579" spans="5:11" ht="14.25" customHeight="1">
      <c r="E579" s="4"/>
      <c r="F579" s="4"/>
      <c r="G579" s="4"/>
      <c r="I579" s="4"/>
      <c r="J579" s="4"/>
      <c r="K579" s="4"/>
    </row>
    <row r="580" spans="5:11" ht="14.25" customHeight="1">
      <c r="E580" s="4"/>
      <c r="F580" s="4"/>
      <c r="G580" s="4"/>
      <c r="I580" s="4"/>
      <c r="J580" s="4"/>
      <c r="K580" s="4"/>
    </row>
    <row r="581" spans="5:11" ht="14.25" customHeight="1">
      <c r="E581" s="4"/>
      <c r="F581" s="4"/>
      <c r="G581" s="4"/>
      <c r="I581" s="4"/>
      <c r="J581" s="4"/>
      <c r="K581" s="4"/>
    </row>
    <row r="582" spans="5:11" ht="14.25" customHeight="1">
      <c r="E582" s="4"/>
      <c r="F582" s="4"/>
      <c r="G582" s="4"/>
      <c r="I582" s="4"/>
      <c r="J582" s="4"/>
      <c r="K582" s="4"/>
    </row>
    <row r="583" spans="5:11" ht="14.25" customHeight="1">
      <c r="E583" s="4"/>
      <c r="F583" s="4"/>
      <c r="G583" s="4"/>
      <c r="I583" s="4"/>
      <c r="J583" s="4"/>
      <c r="K583" s="4"/>
    </row>
    <row r="584" spans="5:11" ht="14.25" customHeight="1">
      <c r="E584" s="4"/>
      <c r="F584" s="4"/>
      <c r="G584" s="4"/>
      <c r="I584" s="4"/>
      <c r="J584" s="4"/>
      <c r="K584" s="4"/>
    </row>
    <row r="585" spans="5:11" ht="14.25" customHeight="1">
      <c r="E585" s="4"/>
      <c r="F585" s="4"/>
      <c r="G585" s="4"/>
      <c r="I585" s="4"/>
      <c r="J585" s="4"/>
      <c r="K585" s="4"/>
    </row>
    <row r="586" spans="5:11" ht="14.25" customHeight="1">
      <c r="E586" s="4"/>
      <c r="F586" s="4"/>
      <c r="G586" s="4"/>
      <c r="I586" s="4"/>
      <c r="J586" s="4"/>
      <c r="K586" s="4"/>
    </row>
    <row r="587" spans="5:11" ht="14.25" customHeight="1">
      <c r="E587" s="4"/>
      <c r="F587" s="4"/>
      <c r="G587" s="4"/>
      <c r="I587" s="4"/>
      <c r="J587" s="4"/>
      <c r="K587" s="4"/>
    </row>
    <row r="588" spans="5:11" ht="14.25" customHeight="1">
      <c r="E588" s="4"/>
      <c r="F588" s="4"/>
      <c r="G588" s="4"/>
      <c r="I588" s="4"/>
      <c r="J588" s="4"/>
      <c r="K588" s="4"/>
    </row>
    <row r="589" spans="5:11" ht="14.25" customHeight="1">
      <c r="E589" s="4"/>
      <c r="F589" s="4"/>
      <c r="G589" s="4"/>
      <c r="I589" s="4"/>
      <c r="J589" s="4"/>
      <c r="K589" s="4"/>
    </row>
    <row r="590" spans="5:11" ht="14.25" customHeight="1">
      <c r="E590" s="4"/>
      <c r="F590" s="4"/>
      <c r="G590" s="4"/>
      <c r="I590" s="4"/>
      <c r="J590" s="4"/>
      <c r="K590" s="4"/>
    </row>
    <row r="591" spans="5:11" ht="14.25" customHeight="1">
      <c r="E591" s="4"/>
      <c r="F591" s="4"/>
      <c r="G591" s="4"/>
      <c r="I591" s="4"/>
      <c r="J591" s="4"/>
      <c r="K591" s="4"/>
    </row>
    <row r="592" spans="5:11" ht="14.25" customHeight="1">
      <c r="E592" s="4"/>
      <c r="F592" s="4"/>
      <c r="G592" s="4"/>
      <c r="I592" s="4"/>
      <c r="J592" s="4"/>
      <c r="K592" s="4"/>
    </row>
    <row r="593" spans="5:11" ht="14.25" customHeight="1">
      <c r="E593" s="4"/>
      <c r="F593" s="4"/>
      <c r="G593" s="4"/>
      <c r="I593" s="4"/>
      <c r="J593" s="4"/>
      <c r="K593" s="4"/>
    </row>
    <row r="594" spans="5:11" ht="14.25" customHeight="1">
      <c r="E594" s="4"/>
      <c r="F594" s="4"/>
      <c r="G594" s="4"/>
      <c r="I594" s="4"/>
      <c r="J594" s="4"/>
      <c r="K594" s="4"/>
    </row>
    <row r="595" spans="5:11" ht="14.25" customHeight="1">
      <c r="E595" s="4"/>
      <c r="F595" s="4"/>
      <c r="G595" s="4"/>
      <c r="I595" s="4"/>
      <c r="J595" s="4"/>
      <c r="K595" s="4"/>
    </row>
    <row r="596" spans="5:11" ht="14.25" customHeight="1">
      <c r="E596" s="4"/>
      <c r="F596" s="4"/>
      <c r="G596" s="4"/>
      <c r="I596" s="4"/>
      <c r="J596" s="4"/>
      <c r="K596" s="4"/>
    </row>
    <row r="597" spans="5:11" ht="14.25" customHeight="1">
      <c r="E597" s="4"/>
      <c r="F597" s="4"/>
      <c r="G597" s="4"/>
      <c r="I597" s="4"/>
      <c r="J597" s="4"/>
      <c r="K597" s="4"/>
    </row>
    <row r="598" spans="5:11" ht="14.25" customHeight="1">
      <c r="E598" s="4"/>
      <c r="F598" s="4"/>
      <c r="G598" s="4"/>
      <c r="I598" s="4"/>
      <c r="J598" s="4"/>
      <c r="K598" s="4"/>
    </row>
    <row r="599" spans="5:11" ht="14.25" customHeight="1">
      <c r="E599" s="4"/>
      <c r="F599" s="4"/>
      <c r="G599" s="4"/>
      <c r="I599" s="4"/>
      <c r="J599" s="4"/>
      <c r="K599" s="4"/>
    </row>
    <row r="600" spans="5:11" ht="14.25" customHeight="1">
      <c r="E600" s="4"/>
      <c r="F600" s="4"/>
      <c r="G600" s="4"/>
      <c r="I600" s="4"/>
      <c r="J600" s="4"/>
      <c r="K600" s="4"/>
    </row>
    <row r="601" spans="5:11" ht="14.25" customHeight="1">
      <c r="E601" s="4"/>
      <c r="F601" s="4"/>
      <c r="G601" s="4"/>
      <c r="I601" s="4"/>
      <c r="J601" s="4"/>
      <c r="K601" s="4"/>
    </row>
    <row r="602" spans="5:11" ht="14.25" customHeight="1">
      <c r="E602" s="4"/>
      <c r="F602" s="4"/>
      <c r="G602" s="4"/>
      <c r="I602" s="4"/>
      <c r="J602" s="4"/>
      <c r="K602" s="4"/>
    </row>
    <row r="603" spans="5:11" ht="14.25" customHeight="1">
      <c r="E603" s="4"/>
      <c r="F603" s="4"/>
      <c r="G603" s="4"/>
      <c r="I603" s="4"/>
      <c r="J603" s="4"/>
      <c r="K603" s="4"/>
    </row>
    <row r="604" spans="5:11" ht="14.25" customHeight="1">
      <c r="E604" s="4"/>
      <c r="F604" s="4"/>
      <c r="G604" s="4"/>
      <c r="I604" s="4"/>
      <c r="J604" s="4"/>
      <c r="K604" s="4"/>
    </row>
    <row r="605" spans="5:11" ht="14.25" customHeight="1">
      <c r="E605" s="4"/>
      <c r="F605" s="4"/>
      <c r="G605" s="4"/>
      <c r="I605" s="4"/>
      <c r="J605" s="4"/>
      <c r="K605" s="4"/>
    </row>
    <row r="606" spans="5:11" ht="14.25" customHeight="1">
      <c r="E606" s="4"/>
      <c r="F606" s="4"/>
      <c r="G606" s="4"/>
      <c r="I606" s="4"/>
      <c r="J606" s="4"/>
      <c r="K606" s="4"/>
    </row>
    <row r="607" spans="5:11" ht="14.25" customHeight="1">
      <c r="E607" s="4"/>
      <c r="F607" s="4"/>
      <c r="G607" s="4"/>
      <c r="I607" s="4"/>
      <c r="J607" s="4"/>
      <c r="K607" s="4"/>
    </row>
    <row r="608" spans="5:11" ht="14.25" customHeight="1">
      <c r="E608" s="4"/>
      <c r="F608" s="4"/>
      <c r="G608" s="4"/>
      <c r="I608" s="4"/>
      <c r="J608" s="4"/>
      <c r="K608" s="4"/>
    </row>
    <row r="609" spans="5:11" ht="14.25" customHeight="1">
      <c r="E609" s="4"/>
      <c r="F609" s="4"/>
      <c r="G609" s="4"/>
      <c r="I609" s="4"/>
      <c r="J609" s="4"/>
      <c r="K609" s="4"/>
    </row>
    <row r="610" spans="5:11" ht="14.25" customHeight="1">
      <c r="E610" s="4"/>
      <c r="F610" s="4"/>
      <c r="G610" s="4"/>
      <c r="I610" s="4"/>
      <c r="J610" s="4"/>
      <c r="K610" s="4"/>
    </row>
    <row r="611" spans="5:11" ht="14.25" customHeight="1">
      <c r="E611" s="4"/>
      <c r="F611" s="4"/>
      <c r="G611" s="4"/>
      <c r="I611" s="4"/>
      <c r="J611" s="4"/>
      <c r="K611" s="4"/>
    </row>
    <row r="612" spans="5:11" ht="14.25" customHeight="1">
      <c r="E612" s="4"/>
      <c r="F612" s="4"/>
      <c r="G612" s="4"/>
      <c r="I612" s="4"/>
      <c r="J612" s="4"/>
      <c r="K612" s="4"/>
    </row>
    <row r="613" spans="5:11" ht="14.25" customHeight="1">
      <c r="E613" s="4"/>
      <c r="F613" s="4"/>
      <c r="G613" s="4"/>
      <c r="I613" s="4"/>
      <c r="J613" s="4"/>
      <c r="K613" s="4"/>
    </row>
    <row r="614" spans="5:11" ht="14.25" customHeight="1">
      <c r="E614" s="4"/>
      <c r="F614" s="4"/>
      <c r="G614" s="4"/>
      <c r="I614" s="4"/>
      <c r="J614" s="4"/>
      <c r="K614" s="4"/>
    </row>
    <row r="615" spans="5:11" ht="14.25" customHeight="1">
      <c r="E615" s="4"/>
      <c r="F615" s="4"/>
      <c r="G615" s="4"/>
      <c r="I615" s="4"/>
      <c r="J615" s="4"/>
      <c r="K615" s="4"/>
    </row>
    <row r="616" spans="5:11" ht="14.25" customHeight="1">
      <c r="E616" s="4"/>
      <c r="F616" s="4"/>
      <c r="G616" s="4"/>
      <c r="I616" s="4"/>
      <c r="J616" s="4"/>
      <c r="K616" s="4"/>
    </row>
    <row r="617" spans="5:11" ht="14.25" customHeight="1">
      <c r="E617" s="4"/>
      <c r="F617" s="4"/>
      <c r="G617" s="4"/>
      <c r="I617" s="4"/>
      <c r="J617" s="4"/>
      <c r="K617" s="4"/>
    </row>
    <row r="618" spans="5:11" ht="14.25" customHeight="1">
      <c r="E618" s="4"/>
      <c r="F618" s="4"/>
      <c r="G618" s="4"/>
      <c r="I618" s="4"/>
      <c r="J618" s="4"/>
      <c r="K618" s="4"/>
    </row>
    <row r="619" spans="5:11" ht="14.25" customHeight="1">
      <c r="E619" s="4"/>
      <c r="F619" s="4"/>
      <c r="G619" s="4"/>
      <c r="I619" s="4"/>
      <c r="J619" s="4"/>
      <c r="K619" s="4"/>
    </row>
    <row r="620" spans="5:11" ht="14.25" customHeight="1">
      <c r="E620" s="4"/>
      <c r="F620" s="4"/>
      <c r="G620" s="4"/>
      <c r="I620" s="4"/>
      <c r="J620" s="4"/>
      <c r="K620" s="4"/>
    </row>
    <row r="621" spans="5:11" ht="14.25" customHeight="1">
      <c r="E621" s="4"/>
      <c r="F621" s="4"/>
      <c r="G621" s="4"/>
      <c r="I621" s="4"/>
      <c r="J621" s="4"/>
      <c r="K621" s="4"/>
    </row>
    <row r="622" spans="5:11" ht="14.25" customHeight="1">
      <c r="E622" s="4"/>
      <c r="F622" s="4"/>
      <c r="G622" s="4"/>
      <c r="I622" s="4"/>
      <c r="J622" s="4"/>
      <c r="K622" s="4"/>
    </row>
    <row r="623" spans="5:11" ht="14.25" customHeight="1">
      <c r="E623" s="4"/>
      <c r="F623" s="4"/>
      <c r="G623" s="4"/>
      <c r="I623" s="4"/>
      <c r="J623" s="4"/>
      <c r="K623" s="4"/>
    </row>
    <row r="624" spans="5:11" ht="14.25" customHeight="1">
      <c r="E624" s="4"/>
      <c r="F624" s="4"/>
      <c r="G624" s="4"/>
      <c r="I624" s="4"/>
      <c r="J624" s="4"/>
      <c r="K624" s="4"/>
    </row>
    <row r="625" spans="5:11" ht="14.25" customHeight="1">
      <c r="E625" s="4"/>
      <c r="F625" s="4"/>
      <c r="G625" s="4"/>
      <c r="I625" s="4"/>
      <c r="J625" s="4"/>
      <c r="K625" s="4"/>
    </row>
    <row r="626" spans="5:11" ht="14.25" customHeight="1">
      <c r="E626" s="4"/>
      <c r="F626" s="4"/>
      <c r="G626" s="4"/>
      <c r="I626" s="4"/>
      <c r="J626" s="4"/>
      <c r="K626" s="4"/>
    </row>
    <row r="627" spans="5:11" ht="14.25" customHeight="1">
      <c r="E627" s="4"/>
      <c r="F627" s="4"/>
      <c r="G627" s="4"/>
      <c r="I627" s="4"/>
      <c r="J627" s="4"/>
      <c r="K627" s="4"/>
    </row>
    <row r="628" spans="5:11" ht="14.25" customHeight="1">
      <c r="E628" s="4"/>
      <c r="F628" s="4"/>
      <c r="G628" s="4"/>
      <c r="I628" s="4"/>
      <c r="J628" s="4"/>
      <c r="K628" s="4"/>
    </row>
    <row r="629" spans="5:11" ht="14.25" customHeight="1">
      <c r="E629" s="4"/>
      <c r="F629" s="4"/>
      <c r="G629" s="4"/>
      <c r="I629" s="4"/>
      <c r="J629" s="4"/>
      <c r="K629" s="4"/>
    </row>
    <row r="630" spans="5:11" ht="14.25" customHeight="1">
      <c r="E630" s="4"/>
      <c r="F630" s="4"/>
      <c r="G630" s="4"/>
      <c r="I630" s="4"/>
      <c r="J630" s="4"/>
      <c r="K630" s="4"/>
    </row>
    <row r="631" spans="5:11" ht="14.25" customHeight="1">
      <c r="E631" s="4"/>
      <c r="F631" s="4"/>
      <c r="G631" s="4"/>
      <c r="I631" s="4"/>
      <c r="J631" s="4"/>
      <c r="K631" s="4"/>
    </row>
    <row r="632" spans="5:11" ht="14.25" customHeight="1">
      <c r="E632" s="4"/>
      <c r="F632" s="4"/>
      <c r="G632" s="4"/>
      <c r="I632" s="4"/>
      <c r="J632" s="4"/>
      <c r="K632" s="4"/>
    </row>
    <row r="633" spans="5:11" ht="14.25" customHeight="1">
      <c r="E633" s="4"/>
      <c r="F633" s="4"/>
      <c r="G633" s="4"/>
      <c r="I633" s="4"/>
      <c r="J633" s="4"/>
      <c r="K633" s="4"/>
    </row>
    <row r="634" spans="5:11" ht="14.25" customHeight="1">
      <c r="E634" s="4"/>
      <c r="F634" s="4"/>
      <c r="G634" s="4"/>
      <c r="I634" s="4"/>
      <c r="J634" s="4"/>
      <c r="K634" s="4"/>
    </row>
    <row r="635" spans="5:11" ht="14.25" customHeight="1">
      <c r="E635" s="4"/>
      <c r="F635" s="4"/>
      <c r="G635" s="4"/>
      <c r="I635" s="4"/>
      <c r="J635" s="4"/>
      <c r="K635" s="4"/>
    </row>
    <row r="636" spans="5:11" ht="14.25" customHeight="1">
      <c r="E636" s="4"/>
      <c r="F636" s="4"/>
      <c r="G636" s="4"/>
      <c r="I636" s="4"/>
      <c r="J636" s="4"/>
      <c r="K636" s="4"/>
    </row>
    <row r="637" spans="5:11" ht="14.25" customHeight="1">
      <c r="E637" s="4"/>
      <c r="F637" s="4"/>
      <c r="G637" s="4"/>
      <c r="I637" s="4"/>
      <c r="J637" s="4"/>
      <c r="K637" s="4"/>
    </row>
    <row r="638" spans="5:11" ht="14.25" customHeight="1">
      <c r="E638" s="4"/>
      <c r="F638" s="4"/>
      <c r="G638" s="4"/>
      <c r="I638" s="4"/>
      <c r="J638" s="4"/>
      <c r="K638" s="4"/>
    </row>
    <row r="639" spans="5:11" ht="14.25" customHeight="1">
      <c r="E639" s="4"/>
      <c r="F639" s="4"/>
      <c r="G639" s="4"/>
      <c r="I639" s="4"/>
      <c r="J639" s="4"/>
      <c r="K639" s="4"/>
    </row>
    <row r="640" spans="5:11" ht="14.25" customHeight="1">
      <c r="E640" s="4"/>
      <c r="F640" s="4"/>
      <c r="G640" s="4"/>
      <c r="I640" s="4"/>
      <c r="J640" s="4"/>
      <c r="K640" s="4"/>
    </row>
    <row r="641" spans="5:11" ht="14.25" customHeight="1">
      <c r="E641" s="4"/>
      <c r="F641" s="4"/>
      <c r="G641" s="4"/>
      <c r="I641" s="4"/>
      <c r="J641" s="4"/>
      <c r="K641" s="4"/>
    </row>
    <row r="642" spans="5:11" ht="14.25" customHeight="1">
      <c r="E642" s="4"/>
      <c r="F642" s="4"/>
      <c r="G642" s="4"/>
      <c r="I642" s="4"/>
      <c r="J642" s="4"/>
      <c r="K642" s="4"/>
    </row>
    <row r="643" spans="5:11" ht="14.25" customHeight="1">
      <c r="E643" s="4"/>
      <c r="F643" s="4"/>
      <c r="G643" s="4"/>
      <c r="I643" s="4"/>
      <c r="J643" s="4"/>
      <c r="K643" s="4"/>
    </row>
    <row r="644" spans="5:11" ht="14.25" customHeight="1">
      <c r="E644" s="4"/>
      <c r="F644" s="4"/>
      <c r="G644" s="4"/>
      <c r="I644" s="4"/>
      <c r="J644" s="4"/>
      <c r="K644" s="4"/>
    </row>
    <row r="645" spans="5:11" ht="14.25" customHeight="1">
      <c r="E645" s="4"/>
      <c r="F645" s="4"/>
      <c r="G645" s="4"/>
      <c r="I645" s="4"/>
      <c r="J645" s="4"/>
      <c r="K645" s="4"/>
    </row>
    <row r="646" spans="5:11" ht="14.25" customHeight="1">
      <c r="E646" s="4"/>
      <c r="F646" s="4"/>
      <c r="G646" s="4"/>
      <c r="I646" s="4"/>
      <c r="J646" s="4"/>
      <c r="K646" s="4"/>
    </row>
    <row r="647" spans="5:11" ht="14.25" customHeight="1">
      <c r="E647" s="4"/>
      <c r="F647" s="4"/>
      <c r="G647" s="4"/>
      <c r="I647" s="4"/>
      <c r="J647" s="4"/>
      <c r="K647" s="4"/>
    </row>
    <row r="648" spans="5:11" ht="14.25" customHeight="1">
      <c r="E648" s="4"/>
      <c r="F648" s="4"/>
      <c r="G648" s="4"/>
      <c r="I648" s="4"/>
      <c r="J648" s="4"/>
      <c r="K648" s="4"/>
    </row>
    <row r="649" spans="5:11" ht="14.25" customHeight="1">
      <c r="E649" s="4"/>
      <c r="F649" s="4"/>
      <c r="G649" s="4"/>
      <c r="I649" s="4"/>
      <c r="J649" s="4"/>
      <c r="K649" s="4"/>
    </row>
    <row r="650" spans="5:11" ht="14.25" customHeight="1">
      <c r="E650" s="4"/>
      <c r="F650" s="4"/>
      <c r="G650" s="4"/>
      <c r="I650" s="4"/>
      <c r="J650" s="4"/>
      <c r="K650" s="4"/>
    </row>
    <row r="651" spans="5:11" ht="14.25" customHeight="1">
      <c r="E651" s="4"/>
      <c r="F651" s="4"/>
      <c r="G651" s="4"/>
      <c r="I651" s="4"/>
      <c r="J651" s="4"/>
      <c r="K651" s="4"/>
    </row>
    <row r="652" spans="5:11" ht="14.25" customHeight="1">
      <c r="E652" s="4"/>
      <c r="F652" s="4"/>
      <c r="G652" s="4"/>
      <c r="I652" s="4"/>
      <c r="J652" s="4"/>
      <c r="K652" s="4"/>
    </row>
    <row r="653" spans="5:11" ht="14.25" customHeight="1">
      <c r="E653" s="4"/>
      <c r="F653" s="4"/>
      <c r="G653" s="4"/>
      <c r="I653" s="4"/>
      <c r="J653" s="4"/>
      <c r="K653" s="4"/>
    </row>
    <row r="654" spans="5:11" ht="14.25" customHeight="1">
      <c r="E654" s="4"/>
      <c r="F654" s="4"/>
      <c r="G654" s="4"/>
      <c r="I654" s="4"/>
      <c r="J654" s="4"/>
      <c r="K654" s="4"/>
    </row>
    <row r="655" spans="5:11" ht="14.25" customHeight="1">
      <c r="E655" s="4"/>
      <c r="F655" s="4"/>
      <c r="G655" s="4"/>
      <c r="I655" s="4"/>
      <c r="J655" s="4"/>
      <c r="K655" s="4"/>
    </row>
    <row r="656" spans="5:11" ht="14.25" customHeight="1">
      <c r="E656" s="4"/>
      <c r="F656" s="4"/>
      <c r="G656" s="4"/>
      <c r="I656" s="4"/>
      <c r="J656" s="4"/>
      <c r="K656" s="4"/>
    </row>
    <row r="657" spans="5:11" ht="14.25" customHeight="1">
      <c r="E657" s="4"/>
      <c r="F657" s="4"/>
      <c r="G657" s="4"/>
      <c r="I657" s="4"/>
      <c r="J657" s="4"/>
      <c r="K657" s="4"/>
    </row>
    <row r="658" spans="5:11" ht="14.25" customHeight="1">
      <c r="E658" s="4"/>
      <c r="F658" s="4"/>
      <c r="G658" s="4"/>
      <c r="I658" s="4"/>
      <c r="J658" s="4"/>
      <c r="K658" s="4"/>
    </row>
    <row r="659" spans="5:11" ht="14.25" customHeight="1">
      <c r="E659" s="4"/>
      <c r="F659" s="4"/>
      <c r="G659" s="4"/>
      <c r="I659" s="4"/>
      <c r="J659" s="4"/>
      <c r="K659" s="4"/>
    </row>
    <row r="660" spans="5:11" ht="14.25" customHeight="1">
      <c r="E660" s="4"/>
      <c r="F660" s="4"/>
      <c r="G660" s="4"/>
      <c r="I660" s="4"/>
      <c r="J660" s="4"/>
      <c r="K660" s="4"/>
    </row>
    <row r="661" spans="5:11" ht="14.25" customHeight="1">
      <c r="E661" s="4"/>
      <c r="F661" s="4"/>
      <c r="G661" s="4"/>
      <c r="I661" s="4"/>
      <c r="J661" s="4"/>
      <c r="K661" s="4"/>
    </row>
    <row r="662" spans="5:11" ht="14.25" customHeight="1">
      <c r="E662" s="4"/>
      <c r="F662" s="4"/>
      <c r="G662" s="4"/>
      <c r="I662" s="4"/>
      <c r="J662" s="4"/>
      <c r="K662" s="4"/>
    </row>
    <row r="663" spans="5:11" ht="14.25" customHeight="1">
      <c r="E663" s="4"/>
      <c r="F663" s="4"/>
      <c r="G663" s="4"/>
      <c r="I663" s="4"/>
      <c r="J663" s="4"/>
      <c r="K663" s="4"/>
    </row>
    <row r="664" spans="5:11" ht="14.25" customHeight="1">
      <c r="E664" s="4"/>
      <c r="F664" s="4"/>
      <c r="G664" s="4"/>
      <c r="I664" s="4"/>
      <c r="J664" s="4"/>
      <c r="K664" s="4"/>
    </row>
    <row r="665" spans="5:11" ht="14.25" customHeight="1">
      <c r="E665" s="4"/>
      <c r="F665" s="4"/>
      <c r="G665" s="4"/>
      <c r="I665" s="4"/>
      <c r="J665" s="4"/>
      <c r="K665" s="4"/>
    </row>
    <row r="666" spans="5:11" ht="14.25" customHeight="1">
      <c r="E666" s="4"/>
      <c r="F666" s="4"/>
      <c r="G666" s="4"/>
      <c r="I666" s="4"/>
      <c r="J666" s="4"/>
      <c r="K666" s="4"/>
    </row>
    <row r="667" spans="5:11" ht="14.25" customHeight="1">
      <c r="E667" s="4"/>
      <c r="F667" s="4"/>
      <c r="G667" s="4"/>
      <c r="I667" s="4"/>
      <c r="J667" s="4"/>
      <c r="K667" s="4"/>
    </row>
    <row r="668" spans="5:11" ht="14.25" customHeight="1">
      <c r="E668" s="4"/>
      <c r="F668" s="4"/>
      <c r="G668" s="4"/>
      <c r="I668" s="4"/>
      <c r="J668" s="4"/>
      <c r="K668" s="4"/>
    </row>
    <row r="669" spans="5:11" ht="14.25" customHeight="1">
      <c r="E669" s="4"/>
      <c r="F669" s="4"/>
      <c r="G669" s="4"/>
      <c r="I669" s="4"/>
      <c r="J669" s="4"/>
      <c r="K669" s="4"/>
    </row>
    <row r="670" spans="5:11" ht="14.25" customHeight="1">
      <c r="E670" s="4"/>
      <c r="F670" s="4"/>
      <c r="G670" s="4"/>
      <c r="I670" s="4"/>
      <c r="J670" s="4"/>
      <c r="K670" s="4"/>
    </row>
    <row r="671" spans="5:11" ht="14.25" customHeight="1">
      <c r="E671" s="4"/>
      <c r="F671" s="4"/>
      <c r="G671" s="4"/>
      <c r="I671" s="4"/>
      <c r="J671" s="4"/>
      <c r="K671" s="4"/>
    </row>
    <row r="672" spans="5:11" ht="14.25" customHeight="1">
      <c r="E672" s="4"/>
      <c r="F672" s="4"/>
      <c r="G672" s="4"/>
      <c r="I672" s="4"/>
      <c r="J672" s="4"/>
      <c r="K672" s="4"/>
    </row>
    <row r="673" spans="5:11" ht="14.25" customHeight="1">
      <c r="E673" s="4"/>
      <c r="F673" s="4"/>
      <c r="G673" s="4"/>
      <c r="I673" s="4"/>
      <c r="J673" s="4"/>
      <c r="K673" s="4"/>
    </row>
    <row r="674" spans="5:11" ht="14.25" customHeight="1">
      <c r="E674" s="4"/>
      <c r="F674" s="4"/>
      <c r="G674" s="4"/>
      <c r="I674" s="4"/>
      <c r="J674" s="4"/>
      <c r="K674" s="4"/>
    </row>
    <row r="675" spans="5:11" ht="14.25" customHeight="1">
      <c r="E675" s="4"/>
      <c r="F675" s="4"/>
      <c r="G675" s="4"/>
      <c r="I675" s="4"/>
      <c r="J675" s="4"/>
      <c r="K675" s="4"/>
    </row>
    <row r="676" spans="5:11" ht="14.25" customHeight="1">
      <c r="E676" s="4"/>
      <c r="F676" s="4"/>
      <c r="G676" s="4"/>
      <c r="I676" s="4"/>
      <c r="J676" s="4"/>
      <c r="K676" s="4"/>
    </row>
    <row r="677" spans="5:11" ht="14.25" customHeight="1">
      <c r="E677" s="4"/>
      <c r="F677" s="4"/>
      <c r="G677" s="4"/>
      <c r="I677" s="4"/>
      <c r="J677" s="4"/>
      <c r="K677" s="4"/>
    </row>
    <row r="678" spans="5:11" ht="14.25" customHeight="1">
      <c r="E678" s="4"/>
      <c r="F678" s="4"/>
      <c r="G678" s="4"/>
      <c r="I678" s="4"/>
      <c r="J678" s="4"/>
      <c r="K678" s="4"/>
    </row>
    <row r="679" spans="5:11" ht="14.25" customHeight="1">
      <c r="E679" s="4"/>
      <c r="F679" s="4"/>
      <c r="G679" s="4"/>
      <c r="I679" s="4"/>
      <c r="J679" s="4"/>
      <c r="K679" s="4"/>
    </row>
    <row r="680" spans="5:11" ht="14.25" customHeight="1">
      <c r="E680" s="4"/>
      <c r="F680" s="4"/>
      <c r="G680" s="4"/>
      <c r="I680" s="4"/>
      <c r="J680" s="4"/>
      <c r="K680" s="4"/>
    </row>
    <row r="681" spans="5:11" ht="14.25" customHeight="1">
      <c r="E681" s="4"/>
      <c r="F681" s="4"/>
      <c r="G681" s="4"/>
      <c r="I681" s="4"/>
      <c r="J681" s="4"/>
      <c r="K681" s="4"/>
    </row>
    <row r="682" spans="5:11" ht="14.25" customHeight="1">
      <c r="E682" s="4"/>
      <c r="F682" s="4"/>
      <c r="G682" s="4"/>
      <c r="I682" s="4"/>
      <c r="J682" s="4"/>
      <c r="K682" s="4"/>
    </row>
    <row r="683" spans="5:11" ht="14.25" customHeight="1">
      <c r="E683" s="4"/>
      <c r="F683" s="4"/>
      <c r="G683" s="4"/>
      <c r="I683" s="4"/>
      <c r="J683" s="4"/>
      <c r="K683" s="4"/>
    </row>
    <row r="684" spans="5:11" ht="14.25" customHeight="1">
      <c r="E684" s="4"/>
      <c r="F684" s="4"/>
      <c r="G684" s="4"/>
      <c r="I684" s="4"/>
      <c r="J684" s="4"/>
      <c r="K684" s="4"/>
    </row>
    <row r="685" spans="5:11" ht="14.25" customHeight="1">
      <c r="E685" s="4"/>
      <c r="F685" s="4"/>
      <c r="G685" s="4"/>
      <c r="I685" s="4"/>
      <c r="J685" s="4"/>
      <c r="K685" s="4"/>
    </row>
    <row r="686" spans="5:11" ht="14.25" customHeight="1">
      <c r="E686" s="4"/>
      <c r="F686" s="4"/>
      <c r="G686" s="4"/>
      <c r="I686" s="4"/>
      <c r="J686" s="4"/>
      <c r="K686" s="4"/>
    </row>
    <row r="687" spans="5:11" ht="14.25" customHeight="1">
      <c r="E687" s="4"/>
      <c r="F687" s="4"/>
      <c r="G687" s="4"/>
      <c r="I687" s="4"/>
      <c r="J687" s="4"/>
      <c r="K687" s="4"/>
    </row>
    <row r="688" spans="5:11" ht="14.25" customHeight="1">
      <c r="E688" s="4"/>
      <c r="F688" s="4"/>
      <c r="G688" s="4"/>
      <c r="I688" s="4"/>
      <c r="J688" s="4"/>
      <c r="K688" s="4"/>
    </row>
    <row r="689" spans="5:11" ht="14.25" customHeight="1">
      <c r="E689" s="4"/>
      <c r="F689" s="4"/>
      <c r="G689" s="4"/>
      <c r="I689" s="4"/>
      <c r="J689" s="4"/>
      <c r="K689" s="4"/>
    </row>
    <row r="690" spans="5:11" ht="14.25" customHeight="1">
      <c r="E690" s="4"/>
      <c r="F690" s="4"/>
      <c r="G690" s="4"/>
      <c r="I690" s="4"/>
      <c r="J690" s="4"/>
      <c r="K690" s="4"/>
    </row>
    <row r="691" spans="5:11" ht="14.25" customHeight="1">
      <c r="E691" s="4"/>
      <c r="F691" s="4"/>
      <c r="G691" s="4"/>
      <c r="I691" s="4"/>
      <c r="J691" s="4"/>
      <c r="K691" s="4"/>
    </row>
    <row r="692" spans="5:11" ht="14.25" customHeight="1">
      <c r="E692" s="4"/>
      <c r="F692" s="4"/>
      <c r="G692" s="4"/>
      <c r="I692" s="4"/>
      <c r="J692" s="4"/>
      <c r="K692" s="4"/>
    </row>
    <row r="693" spans="5:11" ht="14.25" customHeight="1">
      <c r="E693" s="4"/>
      <c r="F693" s="4"/>
      <c r="G693" s="4"/>
      <c r="I693" s="4"/>
      <c r="J693" s="4"/>
      <c r="K693" s="4"/>
    </row>
    <row r="694" spans="5:11" ht="14.25" customHeight="1">
      <c r="E694" s="4"/>
      <c r="F694" s="4"/>
      <c r="G694" s="4"/>
      <c r="I694" s="4"/>
      <c r="J694" s="4"/>
      <c r="K694" s="4"/>
    </row>
    <row r="695" spans="5:11" ht="14.25" customHeight="1">
      <c r="E695" s="4"/>
      <c r="F695" s="4"/>
      <c r="G695" s="4"/>
      <c r="I695" s="4"/>
      <c r="J695" s="4"/>
      <c r="K695" s="4"/>
    </row>
    <row r="696" spans="5:11" ht="14.25" customHeight="1">
      <c r="E696" s="4"/>
      <c r="F696" s="4"/>
      <c r="G696" s="4"/>
      <c r="I696" s="4"/>
      <c r="J696" s="4"/>
      <c r="K696" s="4"/>
    </row>
    <row r="697" spans="5:11" ht="14.25" customHeight="1">
      <c r="E697" s="4"/>
      <c r="F697" s="4"/>
      <c r="G697" s="4"/>
      <c r="I697" s="4"/>
      <c r="J697" s="4"/>
      <c r="K697" s="4"/>
    </row>
    <row r="698" spans="5:11" ht="14.25" customHeight="1">
      <c r="E698" s="4"/>
      <c r="F698" s="4"/>
      <c r="G698" s="4"/>
      <c r="I698" s="4"/>
      <c r="J698" s="4"/>
      <c r="K698" s="4"/>
    </row>
    <row r="699" spans="5:11" ht="14.25" customHeight="1">
      <c r="E699" s="4"/>
      <c r="F699" s="4"/>
      <c r="G699" s="4"/>
      <c r="I699" s="4"/>
      <c r="J699" s="4"/>
      <c r="K699" s="4"/>
    </row>
    <row r="700" spans="5:11" ht="14.25" customHeight="1">
      <c r="E700" s="4"/>
      <c r="F700" s="4"/>
      <c r="G700" s="4"/>
      <c r="I700" s="4"/>
      <c r="J700" s="4"/>
      <c r="K700" s="4"/>
    </row>
    <row r="701" spans="5:11" ht="14.25" customHeight="1">
      <c r="E701" s="4"/>
      <c r="F701" s="4"/>
      <c r="G701" s="4"/>
      <c r="I701" s="4"/>
      <c r="J701" s="4"/>
      <c r="K701" s="4"/>
    </row>
    <row r="702" spans="5:11" ht="14.25" customHeight="1">
      <c r="E702" s="4"/>
      <c r="F702" s="4"/>
      <c r="G702" s="4"/>
      <c r="I702" s="4"/>
      <c r="J702" s="4"/>
      <c r="K702" s="4"/>
    </row>
    <row r="703" spans="5:11" ht="14.25" customHeight="1">
      <c r="E703" s="4"/>
      <c r="F703" s="4"/>
      <c r="G703" s="4"/>
      <c r="I703" s="4"/>
      <c r="J703" s="4"/>
      <c r="K703" s="4"/>
    </row>
    <row r="704" spans="5:11" ht="14.25" customHeight="1">
      <c r="E704" s="4"/>
      <c r="F704" s="4"/>
      <c r="G704" s="4"/>
      <c r="I704" s="4"/>
      <c r="J704" s="4"/>
      <c r="K704" s="4"/>
    </row>
    <row r="705" spans="5:11" ht="14.25" customHeight="1">
      <c r="E705" s="4"/>
      <c r="F705" s="4"/>
      <c r="G705" s="4"/>
      <c r="I705" s="4"/>
      <c r="J705" s="4"/>
      <c r="K705" s="4"/>
    </row>
    <row r="706" spans="5:11" ht="14.25" customHeight="1">
      <c r="E706" s="4"/>
      <c r="F706" s="4"/>
      <c r="G706" s="4"/>
      <c r="I706" s="4"/>
      <c r="J706" s="4"/>
      <c r="K706" s="4"/>
    </row>
    <row r="707" spans="5:11" ht="14.25" customHeight="1">
      <c r="E707" s="4"/>
      <c r="F707" s="4"/>
      <c r="G707" s="4"/>
      <c r="I707" s="4"/>
      <c r="J707" s="4"/>
      <c r="K707" s="4"/>
    </row>
    <row r="708" spans="5:11" ht="14.25" customHeight="1">
      <c r="E708" s="4"/>
      <c r="F708" s="4"/>
      <c r="G708" s="4"/>
      <c r="I708" s="4"/>
      <c r="J708" s="4"/>
      <c r="K708" s="4"/>
    </row>
    <row r="709" spans="5:11" ht="14.25" customHeight="1">
      <c r="E709" s="4"/>
      <c r="F709" s="4"/>
      <c r="G709" s="4"/>
      <c r="I709" s="4"/>
      <c r="J709" s="4"/>
      <c r="K709" s="4"/>
    </row>
    <row r="710" spans="5:11" ht="14.25" customHeight="1">
      <c r="E710" s="4"/>
      <c r="F710" s="4"/>
      <c r="G710" s="4"/>
      <c r="I710" s="4"/>
      <c r="J710" s="4"/>
      <c r="K710" s="4"/>
    </row>
    <row r="711" spans="5:11" ht="14.25" customHeight="1">
      <c r="E711" s="4"/>
      <c r="F711" s="4"/>
      <c r="G711" s="4"/>
      <c r="I711" s="4"/>
      <c r="J711" s="4"/>
      <c r="K711" s="4"/>
    </row>
    <row r="712" spans="5:11" ht="14.25" customHeight="1">
      <c r="E712" s="4"/>
      <c r="F712" s="4"/>
      <c r="G712" s="4"/>
      <c r="I712" s="4"/>
      <c r="J712" s="4"/>
      <c r="K712" s="4"/>
    </row>
    <row r="713" spans="5:11" ht="14.25" customHeight="1">
      <c r="E713" s="4"/>
      <c r="F713" s="4"/>
      <c r="G713" s="4"/>
      <c r="I713" s="4"/>
      <c r="J713" s="4"/>
      <c r="K713" s="4"/>
    </row>
    <row r="714" spans="5:11" ht="14.25" customHeight="1">
      <c r="E714" s="4"/>
      <c r="F714" s="4"/>
      <c r="G714" s="4"/>
      <c r="I714" s="4"/>
      <c r="J714" s="4"/>
      <c r="K714" s="4"/>
    </row>
    <row r="715" spans="5:11" ht="14.25" customHeight="1">
      <c r="E715" s="4"/>
      <c r="F715" s="4"/>
      <c r="G715" s="4"/>
      <c r="I715" s="4"/>
      <c r="J715" s="4"/>
      <c r="K715" s="4"/>
    </row>
    <row r="716" spans="5:11" ht="14.25" customHeight="1">
      <c r="E716" s="4"/>
      <c r="F716" s="4"/>
      <c r="G716" s="4"/>
      <c r="I716" s="4"/>
      <c r="J716" s="4"/>
      <c r="K716" s="4"/>
    </row>
    <row r="717" spans="5:11" ht="14.25" customHeight="1">
      <c r="E717" s="4"/>
      <c r="F717" s="4"/>
      <c r="G717" s="4"/>
      <c r="I717" s="4"/>
      <c r="J717" s="4"/>
      <c r="K717" s="4"/>
    </row>
    <row r="718" spans="5:11" ht="14.25" customHeight="1">
      <c r="E718" s="4"/>
      <c r="F718" s="4"/>
      <c r="G718" s="4"/>
      <c r="I718" s="4"/>
      <c r="J718" s="4"/>
      <c r="K718" s="4"/>
    </row>
    <row r="719" spans="5:11" ht="14.25" customHeight="1">
      <c r="E719" s="4"/>
      <c r="F719" s="4"/>
      <c r="G719" s="4"/>
      <c r="I719" s="4"/>
      <c r="J719" s="4"/>
      <c r="K719" s="4"/>
    </row>
    <row r="720" spans="5:11" ht="14.25" customHeight="1">
      <c r="E720" s="4"/>
      <c r="F720" s="4"/>
      <c r="G720" s="4"/>
      <c r="I720" s="4"/>
      <c r="J720" s="4"/>
      <c r="K720" s="4"/>
    </row>
    <row r="721" spans="5:11" ht="14.25" customHeight="1">
      <c r="E721" s="4"/>
      <c r="F721" s="4"/>
      <c r="G721" s="4"/>
      <c r="I721" s="4"/>
      <c r="J721" s="4"/>
      <c r="K721" s="4"/>
    </row>
    <row r="722" spans="5:11" ht="14.25" customHeight="1">
      <c r="E722" s="4"/>
      <c r="F722" s="4"/>
      <c r="G722" s="4"/>
      <c r="I722" s="4"/>
      <c r="J722" s="4"/>
      <c r="K722" s="4"/>
    </row>
    <row r="723" spans="5:11" ht="14.25" customHeight="1">
      <c r="E723" s="4"/>
      <c r="F723" s="4"/>
      <c r="G723" s="4"/>
      <c r="I723" s="4"/>
      <c r="J723" s="4"/>
      <c r="K723" s="4"/>
    </row>
    <row r="724" spans="5:11" ht="14.25" customHeight="1">
      <c r="E724" s="4"/>
      <c r="F724" s="4"/>
      <c r="G724" s="4"/>
      <c r="I724" s="4"/>
      <c r="J724" s="4"/>
      <c r="K724" s="4"/>
    </row>
    <row r="725" spans="5:11" ht="14.25" customHeight="1">
      <c r="E725" s="4"/>
      <c r="F725" s="4"/>
      <c r="G725" s="4"/>
      <c r="I725" s="4"/>
      <c r="J725" s="4"/>
      <c r="K725" s="4"/>
    </row>
    <row r="726" spans="5:11" ht="14.25" customHeight="1">
      <c r="E726" s="4"/>
      <c r="F726" s="4"/>
      <c r="G726" s="4"/>
      <c r="I726" s="4"/>
      <c r="J726" s="4"/>
      <c r="K726" s="4"/>
    </row>
    <row r="727" spans="5:11" ht="14.25" customHeight="1">
      <c r="E727" s="4"/>
      <c r="F727" s="4"/>
      <c r="G727" s="4"/>
      <c r="I727" s="4"/>
      <c r="J727" s="4"/>
      <c r="K727" s="4"/>
    </row>
    <row r="728" spans="5:11" ht="14.25" customHeight="1">
      <c r="E728" s="4"/>
      <c r="F728" s="4"/>
      <c r="G728" s="4"/>
      <c r="I728" s="4"/>
      <c r="J728" s="4"/>
      <c r="K728" s="4"/>
    </row>
    <row r="729" spans="5:11" ht="14.25" customHeight="1">
      <c r="E729" s="4"/>
      <c r="F729" s="4"/>
      <c r="G729" s="4"/>
      <c r="I729" s="4"/>
      <c r="J729" s="4"/>
      <c r="K729" s="4"/>
    </row>
    <row r="730" spans="5:11" ht="14.25" customHeight="1">
      <c r="E730" s="4"/>
      <c r="F730" s="4"/>
      <c r="G730" s="4"/>
      <c r="I730" s="4"/>
      <c r="J730" s="4"/>
      <c r="K730" s="4"/>
    </row>
    <row r="731" spans="5:11" ht="14.25" customHeight="1">
      <c r="E731" s="4"/>
      <c r="F731" s="4"/>
      <c r="G731" s="4"/>
      <c r="I731" s="4"/>
      <c r="J731" s="4"/>
      <c r="K731" s="4"/>
    </row>
    <row r="732" spans="5:11" ht="14.25" customHeight="1">
      <c r="E732" s="4"/>
      <c r="F732" s="4"/>
      <c r="G732" s="4"/>
      <c r="I732" s="4"/>
      <c r="J732" s="4"/>
      <c r="K732" s="4"/>
    </row>
    <row r="733" spans="5:11" ht="14.25" customHeight="1">
      <c r="E733" s="4"/>
      <c r="F733" s="4"/>
      <c r="G733" s="4"/>
      <c r="I733" s="4"/>
      <c r="J733" s="4"/>
      <c r="K733" s="4"/>
    </row>
    <row r="734" spans="5:11" ht="14.25" customHeight="1">
      <c r="E734" s="4"/>
      <c r="F734" s="4"/>
      <c r="G734" s="4"/>
      <c r="I734" s="4"/>
      <c r="J734" s="4"/>
      <c r="K734" s="4"/>
    </row>
    <row r="735" spans="5:11" ht="14.25" customHeight="1">
      <c r="E735" s="4"/>
      <c r="F735" s="4"/>
      <c r="G735" s="4"/>
      <c r="I735" s="4"/>
      <c r="J735" s="4"/>
      <c r="K735" s="4"/>
    </row>
    <row r="736" spans="5:11" ht="14.25" customHeight="1">
      <c r="E736" s="4"/>
      <c r="F736" s="4"/>
      <c r="G736" s="4"/>
      <c r="I736" s="4"/>
      <c r="J736" s="4"/>
      <c r="K736" s="4"/>
    </row>
    <row r="737" spans="5:11" ht="14.25" customHeight="1">
      <c r="E737" s="4"/>
      <c r="F737" s="4"/>
      <c r="G737" s="4"/>
      <c r="I737" s="4"/>
      <c r="J737" s="4"/>
      <c r="K737" s="4"/>
    </row>
    <row r="738" spans="5:11" ht="14.25" customHeight="1">
      <c r="E738" s="4"/>
      <c r="F738" s="4"/>
      <c r="G738" s="4"/>
      <c r="I738" s="4"/>
      <c r="J738" s="4"/>
      <c r="K738" s="4"/>
    </row>
    <row r="739" spans="5:11" ht="14.25" customHeight="1">
      <c r="E739" s="4"/>
      <c r="F739" s="4"/>
      <c r="G739" s="4"/>
      <c r="I739" s="4"/>
      <c r="J739" s="4"/>
      <c r="K739" s="4"/>
    </row>
    <row r="740" spans="5:11" ht="14.25" customHeight="1">
      <c r="E740" s="4"/>
      <c r="F740" s="4"/>
      <c r="G740" s="4"/>
      <c r="I740" s="4"/>
      <c r="J740" s="4"/>
      <c r="K740" s="4"/>
    </row>
    <row r="741" spans="5:11" ht="14.25" customHeight="1">
      <c r="E741" s="4"/>
      <c r="F741" s="4"/>
      <c r="G741" s="4"/>
      <c r="I741" s="4"/>
      <c r="J741" s="4"/>
      <c r="K741" s="4"/>
    </row>
    <row r="742" spans="5:11" ht="14.25" customHeight="1">
      <c r="E742" s="4"/>
      <c r="F742" s="4"/>
      <c r="G742" s="4"/>
      <c r="I742" s="4"/>
      <c r="J742" s="4"/>
      <c r="K742" s="4"/>
    </row>
    <row r="743" spans="5:11" ht="14.25" customHeight="1">
      <c r="E743" s="4"/>
      <c r="F743" s="4"/>
      <c r="G743" s="4"/>
      <c r="I743" s="4"/>
      <c r="J743" s="4"/>
      <c r="K743" s="4"/>
    </row>
    <row r="744" spans="5:11" ht="14.25" customHeight="1">
      <c r="E744" s="4"/>
      <c r="F744" s="4"/>
      <c r="G744" s="4"/>
      <c r="I744" s="4"/>
      <c r="J744" s="4"/>
      <c r="K744" s="4"/>
    </row>
    <row r="745" spans="5:11" ht="14.25" customHeight="1">
      <c r="E745" s="4"/>
      <c r="F745" s="4"/>
      <c r="G745" s="4"/>
      <c r="I745" s="4"/>
      <c r="J745" s="4"/>
      <c r="K745" s="4"/>
    </row>
    <row r="746" spans="5:11" ht="14.25" customHeight="1">
      <c r="E746" s="4"/>
      <c r="F746" s="4"/>
      <c r="G746" s="4"/>
      <c r="I746" s="4"/>
      <c r="J746" s="4"/>
      <c r="K746" s="4"/>
    </row>
    <row r="747" spans="5:11" ht="14.25" customHeight="1">
      <c r="E747" s="4"/>
      <c r="F747" s="4"/>
      <c r="G747" s="4"/>
      <c r="I747" s="4"/>
      <c r="J747" s="4"/>
      <c r="K747" s="4"/>
    </row>
    <row r="748" spans="5:11" ht="14.25" customHeight="1">
      <c r="E748" s="4"/>
      <c r="F748" s="4"/>
      <c r="G748" s="4"/>
      <c r="I748" s="4"/>
      <c r="J748" s="4"/>
      <c r="K748" s="4"/>
    </row>
    <row r="749" spans="5:11" ht="14.25" customHeight="1">
      <c r="E749" s="4"/>
      <c r="F749" s="4"/>
      <c r="G749" s="4"/>
      <c r="I749" s="4"/>
      <c r="J749" s="4"/>
      <c r="K749" s="4"/>
    </row>
    <row r="750" spans="5:11" ht="14.25" customHeight="1">
      <c r="E750" s="4"/>
      <c r="F750" s="4"/>
      <c r="G750" s="4"/>
      <c r="I750" s="4"/>
      <c r="J750" s="4"/>
      <c r="K750" s="4"/>
    </row>
    <row r="751" spans="5:11" ht="14.25" customHeight="1">
      <c r="E751" s="4"/>
      <c r="F751" s="4"/>
      <c r="G751" s="4"/>
      <c r="I751" s="4"/>
      <c r="J751" s="4"/>
      <c r="K751" s="4"/>
    </row>
    <row r="752" spans="5:11" ht="14.25" customHeight="1">
      <c r="E752" s="4"/>
      <c r="F752" s="4"/>
      <c r="G752" s="4"/>
      <c r="I752" s="4"/>
      <c r="J752" s="4"/>
      <c r="K752" s="4"/>
    </row>
    <row r="753" spans="5:11" ht="14.25" customHeight="1">
      <c r="E753" s="4"/>
      <c r="F753" s="4"/>
      <c r="G753" s="4"/>
      <c r="I753" s="4"/>
      <c r="J753" s="4"/>
      <c r="K753" s="4"/>
    </row>
    <row r="754" spans="5:11" ht="14.25" customHeight="1">
      <c r="E754" s="4"/>
      <c r="F754" s="4"/>
      <c r="G754" s="4"/>
      <c r="I754" s="4"/>
      <c r="J754" s="4"/>
      <c r="K754" s="4"/>
    </row>
    <row r="755" spans="5:11" ht="14.25" customHeight="1">
      <c r="E755" s="4"/>
      <c r="F755" s="4"/>
      <c r="G755" s="4"/>
      <c r="I755" s="4"/>
      <c r="J755" s="4"/>
      <c r="K755" s="4"/>
    </row>
    <row r="756" spans="5:11" ht="14.25" customHeight="1">
      <c r="E756" s="4"/>
      <c r="F756" s="4"/>
      <c r="G756" s="4"/>
      <c r="I756" s="4"/>
      <c r="J756" s="4"/>
      <c r="K756" s="4"/>
    </row>
    <row r="757" spans="5:11" ht="14.25" customHeight="1">
      <c r="E757" s="4"/>
      <c r="F757" s="4"/>
      <c r="G757" s="4"/>
      <c r="I757" s="4"/>
      <c r="J757" s="4"/>
      <c r="K757" s="4"/>
    </row>
    <row r="758" spans="5:11" ht="14.25" customHeight="1">
      <c r="E758" s="4"/>
      <c r="F758" s="4"/>
      <c r="G758" s="4"/>
      <c r="I758" s="4"/>
      <c r="J758" s="4"/>
      <c r="K758" s="4"/>
    </row>
    <row r="759" spans="5:11" ht="14.25" customHeight="1">
      <c r="E759" s="4"/>
      <c r="F759" s="4"/>
      <c r="G759" s="4"/>
      <c r="I759" s="4"/>
      <c r="J759" s="4"/>
      <c r="K759" s="4"/>
    </row>
    <row r="760" spans="5:11" ht="14.25" customHeight="1">
      <c r="E760" s="4"/>
      <c r="F760" s="4"/>
      <c r="G760" s="4"/>
      <c r="I760" s="4"/>
      <c r="J760" s="4"/>
      <c r="K760" s="4"/>
    </row>
    <row r="761" spans="5:11" ht="14.25" customHeight="1">
      <c r="E761" s="4"/>
      <c r="F761" s="4"/>
      <c r="G761" s="4"/>
      <c r="I761" s="4"/>
      <c r="J761" s="4"/>
      <c r="K761" s="4"/>
    </row>
    <row r="762" spans="5:11" ht="14.25" customHeight="1">
      <c r="E762" s="4"/>
      <c r="F762" s="4"/>
      <c r="G762" s="4"/>
      <c r="I762" s="4"/>
      <c r="J762" s="4"/>
      <c r="K762" s="4"/>
    </row>
    <row r="763" spans="5:11" ht="14.25" customHeight="1">
      <c r="E763" s="4"/>
      <c r="F763" s="4"/>
      <c r="G763" s="4"/>
      <c r="I763" s="4"/>
      <c r="J763" s="4"/>
      <c r="K763" s="4"/>
    </row>
    <row r="764" spans="5:11" ht="14.25" customHeight="1">
      <c r="E764" s="4"/>
      <c r="F764" s="4"/>
      <c r="G764" s="4"/>
      <c r="I764" s="4"/>
      <c r="J764" s="4"/>
      <c r="K764" s="4"/>
    </row>
    <row r="765" spans="5:11" ht="14.25" customHeight="1">
      <c r="E765" s="4"/>
      <c r="F765" s="4"/>
      <c r="G765" s="4"/>
      <c r="I765" s="4"/>
      <c r="J765" s="4"/>
      <c r="K765" s="4"/>
    </row>
    <row r="766" spans="5:11" ht="14.25" customHeight="1">
      <c r="E766" s="4"/>
      <c r="F766" s="4"/>
      <c r="G766" s="4"/>
      <c r="I766" s="4"/>
      <c r="J766" s="4"/>
      <c r="K766" s="4"/>
    </row>
    <row r="767" spans="5:11" ht="14.25" customHeight="1">
      <c r="E767" s="4"/>
      <c r="F767" s="4"/>
      <c r="G767" s="4"/>
      <c r="I767" s="4"/>
      <c r="J767" s="4"/>
      <c r="K767" s="4"/>
    </row>
    <row r="768" spans="5:11" ht="14.25" customHeight="1">
      <c r="E768" s="4"/>
      <c r="F768" s="4"/>
      <c r="G768" s="4"/>
      <c r="I768" s="4"/>
      <c r="J768" s="4"/>
      <c r="K768" s="4"/>
    </row>
    <row r="769" spans="5:11" ht="14.25" customHeight="1">
      <c r="E769" s="4"/>
      <c r="F769" s="4"/>
      <c r="G769" s="4"/>
      <c r="I769" s="4"/>
      <c r="J769" s="4"/>
      <c r="K769" s="4"/>
    </row>
    <row r="770" spans="5:11" ht="14.25" customHeight="1">
      <c r="E770" s="4"/>
      <c r="F770" s="4"/>
      <c r="G770" s="4"/>
      <c r="I770" s="4"/>
      <c r="J770" s="4"/>
      <c r="K770" s="4"/>
    </row>
    <row r="771" spans="5:11" ht="14.25" customHeight="1">
      <c r="E771" s="4"/>
      <c r="F771" s="4"/>
      <c r="G771" s="4"/>
      <c r="I771" s="4"/>
      <c r="J771" s="4"/>
      <c r="K771" s="4"/>
    </row>
    <row r="772" spans="5:11" ht="14.25" customHeight="1">
      <c r="E772" s="4"/>
      <c r="F772" s="4"/>
      <c r="G772" s="4"/>
      <c r="I772" s="4"/>
      <c r="J772" s="4"/>
      <c r="K772" s="4"/>
    </row>
    <row r="773" spans="5:11" ht="14.25" customHeight="1">
      <c r="E773" s="4"/>
      <c r="F773" s="4"/>
      <c r="G773" s="4"/>
      <c r="I773" s="4"/>
      <c r="J773" s="4"/>
      <c r="K773" s="4"/>
    </row>
    <row r="774" spans="5:11" ht="14.25" customHeight="1">
      <c r="E774" s="4"/>
      <c r="F774" s="4"/>
      <c r="G774" s="4"/>
      <c r="I774" s="4"/>
      <c r="J774" s="4"/>
      <c r="K774" s="4"/>
    </row>
    <row r="775" spans="5:11" ht="14.25" customHeight="1">
      <c r="E775" s="4"/>
      <c r="F775" s="4"/>
      <c r="G775" s="4"/>
      <c r="I775" s="4"/>
      <c r="J775" s="4"/>
      <c r="K775" s="4"/>
    </row>
    <row r="776" spans="5:11" ht="14.25" customHeight="1">
      <c r="E776" s="4"/>
      <c r="F776" s="4"/>
      <c r="G776" s="4"/>
      <c r="I776" s="4"/>
      <c r="J776" s="4"/>
      <c r="K776" s="4"/>
    </row>
    <row r="777" spans="5:11" ht="14.25" customHeight="1">
      <c r="E777" s="4"/>
      <c r="F777" s="4"/>
      <c r="G777" s="4"/>
      <c r="I777" s="4"/>
      <c r="J777" s="4"/>
      <c r="K777" s="4"/>
    </row>
    <row r="778" spans="5:11" ht="14.25" customHeight="1">
      <c r="E778" s="4"/>
      <c r="F778" s="4"/>
      <c r="G778" s="4"/>
      <c r="I778" s="4"/>
      <c r="J778" s="4"/>
      <c r="K778" s="4"/>
    </row>
    <row r="779" spans="5:11" ht="14.25" customHeight="1">
      <c r="E779" s="4"/>
      <c r="F779" s="4"/>
      <c r="G779" s="4"/>
      <c r="I779" s="4"/>
      <c r="J779" s="4"/>
      <c r="K779" s="4"/>
    </row>
    <row r="780" spans="5:11" ht="14.25" customHeight="1">
      <c r="E780" s="4"/>
      <c r="F780" s="4"/>
      <c r="G780" s="4"/>
      <c r="I780" s="4"/>
      <c r="J780" s="4"/>
      <c r="K780" s="4"/>
    </row>
    <row r="781" spans="5:11" ht="14.25" customHeight="1">
      <c r="E781" s="4"/>
      <c r="F781" s="4"/>
      <c r="G781" s="4"/>
      <c r="I781" s="4"/>
      <c r="J781" s="4"/>
      <c r="K781" s="4"/>
    </row>
    <row r="782" spans="5:11" ht="14.25" customHeight="1">
      <c r="E782" s="4"/>
      <c r="F782" s="4"/>
      <c r="G782" s="4"/>
      <c r="I782" s="4"/>
      <c r="J782" s="4"/>
      <c r="K782" s="4"/>
    </row>
    <row r="783" spans="5:11" ht="14.25" customHeight="1">
      <c r="E783" s="4"/>
      <c r="F783" s="4"/>
      <c r="G783" s="4"/>
      <c r="I783" s="4"/>
      <c r="J783" s="4"/>
      <c r="K783" s="4"/>
    </row>
    <row r="784" spans="5:11" ht="14.25" customHeight="1">
      <c r="E784" s="4"/>
      <c r="F784" s="4"/>
      <c r="G784" s="4"/>
      <c r="I784" s="4"/>
      <c r="J784" s="4"/>
      <c r="K784" s="4"/>
    </row>
    <row r="785" spans="5:11" ht="14.25" customHeight="1">
      <c r="E785" s="4"/>
      <c r="F785" s="4"/>
      <c r="G785" s="4"/>
      <c r="I785" s="4"/>
      <c r="J785" s="4"/>
      <c r="K785" s="4"/>
    </row>
    <row r="786" spans="5:11" ht="14.25" customHeight="1">
      <c r="E786" s="4"/>
      <c r="F786" s="4"/>
      <c r="G786" s="4"/>
      <c r="I786" s="4"/>
      <c r="J786" s="4"/>
      <c r="K786" s="4"/>
    </row>
    <row r="787" spans="5:11" ht="14.25" customHeight="1">
      <c r="E787" s="4"/>
      <c r="F787" s="4"/>
      <c r="G787" s="4"/>
      <c r="I787" s="4"/>
      <c r="J787" s="4"/>
      <c r="K787" s="4"/>
    </row>
    <row r="788" spans="5:11" ht="14.25" customHeight="1">
      <c r="E788" s="4"/>
      <c r="F788" s="4"/>
      <c r="G788" s="4"/>
      <c r="I788" s="4"/>
      <c r="J788" s="4"/>
      <c r="K788" s="4"/>
    </row>
    <row r="789" spans="5:11" ht="14.25" customHeight="1">
      <c r="E789" s="4"/>
      <c r="F789" s="4"/>
      <c r="G789" s="4"/>
      <c r="I789" s="4"/>
      <c r="J789" s="4"/>
      <c r="K789" s="4"/>
    </row>
    <row r="790" spans="5:11" ht="14.25" customHeight="1">
      <c r="E790" s="4"/>
      <c r="F790" s="4"/>
      <c r="G790" s="4"/>
      <c r="I790" s="4"/>
      <c r="J790" s="4"/>
      <c r="K790" s="4"/>
    </row>
    <row r="791" spans="5:11" ht="14.25" customHeight="1">
      <c r="E791" s="4"/>
      <c r="F791" s="4"/>
      <c r="G791" s="4"/>
      <c r="I791" s="4"/>
      <c r="J791" s="4"/>
      <c r="K791" s="4"/>
    </row>
    <row r="792" spans="5:11" ht="14.25" customHeight="1">
      <c r="E792" s="4"/>
      <c r="F792" s="4"/>
      <c r="G792" s="4"/>
      <c r="I792" s="4"/>
      <c r="J792" s="4"/>
      <c r="K792" s="4"/>
    </row>
    <row r="793" spans="5:11" ht="14.25" customHeight="1">
      <c r="E793" s="4"/>
      <c r="F793" s="4"/>
      <c r="G793" s="4"/>
      <c r="I793" s="4"/>
      <c r="J793" s="4"/>
      <c r="K793" s="4"/>
    </row>
    <row r="794" spans="5:11" ht="14.25" customHeight="1">
      <c r="E794" s="4"/>
      <c r="F794" s="4"/>
      <c r="G794" s="4"/>
      <c r="I794" s="4"/>
      <c r="J794" s="4"/>
      <c r="K794" s="4"/>
    </row>
    <row r="795" spans="5:11" ht="14.25" customHeight="1">
      <c r="E795" s="4"/>
      <c r="F795" s="4"/>
      <c r="G795" s="4"/>
      <c r="I795" s="4"/>
      <c r="J795" s="4"/>
      <c r="K795" s="4"/>
    </row>
    <row r="796" spans="5:11" ht="14.25" customHeight="1">
      <c r="E796" s="4"/>
      <c r="F796" s="4"/>
      <c r="G796" s="4"/>
      <c r="I796" s="4"/>
      <c r="J796" s="4"/>
      <c r="K796" s="4"/>
    </row>
    <row r="797" spans="5:11" ht="14.25" customHeight="1">
      <c r="E797" s="4"/>
      <c r="F797" s="4"/>
      <c r="G797" s="4"/>
      <c r="I797" s="4"/>
      <c r="J797" s="4"/>
      <c r="K797" s="4"/>
    </row>
    <row r="798" spans="5:11" ht="14.25" customHeight="1">
      <c r="E798" s="4"/>
      <c r="F798" s="4"/>
      <c r="G798" s="4"/>
      <c r="I798" s="4"/>
      <c r="J798" s="4"/>
      <c r="K798" s="4"/>
    </row>
    <row r="799" spans="5:11" ht="14.25" customHeight="1">
      <c r="E799" s="4"/>
      <c r="F799" s="4"/>
      <c r="G799" s="4"/>
      <c r="I799" s="4"/>
      <c r="J799" s="4"/>
      <c r="K799" s="4"/>
    </row>
    <row r="800" spans="5:11" ht="14.25" customHeight="1">
      <c r="E800" s="4"/>
      <c r="F800" s="4"/>
      <c r="G800" s="4"/>
      <c r="I800" s="4"/>
      <c r="J800" s="4"/>
      <c r="K800" s="4"/>
    </row>
    <row r="801" spans="5:11" ht="14.25" customHeight="1">
      <c r="E801" s="4"/>
      <c r="F801" s="4"/>
      <c r="G801" s="4"/>
      <c r="I801" s="4"/>
      <c r="J801" s="4"/>
      <c r="K801" s="4"/>
    </row>
    <row r="802" spans="5:11" ht="14.25" customHeight="1">
      <c r="E802" s="4"/>
      <c r="F802" s="4"/>
      <c r="G802" s="4"/>
      <c r="I802" s="4"/>
      <c r="J802" s="4"/>
      <c r="K802" s="4"/>
    </row>
    <row r="803" spans="5:11" ht="14.25" customHeight="1">
      <c r="E803" s="4"/>
      <c r="F803" s="4"/>
      <c r="G803" s="4"/>
      <c r="I803" s="4"/>
      <c r="J803" s="4"/>
      <c r="K803" s="4"/>
    </row>
    <row r="804" spans="5:11" ht="14.25" customHeight="1">
      <c r="E804" s="4"/>
      <c r="F804" s="4"/>
      <c r="G804" s="4"/>
      <c r="I804" s="4"/>
      <c r="J804" s="4"/>
      <c r="K804" s="4"/>
    </row>
    <row r="805" spans="5:11" ht="14.25" customHeight="1">
      <c r="E805" s="4"/>
      <c r="F805" s="4"/>
      <c r="G805" s="4"/>
      <c r="I805" s="4"/>
      <c r="J805" s="4"/>
      <c r="K805" s="4"/>
    </row>
    <row r="806" spans="5:11" ht="14.25" customHeight="1">
      <c r="E806" s="4"/>
      <c r="F806" s="4"/>
      <c r="G806" s="4"/>
      <c r="I806" s="4"/>
      <c r="J806" s="4"/>
      <c r="K806" s="4"/>
    </row>
    <row r="807" spans="5:11" ht="14.25" customHeight="1">
      <c r="E807" s="4"/>
      <c r="F807" s="4"/>
      <c r="G807" s="4"/>
      <c r="I807" s="4"/>
      <c r="J807" s="4"/>
      <c r="K807" s="4"/>
    </row>
    <row r="808" spans="5:11" ht="14.25" customHeight="1">
      <c r="E808" s="4"/>
      <c r="F808" s="4"/>
      <c r="G808" s="4"/>
      <c r="I808" s="4"/>
      <c r="J808" s="4"/>
      <c r="K808" s="4"/>
    </row>
    <row r="809" spans="5:11" ht="14.25" customHeight="1">
      <c r="E809" s="4"/>
      <c r="F809" s="4"/>
      <c r="G809" s="4"/>
      <c r="I809" s="4"/>
      <c r="J809" s="4"/>
      <c r="K809" s="4"/>
    </row>
    <row r="810" spans="5:11" ht="14.25" customHeight="1">
      <c r="E810" s="4"/>
      <c r="F810" s="4"/>
      <c r="G810" s="4"/>
      <c r="I810" s="4"/>
      <c r="J810" s="4"/>
      <c r="K810" s="4"/>
    </row>
    <row r="811" spans="5:11" ht="14.25" customHeight="1">
      <c r="E811" s="4"/>
      <c r="F811" s="4"/>
      <c r="G811" s="4"/>
      <c r="I811" s="4"/>
      <c r="J811" s="4"/>
      <c r="K811" s="4"/>
    </row>
    <row r="812" spans="5:11" ht="14.25" customHeight="1">
      <c r="E812" s="4"/>
      <c r="F812" s="4"/>
      <c r="G812" s="4"/>
      <c r="I812" s="4"/>
      <c r="J812" s="4"/>
      <c r="K812" s="4"/>
    </row>
    <row r="813" spans="5:11" ht="14.25" customHeight="1">
      <c r="E813" s="4"/>
      <c r="F813" s="4"/>
      <c r="G813" s="4"/>
      <c r="I813" s="4"/>
      <c r="J813" s="4"/>
      <c r="K813" s="4"/>
    </row>
    <row r="814" spans="5:11" ht="14.25" customHeight="1">
      <c r="E814" s="4"/>
      <c r="F814" s="4"/>
      <c r="G814" s="4"/>
      <c r="I814" s="4"/>
      <c r="J814" s="4"/>
      <c r="K814" s="4"/>
    </row>
    <row r="815" spans="5:11" ht="14.25" customHeight="1">
      <c r="E815" s="4"/>
      <c r="F815" s="4"/>
      <c r="G815" s="4"/>
      <c r="I815" s="4"/>
      <c r="J815" s="4"/>
      <c r="K815" s="4"/>
    </row>
    <row r="816" spans="5:11" ht="14.25" customHeight="1">
      <c r="E816" s="4"/>
      <c r="F816" s="4"/>
      <c r="G816" s="4"/>
      <c r="I816" s="4"/>
      <c r="J816" s="4"/>
      <c r="K816" s="4"/>
    </row>
    <row r="817" spans="5:11" ht="14.25" customHeight="1">
      <c r="E817" s="4"/>
      <c r="F817" s="4"/>
      <c r="G817" s="4"/>
      <c r="I817" s="4"/>
      <c r="J817" s="4"/>
      <c r="K817" s="4"/>
    </row>
    <row r="818" spans="5:11" ht="14.25" customHeight="1">
      <c r="E818" s="4"/>
      <c r="F818" s="4"/>
      <c r="G818" s="4"/>
      <c r="I818" s="4"/>
      <c r="J818" s="4"/>
      <c r="K818" s="4"/>
    </row>
    <row r="819" spans="5:11" ht="14.25" customHeight="1">
      <c r="E819" s="4"/>
      <c r="F819" s="4"/>
      <c r="G819" s="4"/>
      <c r="I819" s="4"/>
      <c r="J819" s="4"/>
      <c r="K819" s="4"/>
    </row>
    <row r="820" spans="5:11" ht="14.25" customHeight="1">
      <c r="E820" s="4"/>
      <c r="F820" s="4"/>
      <c r="G820" s="4"/>
      <c r="I820" s="4"/>
      <c r="J820" s="4"/>
      <c r="K820" s="4"/>
    </row>
    <row r="821" spans="5:11" ht="14.25" customHeight="1">
      <c r="E821" s="4"/>
      <c r="F821" s="4"/>
      <c r="G821" s="4"/>
      <c r="I821" s="4"/>
      <c r="J821" s="4"/>
      <c r="K821" s="4"/>
    </row>
    <row r="822" spans="5:11" ht="14.25" customHeight="1">
      <c r="E822" s="4"/>
      <c r="F822" s="4"/>
      <c r="G822" s="4"/>
      <c r="I822" s="4"/>
      <c r="J822" s="4"/>
      <c r="K822" s="4"/>
    </row>
    <row r="823" spans="5:11" ht="14.25" customHeight="1">
      <c r="E823" s="4"/>
      <c r="F823" s="4"/>
      <c r="G823" s="4"/>
      <c r="I823" s="4"/>
      <c r="J823" s="4"/>
      <c r="K823" s="4"/>
    </row>
    <row r="824" spans="5:11" ht="14.25" customHeight="1">
      <c r="E824" s="4"/>
      <c r="F824" s="4"/>
      <c r="G824" s="4"/>
      <c r="I824" s="4"/>
      <c r="J824" s="4"/>
      <c r="K824" s="4"/>
    </row>
    <row r="825" spans="5:11" ht="14.25" customHeight="1">
      <c r="E825" s="4"/>
      <c r="F825" s="4"/>
      <c r="G825" s="4"/>
      <c r="I825" s="4"/>
      <c r="J825" s="4"/>
      <c r="K825" s="4"/>
    </row>
    <row r="826" spans="5:11" ht="14.25" customHeight="1">
      <c r="E826" s="4"/>
      <c r="F826" s="4"/>
      <c r="G826" s="4"/>
      <c r="I826" s="4"/>
      <c r="J826" s="4"/>
      <c r="K826" s="4"/>
    </row>
    <row r="827" spans="5:11" ht="14.25" customHeight="1">
      <c r="E827" s="4"/>
      <c r="F827" s="4"/>
      <c r="G827" s="4"/>
      <c r="I827" s="4"/>
      <c r="J827" s="4"/>
      <c r="K827" s="4"/>
    </row>
    <row r="828" spans="5:11" ht="14.25" customHeight="1">
      <c r="E828" s="4"/>
      <c r="F828" s="4"/>
      <c r="G828" s="4"/>
      <c r="I828" s="4"/>
      <c r="J828" s="4"/>
      <c r="K828" s="4"/>
    </row>
    <row r="829" spans="5:11" ht="14.25" customHeight="1">
      <c r="E829" s="4"/>
      <c r="F829" s="4"/>
      <c r="G829" s="4"/>
      <c r="I829" s="4"/>
      <c r="J829" s="4"/>
      <c r="K829" s="4"/>
    </row>
    <row r="830" spans="5:11" ht="14.25" customHeight="1">
      <c r="E830" s="4"/>
      <c r="F830" s="4"/>
      <c r="G830" s="4"/>
      <c r="I830" s="4"/>
      <c r="J830" s="4"/>
      <c r="K830" s="4"/>
    </row>
    <row r="831" spans="5:11" ht="14.25" customHeight="1">
      <c r="E831" s="4"/>
      <c r="F831" s="4"/>
      <c r="G831" s="4"/>
      <c r="I831" s="4"/>
      <c r="J831" s="4"/>
      <c r="K831" s="4"/>
    </row>
    <row r="832" spans="5:11" ht="14.25" customHeight="1">
      <c r="E832" s="4"/>
      <c r="F832" s="4"/>
      <c r="G832" s="4"/>
      <c r="I832" s="4"/>
      <c r="J832" s="4"/>
      <c r="K832" s="4"/>
    </row>
    <row r="833" spans="5:11" ht="14.25" customHeight="1">
      <c r="E833" s="4"/>
      <c r="F833" s="4"/>
      <c r="G833" s="4"/>
      <c r="I833" s="4"/>
      <c r="J833" s="4"/>
      <c r="K833" s="4"/>
    </row>
    <row r="834" spans="5:11" ht="14.25" customHeight="1">
      <c r="E834" s="4"/>
      <c r="F834" s="4"/>
      <c r="G834" s="4"/>
      <c r="I834" s="4"/>
      <c r="J834" s="4"/>
      <c r="K834" s="4"/>
    </row>
    <row r="835" spans="5:11" ht="14.25" customHeight="1">
      <c r="E835" s="4"/>
      <c r="F835" s="4"/>
      <c r="G835" s="4"/>
      <c r="I835" s="4"/>
      <c r="J835" s="4"/>
      <c r="K835" s="4"/>
    </row>
    <row r="836" spans="5:11" ht="14.25" customHeight="1">
      <c r="E836" s="4"/>
      <c r="F836" s="4"/>
      <c r="G836" s="4"/>
      <c r="I836" s="4"/>
      <c r="J836" s="4"/>
      <c r="K836" s="4"/>
    </row>
    <row r="837" spans="5:11" ht="14.25" customHeight="1">
      <c r="E837" s="4"/>
      <c r="F837" s="4"/>
      <c r="G837" s="4"/>
      <c r="I837" s="4"/>
      <c r="J837" s="4"/>
      <c r="K837" s="4"/>
    </row>
    <row r="838" spans="5:11" ht="14.25" customHeight="1">
      <c r="E838" s="4"/>
      <c r="F838" s="4"/>
      <c r="G838" s="4"/>
      <c r="I838" s="4"/>
      <c r="J838" s="4"/>
      <c r="K838" s="4"/>
    </row>
    <row r="839" spans="5:11" ht="14.25" customHeight="1">
      <c r="E839" s="4"/>
      <c r="F839" s="4"/>
      <c r="G839" s="4"/>
      <c r="I839" s="4"/>
      <c r="J839" s="4"/>
      <c r="K839" s="4"/>
    </row>
    <row r="840" spans="5:11" ht="14.25" customHeight="1">
      <c r="E840" s="4"/>
      <c r="F840" s="4"/>
      <c r="G840" s="4"/>
      <c r="I840" s="4"/>
      <c r="J840" s="4"/>
      <c r="K840" s="4"/>
    </row>
    <row r="841" spans="5:11" ht="14.25" customHeight="1">
      <c r="E841" s="4"/>
      <c r="F841" s="4"/>
      <c r="G841" s="4"/>
      <c r="I841" s="4"/>
      <c r="J841" s="4"/>
      <c r="K841" s="4"/>
    </row>
    <row r="842" spans="5:11" ht="14.25" customHeight="1">
      <c r="E842" s="4"/>
      <c r="F842" s="4"/>
      <c r="G842" s="4"/>
      <c r="I842" s="4"/>
      <c r="J842" s="4"/>
      <c r="K842" s="4"/>
    </row>
    <row r="843" spans="5:11" ht="14.25" customHeight="1">
      <c r="E843" s="4"/>
      <c r="F843" s="4"/>
      <c r="G843" s="4"/>
      <c r="I843" s="4"/>
      <c r="J843" s="4"/>
      <c r="K843" s="4"/>
    </row>
    <row r="844" spans="5:11" ht="14.25" customHeight="1">
      <c r="E844" s="4"/>
      <c r="F844" s="4"/>
      <c r="G844" s="4"/>
      <c r="I844" s="4"/>
      <c r="J844" s="4"/>
      <c r="K844" s="4"/>
    </row>
    <row r="845" spans="5:11" ht="14.25" customHeight="1">
      <c r="E845" s="4"/>
      <c r="F845" s="4"/>
      <c r="G845" s="4"/>
      <c r="I845" s="4"/>
      <c r="J845" s="4"/>
      <c r="K845" s="4"/>
    </row>
    <row r="846" spans="5:11" ht="14.25" customHeight="1">
      <c r="E846" s="4"/>
      <c r="F846" s="4"/>
      <c r="G846" s="4"/>
      <c r="I846" s="4"/>
      <c r="J846" s="4"/>
      <c r="K846" s="4"/>
    </row>
    <row r="847" spans="5:11" ht="14.25" customHeight="1">
      <c r="E847" s="4"/>
      <c r="F847" s="4"/>
      <c r="G847" s="4"/>
      <c r="I847" s="4"/>
      <c r="J847" s="4"/>
      <c r="K847" s="4"/>
    </row>
    <row r="848" spans="5:11" ht="14.25" customHeight="1">
      <c r="E848" s="4"/>
      <c r="F848" s="4"/>
      <c r="G848" s="4"/>
      <c r="I848" s="4"/>
      <c r="J848" s="4"/>
      <c r="K848" s="4"/>
    </row>
    <row r="849" spans="5:11" ht="14.25" customHeight="1">
      <c r="E849" s="4"/>
      <c r="F849" s="4"/>
      <c r="G849" s="4"/>
      <c r="I849" s="4"/>
      <c r="J849" s="4"/>
      <c r="K849" s="4"/>
    </row>
    <row r="850" spans="5:11" ht="14.25" customHeight="1">
      <c r="E850" s="4"/>
      <c r="F850" s="4"/>
      <c r="G850" s="4"/>
      <c r="I850" s="4"/>
      <c r="J850" s="4"/>
      <c r="K850" s="4"/>
    </row>
    <row r="851" spans="5:11" ht="14.25" customHeight="1">
      <c r="E851" s="4"/>
      <c r="F851" s="4"/>
      <c r="G851" s="4"/>
      <c r="I851" s="4"/>
      <c r="J851" s="4"/>
      <c r="K851" s="4"/>
    </row>
    <row r="852" spans="5:11" ht="14.25" customHeight="1">
      <c r="E852" s="4"/>
      <c r="F852" s="4"/>
      <c r="G852" s="4"/>
      <c r="I852" s="4"/>
      <c r="J852" s="4"/>
      <c r="K852" s="4"/>
    </row>
    <row r="853" spans="5:11" ht="14.25" customHeight="1">
      <c r="E853" s="4"/>
      <c r="F853" s="4"/>
      <c r="G853" s="4"/>
      <c r="I853" s="4"/>
      <c r="J853" s="4"/>
      <c r="K853" s="4"/>
    </row>
    <row r="854" spans="5:11" ht="14.25" customHeight="1">
      <c r="E854" s="4"/>
      <c r="F854" s="4"/>
      <c r="G854" s="4"/>
      <c r="I854" s="4"/>
      <c r="J854" s="4"/>
      <c r="K854" s="4"/>
    </row>
    <row r="855" spans="5:11" ht="14.25" customHeight="1">
      <c r="E855" s="4"/>
      <c r="F855" s="4"/>
      <c r="G855" s="4"/>
      <c r="I855" s="4"/>
      <c r="J855" s="4"/>
      <c r="K855" s="4"/>
    </row>
    <row r="856" spans="5:11" ht="14.25" customHeight="1">
      <c r="E856" s="4"/>
      <c r="F856" s="4"/>
      <c r="G856" s="4"/>
      <c r="I856" s="4"/>
      <c r="J856" s="4"/>
      <c r="K856" s="4"/>
    </row>
    <row r="857" spans="5:11" ht="14.25" customHeight="1">
      <c r="E857" s="4"/>
      <c r="F857" s="4"/>
      <c r="G857" s="4"/>
      <c r="I857" s="4"/>
      <c r="J857" s="4"/>
      <c r="K857" s="4"/>
    </row>
    <row r="858" spans="5:11" ht="14.25" customHeight="1">
      <c r="E858" s="4"/>
      <c r="F858" s="4"/>
      <c r="G858" s="4"/>
      <c r="I858" s="4"/>
      <c r="J858" s="4"/>
      <c r="K858" s="4"/>
    </row>
    <row r="859" spans="5:11" ht="14.25" customHeight="1">
      <c r="E859" s="4"/>
      <c r="F859" s="4"/>
      <c r="G859" s="4"/>
      <c r="I859" s="4"/>
      <c r="J859" s="4"/>
      <c r="K859" s="4"/>
    </row>
    <row r="860" spans="5:11" ht="14.25" customHeight="1">
      <c r="E860" s="4"/>
      <c r="F860" s="4"/>
      <c r="G860" s="4"/>
      <c r="I860" s="4"/>
      <c r="J860" s="4"/>
      <c r="K860" s="4"/>
    </row>
    <row r="861" spans="5:11" ht="14.25" customHeight="1">
      <c r="E861" s="4"/>
      <c r="F861" s="4"/>
      <c r="G861" s="4"/>
      <c r="I861" s="4"/>
      <c r="J861" s="4"/>
      <c r="K861" s="4"/>
    </row>
    <row r="862" spans="5:11" ht="14.25" customHeight="1">
      <c r="E862" s="4"/>
      <c r="F862" s="4"/>
      <c r="G862" s="4"/>
      <c r="I862" s="4"/>
      <c r="J862" s="4"/>
      <c r="K862" s="4"/>
    </row>
    <row r="863" spans="5:11" ht="14.25" customHeight="1">
      <c r="E863" s="4"/>
      <c r="F863" s="4"/>
      <c r="G863" s="4"/>
      <c r="I863" s="4"/>
      <c r="J863" s="4"/>
      <c r="K863" s="4"/>
    </row>
    <row r="864" spans="5:11" ht="14.25" customHeight="1">
      <c r="E864" s="4"/>
      <c r="F864" s="4"/>
      <c r="G864" s="4"/>
      <c r="I864" s="4"/>
      <c r="J864" s="4"/>
      <c r="K864" s="4"/>
    </row>
    <row r="865" spans="5:11" ht="14.25" customHeight="1">
      <c r="E865" s="4"/>
      <c r="F865" s="4"/>
      <c r="G865" s="4"/>
      <c r="I865" s="4"/>
      <c r="J865" s="4"/>
      <c r="K865" s="4"/>
    </row>
    <row r="866" spans="5:11" ht="14.25" customHeight="1">
      <c r="E866" s="4"/>
      <c r="F866" s="4"/>
      <c r="G866" s="4"/>
      <c r="I866" s="4"/>
      <c r="J866" s="4"/>
      <c r="K866" s="4"/>
    </row>
    <row r="867" spans="5:11" ht="14.25" customHeight="1">
      <c r="E867" s="4"/>
      <c r="F867" s="4"/>
      <c r="G867" s="4"/>
      <c r="I867" s="4"/>
      <c r="J867" s="4"/>
      <c r="K867" s="4"/>
    </row>
    <row r="868" spans="5:11" ht="14.25" customHeight="1">
      <c r="E868" s="4"/>
      <c r="F868" s="4"/>
      <c r="G868" s="4"/>
      <c r="I868" s="4"/>
      <c r="J868" s="4"/>
      <c r="K868" s="4"/>
    </row>
    <row r="869" spans="5:11" ht="14.25" customHeight="1">
      <c r="E869" s="4"/>
      <c r="F869" s="4"/>
      <c r="G869" s="4"/>
      <c r="I869" s="4"/>
      <c r="J869" s="4"/>
      <c r="K869" s="4"/>
    </row>
    <row r="870" spans="5:11" ht="14.25" customHeight="1">
      <c r="E870" s="4"/>
      <c r="F870" s="4"/>
      <c r="G870" s="4"/>
      <c r="I870" s="4"/>
      <c r="J870" s="4"/>
      <c r="K870" s="4"/>
    </row>
    <row r="871" spans="5:11" ht="14.25" customHeight="1">
      <c r="E871" s="4"/>
      <c r="F871" s="4"/>
      <c r="G871" s="4"/>
      <c r="I871" s="4"/>
      <c r="J871" s="4"/>
      <c r="K871" s="4"/>
    </row>
    <row r="872" spans="5:11" ht="14.25" customHeight="1">
      <c r="E872" s="4"/>
      <c r="F872" s="4"/>
      <c r="G872" s="4"/>
      <c r="I872" s="4"/>
      <c r="J872" s="4"/>
      <c r="K872" s="4"/>
    </row>
    <row r="873" spans="5:11" ht="14.25" customHeight="1">
      <c r="E873" s="4"/>
      <c r="F873" s="4"/>
      <c r="G873" s="4"/>
      <c r="I873" s="4"/>
      <c r="J873" s="4"/>
      <c r="K873" s="4"/>
    </row>
    <row r="874" spans="5:11" ht="14.25" customHeight="1">
      <c r="E874" s="4"/>
      <c r="F874" s="4"/>
      <c r="G874" s="4"/>
      <c r="I874" s="4"/>
      <c r="J874" s="4"/>
      <c r="K874" s="4"/>
    </row>
    <row r="875" spans="5:11" ht="14.25" customHeight="1">
      <c r="E875" s="4"/>
      <c r="F875" s="4"/>
      <c r="G875" s="4"/>
      <c r="I875" s="4"/>
      <c r="J875" s="4"/>
      <c r="K875" s="4"/>
    </row>
    <row r="876" spans="5:11" ht="14.25" customHeight="1">
      <c r="E876" s="4"/>
      <c r="F876" s="4"/>
      <c r="G876" s="4"/>
      <c r="I876" s="4"/>
      <c r="J876" s="4"/>
      <c r="K876" s="4"/>
    </row>
    <row r="877" spans="5:11" ht="14.25" customHeight="1">
      <c r="E877" s="4"/>
      <c r="F877" s="4"/>
      <c r="G877" s="4"/>
      <c r="I877" s="4"/>
      <c r="J877" s="4"/>
      <c r="K877" s="4"/>
    </row>
    <row r="878" spans="5:11" ht="14.25" customHeight="1">
      <c r="E878" s="4"/>
      <c r="F878" s="4"/>
      <c r="G878" s="4"/>
      <c r="I878" s="4"/>
      <c r="J878" s="4"/>
      <c r="K878" s="4"/>
    </row>
    <row r="879" spans="5:11" ht="14.25" customHeight="1">
      <c r="E879" s="4"/>
      <c r="F879" s="4"/>
      <c r="G879" s="4"/>
      <c r="I879" s="4"/>
      <c r="J879" s="4"/>
      <c r="K879" s="4"/>
    </row>
    <row r="880" spans="5:11" ht="14.25" customHeight="1">
      <c r="E880" s="4"/>
      <c r="F880" s="4"/>
      <c r="G880" s="4"/>
      <c r="I880" s="4"/>
      <c r="J880" s="4"/>
      <c r="K880" s="4"/>
    </row>
    <row r="881" spans="5:11" ht="14.25" customHeight="1">
      <c r="E881" s="4"/>
      <c r="F881" s="4"/>
      <c r="G881" s="4"/>
      <c r="I881" s="4"/>
      <c r="J881" s="4"/>
      <c r="K881" s="4"/>
    </row>
    <row r="882" spans="5:11" ht="14.25" customHeight="1">
      <c r="E882" s="4"/>
      <c r="F882" s="4"/>
      <c r="G882" s="4"/>
      <c r="I882" s="4"/>
      <c r="J882" s="4"/>
      <c r="K882" s="4"/>
    </row>
    <row r="883" spans="5:11" ht="14.25" customHeight="1">
      <c r="E883" s="4"/>
      <c r="F883" s="4"/>
      <c r="G883" s="4"/>
      <c r="I883" s="4"/>
      <c r="J883" s="4"/>
      <c r="K883" s="4"/>
    </row>
    <row r="884" spans="5:11" ht="14.25" customHeight="1">
      <c r="E884" s="4"/>
      <c r="F884" s="4"/>
      <c r="G884" s="4"/>
      <c r="I884" s="4"/>
      <c r="J884" s="4"/>
      <c r="K884" s="4"/>
    </row>
    <row r="885" spans="5:11" ht="14.25" customHeight="1">
      <c r="E885" s="4"/>
      <c r="F885" s="4"/>
      <c r="G885" s="4"/>
      <c r="I885" s="4"/>
      <c r="J885" s="4"/>
      <c r="K885" s="4"/>
    </row>
    <row r="886" spans="5:11" ht="14.25" customHeight="1">
      <c r="E886" s="4"/>
      <c r="F886" s="4"/>
      <c r="G886" s="4"/>
      <c r="I886" s="4"/>
      <c r="J886" s="4"/>
      <c r="K886" s="4"/>
    </row>
    <row r="887" spans="5:11" ht="14.25" customHeight="1">
      <c r="E887" s="4"/>
      <c r="F887" s="4"/>
      <c r="G887" s="4"/>
      <c r="I887" s="4"/>
      <c r="J887" s="4"/>
      <c r="K887" s="4"/>
    </row>
    <row r="888" spans="5:11" ht="14.25" customHeight="1">
      <c r="E888" s="4"/>
      <c r="F888" s="4"/>
      <c r="G888" s="4"/>
      <c r="I888" s="4"/>
      <c r="J888" s="4"/>
      <c r="K888" s="4"/>
    </row>
    <row r="889" spans="5:11" ht="14.25" customHeight="1">
      <c r="E889" s="4"/>
      <c r="F889" s="4"/>
      <c r="G889" s="4"/>
      <c r="I889" s="4"/>
      <c r="J889" s="4"/>
      <c r="K889" s="4"/>
    </row>
    <row r="890" spans="5:11" ht="14.25" customHeight="1">
      <c r="E890" s="4"/>
      <c r="F890" s="4"/>
      <c r="G890" s="4"/>
      <c r="I890" s="4"/>
      <c r="J890" s="4"/>
      <c r="K890" s="4"/>
    </row>
    <row r="891" spans="5:11" ht="14.25" customHeight="1">
      <c r="E891" s="4"/>
      <c r="F891" s="4"/>
      <c r="G891" s="4"/>
      <c r="I891" s="4"/>
      <c r="J891" s="4"/>
      <c r="K891" s="4"/>
    </row>
    <row r="892" spans="5:11" ht="14.25" customHeight="1">
      <c r="E892" s="4"/>
      <c r="F892" s="4"/>
      <c r="G892" s="4"/>
      <c r="I892" s="4"/>
      <c r="J892" s="4"/>
      <c r="K892" s="4"/>
    </row>
    <row r="893" spans="5:11" ht="14.25" customHeight="1">
      <c r="E893" s="4"/>
      <c r="F893" s="4"/>
      <c r="G893" s="4"/>
      <c r="I893" s="4"/>
      <c r="J893" s="4"/>
      <c r="K893" s="4"/>
    </row>
    <row r="894" spans="5:11" ht="14.25" customHeight="1">
      <c r="E894" s="4"/>
      <c r="F894" s="4"/>
      <c r="G894" s="4"/>
      <c r="I894" s="4"/>
      <c r="J894" s="4"/>
      <c r="K894" s="4"/>
    </row>
    <row r="895" spans="5:11" ht="14.25" customHeight="1">
      <c r="E895" s="4"/>
      <c r="F895" s="4"/>
      <c r="G895" s="4"/>
      <c r="I895" s="4"/>
      <c r="J895" s="4"/>
      <c r="K895" s="4"/>
    </row>
    <row r="896" spans="5:11" ht="14.25" customHeight="1">
      <c r="E896" s="4"/>
      <c r="F896" s="4"/>
      <c r="G896" s="4"/>
      <c r="I896" s="4"/>
      <c r="J896" s="4"/>
      <c r="K896" s="4"/>
    </row>
    <row r="897" spans="5:11" ht="14.25" customHeight="1">
      <c r="E897" s="4"/>
      <c r="F897" s="4"/>
      <c r="G897" s="4"/>
      <c r="I897" s="4"/>
      <c r="J897" s="4"/>
      <c r="K897" s="4"/>
    </row>
    <row r="898" spans="5:11" ht="14.25" customHeight="1">
      <c r="E898" s="4"/>
      <c r="F898" s="4"/>
      <c r="G898" s="4"/>
      <c r="I898" s="4"/>
      <c r="J898" s="4"/>
      <c r="K898" s="4"/>
    </row>
    <row r="899" spans="5:11" ht="14.25" customHeight="1">
      <c r="E899" s="4"/>
      <c r="F899" s="4"/>
      <c r="G899" s="4"/>
      <c r="I899" s="4"/>
      <c r="J899" s="4"/>
      <c r="K899" s="4"/>
    </row>
    <row r="900" spans="5:11" ht="14.25" customHeight="1">
      <c r="E900" s="4"/>
      <c r="F900" s="4"/>
      <c r="G900" s="4"/>
      <c r="I900" s="4"/>
      <c r="J900" s="4"/>
      <c r="K900" s="4"/>
    </row>
    <row r="901" spans="5:11" ht="14.25" customHeight="1">
      <c r="E901" s="4"/>
      <c r="F901" s="4"/>
      <c r="G901" s="4"/>
      <c r="I901" s="4"/>
      <c r="J901" s="4"/>
      <c r="K901" s="4"/>
    </row>
    <row r="902" spans="5:11" ht="14.25" customHeight="1">
      <c r="E902" s="4"/>
      <c r="F902" s="4"/>
      <c r="G902" s="4"/>
      <c r="I902" s="4"/>
      <c r="J902" s="4"/>
      <c r="K902" s="4"/>
    </row>
    <row r="903" spans="5:11" ht="14.25" customHeight="1">
      <c r="E903" s="4"/>
      <c r="F903" s="4"/>
      <c r="G903" s="4"/>
      <c r="I903" s="4"/>
      <c r="J903" s="4"/>
      <c r="K903" s="4"/>
    </row>
    <row r="904" spans="5:11" ht="14.25" customHeight="1">
      <c r="E904" s="4"/>
      <c r="F904" s="4"/>
      <c r="G904" s="4"/>
      <c r="I904" s="4"/>
      <c r="J904" s="4"/>
      <c r="K904" s="4"/>
    </row>
    <row r="905" spans="5:11" ht="14.25" customHeight="1">
      <c r="E905" s="4"/>
      <c r="F905" s="4"/>
      <c r="G905" s="4"/>
      <c r="I905" s="4"/>
      <c r="J905" s="4"/>
      <c r="K905" s="4"/>
    </row>
    <row r="906" spans="5:11" ht="14.25" customHeight="1">
      <c r="E906" s="4"/>
      <c r="F906" s="4"/>
      <c r="G906" s="4"/>
      <c r="I906" s="4"/>
      <c r="J906" s="4"/>
      <c r="K906" s="4"/>
    </row>
    <row r="907" spans="5:11" ht="14.25" customHeight="1">
      <c r="E907" s="4"/>
      <c r="F907" s="4"/>
      <c r="G907" s="4"/>
      <c r="I907" s="4"/>
      <c r="J907" s="4"/>
      <c r="K907" s="4"/>
    </row>
    <row r="908" spans="5:11" ht="14.25" customHeight="1">
      <c r="E908" s="4"/>
      <c r="F908" s="4"/>
      <c r="G908" s="4"/>
      <c r="I908" s="4"/>
      <c r="J908" s="4"/>
      <c r="K908" s="4"/>
    </row>
    <row r="909" spans="5:11" ht="14.25" customHeight="1">
      <c r="E909" s="4"/>
      <c r="F909" s="4"/>
      <c r="G909" s="4"/>
      <c r="I909" s="4"/>
      <c r="J909" s="4"/>
      <c r="K909" s="4"/>
    </row>
    <row r="910" spans="5:11" ht="14.25" customHeight="1">
      <c r="E910" s="4"/>
      <c r="F910" s="4"/>
      <c r="G910" s="4"/>
      <c r="I910" s="4"/>
      <c r="J910" s="4"/>
      <c r="K910" s="4"/>
    </row>
    <row r="911" spans="5:11" ht="14.25" customHeight="1">
      <c r="E911" s="4"/>
      <c r="F911" s="4"/>
      <c r="G911" s="4"/>
      <c r="I911" s="4"/>
      <c r="J911" s="4"/>
      <c r="K911" s="4"/>
    </row>
    <row r="912" spans="5:11" ht="14.25" customHeight="1">
      <c r="E912" s="4"/>
      <c r="F912" s="4"/>
      <c r="G912" s="4"/>
      <c r="I912" s="4"/>
      <c r="J912" s="4"/>
      <c r="K912" s="4"/>
    </row>
    <row r="913" spans="5:11" ht="14.25" customHeight="1">
      <c r="E913" s="4"/>
      <c r="F913" s="4"/>
      <c r="G913" s="4"/>
      <c r="I913" s="4"/>
      <c r="J913" s="4"/>
      <c r="K913" s="4"/>
    </row>
    <row r="914" spans="5:11" ht="14.25" customHeight="1">
      <c r="E914" s="4"/>
      <c r="F914" s="4"/>
      <c r="G914" s="4"/>
      <c r="I914" s="4"/>
      <c r="J914" s="4"/>
      <c r="K914" s="4"/>
    </row>
    <row r="915" spans="5:11" ht="14.25" customHeight="1">
      <c r="E915" s="4"/>
      <c r="F915" s="4"/>
      <c r="G915" s="4"/>
      <c r="I915" s="4"/>
      <c r="J915" s="4"/>
      <c r="K915" s="4"/>
    </row>
    <row r="916" spans="5:11" ht="14.25" customHeight="1">
      <c r="E916" s="4"/>
      <c r="F916" s="4"/>
      <c r="G916" s="4"/>
      <c r="I916" s="4"/>
      <c r="J916" s="4"/>
      <c r="K916" s="4"/>
    </row>
    <row r="917" spans="5:11" ht="14.25" customHeight="1">
      <c r="E917" s="4"/>
      <c r="F917" s="4"/>
      <c r="G917" s="4"/>
      <c r="I917" s="4"/>
      <c r="J917" s="4"/>
      <c r="K917" s="4"/>
    </row>
    <row r="918" spans="5:11" ht="14.25" customHeight="1">
      <c r="E918" s="4"/>
      <c r="F918" s="4"/>
      <c r="G918" s="4"/>
      <c r="I918" s="4"/>
      <c r="J918" s="4"/>
      <c r="K918" s="4"/>
    </row>
    <row r="919" spans="5:11" ht="14.25" customHeight="1">
      <c r="E919" s="4"/>
      <c r="F919" s="4"/>
      <c r="G919" s="4"/>
      <c r="I919" s="4"/>
      <c r="J919" s="4"/>
      <c r="K919" s="4"/>
    </row>
    <row r="920" spans="5:11" ht="14.25" customHeight="1">
      <c r="E920" s="4"/>
      <c r="F920" s="4"/>
      <c r="G920" s="4"/>
      <c r="I920" s="4"/>
      <c r="J920" s="4"/>
      <c r="K920" s="4"/>
    </row>
    <row r="921" spans="5:11" ht="14.25" customHeight="1">
      <c r="E921" s="4"/>
      <c r="F921" s="4"/>
      <c r="G921" s="4"/>
      <c r="I921" s="4"/>
      <c r="J921" s="4"/>
      <c r="K921" s="4"/>
    </row>
    <row r="922" spans="5:11" ht="14.25" customHeight="1">
      <c r="E922" s="4"/>
      <c r="F922" s="4"/>
      <c r="G922" s="4"/>
      <c r="I922" s="4"/>
      <c r="J922" s="4"/>
      <c r="K922" s="4"/>
    </row>
    <row r="923" spans="5:11" ht="14.25" customHeight="1">
      <c r="E923" s="4"/>
      <c r="F923" s="4"/>
      <c r="G923" s="4"/>
      <c r="I923" s="4"/>
      <c r="J923" s="4"/>
      <c r="K923" s="4"/>
    </row>
    <row r="924" spans="5:11" ht="14.25" customHeight="1">
      <c r="E924" s="4"/>
      <c r="F924" s="4"/>
      <c r="G924" s="4"/>
      <c r="I924" s="4"/>
      <c r="J924" s="4"/>
      <c r="K924" s="4"/>
    </row>
    <row r="925" spans="5:11" ht="14.25" customHeight="1">
      <c r="E925" s="4"/>
      <c r="F925" s="4"/>
      <c r="G925" s="4"/>
      <c r="I925" s="4"/>
      <c r="J925" s="4"/>
      <c r="K925" s="4"/>
    </row>
    <row r="926" spans="5:11" ht="14.25" customHeight="1">
      <c r="E926" s="4"/>
      <c r="F926" s="4"/>
      <c r="G926" s="4"/>
      <c r="I926" s="4"/>
      <c r="J926" s="4"/>
      <c r="K926" s="4"/>
    </row>
    <row r="927" spans="5:11" ht="14.25" customHeight="1">
      <c r="E927" s="4"/>
      <c r="F927" s="4"/>
      <c r="G927" s="4"/>
      <c r="I927" s="4"/>
      <c r="J927" s="4"/>
      <c r="K927" s="4"/>
    </row>
    <row r="928" spans="5:11" ht="14.25" customHeight="1">
      <c r="E928" s="4"/>
      <c r="F928" s="4"/>
      <c r="G928" s="4"/>
      <c r="I928" s="4"/>
      <c r="J928" s="4"/>
      <c r="K928" s="4"/>
    </row>
    <row r="929" spans="5:11" ht="14.25" customHeight="1">
      <c r="E929" s="4"/>
      <c r="F929" s="4"/>
      <c r="G929" s="4"/>
      <c r="I929" s="4"/>
      <c r="J929" s="4"/>
      <c r="K929" s="4"/>
    </row>
    <row r="930" spans="5:11" ht="14.25" customHeight="1">
      <c r="E930" s="4"/>
      <c r="F930" s="4"/>
      <c r="G930" s="4"/>
      <c r="I930" s="4"/>
      <c r="J930" s="4"/>
      <c r="K930" s="4"/>
    </row>
    <row r="931" spans="5:11" ht="14.25" customHeight="1">
      <c r="E931" s="4"/>
      <c r="F931" s="4"/>
      <c r="G931" s="4"/>
      <c r="I931" s="4"/>
      <c r="J931" s="4"/>
      <c r="K931" s="4"/>
    </row>
    <row r="932" spans="5:11" ht="14.25" customHeight="1">
      <c r="E932" s="4"/>
      <c r="F932" s="4"/>
      <c r="G932" s="4"/>
      <c r="I932" s="4"/>
      <c r="J932" s="4"/>
      <c r="K932" s="4"/>
    </row>
    <row r="933" spans="5:11" ht="14.25" customHeight="1">
      <c r="E933" s="4"/>
      <c r="F933" s="4"/>
      <c r="G933" s="4"/>
      <c r="I933" s="4"/>
      <c r="J933" s="4"/>
      <c r="K933" s="4"/>
    </row>
    <row r="934" spans="5:11" ht="14.25" customHeight="1">
      <c r="E934" s="4"/>
      <c r="F934" s="4"/>
      <c r="G934" s="4"/>
      <c r="I934" s="4"/>
      <c r="J934" s="4"/>
      <c r="K934" s="4"/>
    </row>
    <row r="935" spans="5:11" ht="14.25" customHeight="1">
      <c r="E935" s="4"/>
      <c r="F935" s="4"/>
      <c r="G935" s="4"/>
      <c r="I935" s="4"/>
      <c r="J935" s="4"/>
      <c r="K935" s="4"/>
    </row>
    <row r="936" spans="5:11" ht="14.25" customHeight="1">
      <c r="E936" s="4"/>
      <c r="F936" s="4"/>
      <c r="G936" s="4"/>
      <c r="I936" s="4"/>
      <c r="J936" s="4"/>
      <c r="K936" s="4"/>
    </row>
    <row r="937" spans="5:11" ht="14.25" customHeight="1">
      <c r="E937" s="4"/>
      <c r="F937" s="4"/>
      <c r="G937" s="4"/>
      <c r="I937" s="4"/>
      <c r="J937" s="4"/>
      <c r="K937" s="4"/>
    </row>
    <row r="938" spans="5:11" ht="14.25" customHeight="1">
      <c r="E938" s="4"/>
      <c r="F938" s="4"/>
      <c r="G938" s="4"/>
      <c r="I938" s="4"/>
      <c r="J938" s="4"/>
      <c r="K938" s="4"/>
    </row>
    <row r="939" spans="5:11" ht="14.25" customHeight="1">
      <c r="E939" s="4"/>
      <c r="F939" s="4"/>
      <c r="G939" s="4"/>
      <c r="I939" s="4"/>
      <c r="J939" s="4"/>
      <c r="K939" s="4"/>
    </row>
    <row r="940" spans="5:11" ht="14.25" customHeight="1">
      <c r="E940" s="4"/>
      <c r="F940" s="4"/>
      <c r="G940" s="4"/>
      <c r="I940" s="4"/>
      <c r="J940" s="4"/>
      <c r="K940" s="4"/>
    </row>
    <row r="941" spans="5:11" ht="14.25" customHeight="1">
      <c r="E941" s="4"/>
      <c r="F941" s="4"/>
      <c r="G941" s="4"/>
      <c r="I941" s="4"/>
      <c r="J941" s="4"/>
      <c r="K941" s="4"/>
    </row>
    <row r="942" spans="5:11" ht="14.25" customHeight="1">
      <c r="E942" s="4"/>
      <c r="F942" s="4"/>
      <c r="G942" s="4"/>
      <c r="I942" s="4"/>
      <c r="J942" s="4"/>
      <c r="K942" s="4"/>
    </row>
    <row r="943" spans="5:11" ht="14.25" customHeight="1">
      <c r="E943" s="4"/>
      <c r="F943" s="4"/>
      <c r="G943" s="4"/>
      <c r="I943" s="4"/>
      <c r="J943" s="4"/>
      <c r="K943" s="4"/>
    </row>
    <row r="944" spans="5:11" ht="14.25" customHeight="1">
      <c r="E944" s="4"/>
      <c r="F944" s="4"/>
      <c r="G944" s="4"/>
      <c r="I944" s="4"/>
      <c r="J944" s="4"/>
      <c r="K944" s="4"/>
    </row>
    <row r="945" spans="5:11" ht="14.25" customHeight="1">
      <c r="E945" s="4"/>
      <c r="F945" s="4"/>
      <c r="G945" s="4"/>
      <c r="I945" s="4"/>
      <c r="J945" s="4"/>
      <c r="K945" s="4"/>
    </row>
    <row r="946" spans="5:11" ht="14.25" customHeight="1">
      <c r="E946" s="4"/>
      <c r="F946" s="4"/>
      <c r="G946" s="4"/>
      <c r="I946" s="4"/>
      <c r="J946" s="4"/>
      <c r="K946" s="4"/>
    </row>
    <row r="947" spans="5:11" ht="14.25" customHeight="1">
      <c r="E947" s="4"/>
      <c r="F947" s="4"/>
      <c r="G947" s="4"/>
      <c r="I947" s="4"/>
      <c r="J947" s="4"/>
      <c r="K947" s="4"/>
    </row>
    <row r="948" spans="5:11" ht="14.25" customHeight="1">
      <c r="E948" s="4"/>
      <c r="F948" s="4"/>
      <c r="G948" s="4"/>
      <c r="I948" s="4"/>
      <c r="J948" s="4"/>
      <c r="K948" s="4"/>
    </row>
    <row r="949" spans="5:11" ht="14.25" customHeight="1">
      <c r="E949" s="4"/>
      <c r="F949" s="4"/>
      <c r="G949" s="4"/>
      <c r="I949" s="4"/>
      <c r="J949" s="4"/>
      <c r="K949" s="4"/>
    </row>
    <row r="950" spans="5:11" ht="14.25" customHeight="1">
      <c r="E950" s="4"/>
      <c r="F950" s="4"/>
      <c r="G950" s="4"/>
      <c r="I950" s="4"/>
      <c r="J950" s="4"/>
      <c r="K950" s="4"/>
    </row>
    <row r="951" spans="5:11" ht="14.25" customHeight="1">
      <c r="E951" s="4"/>
      <c r="F951" s="4"/>
      <c r="G951" s="4"/>
      <c r="I951" s="4"/>
      <c r="J951" s="4"/>
      <c r="K951" s="4"/>
    </row>
    <row r="952" spans="5:11" ht="14.25" customHeight="1">
      <c r="E952" s="4"/>
      <c r="F952" s="4"/>
      <c r="G952" s="4"/>
      <c r="I952" s="4"/>
      <c r="J952" s="4"/>
      <c r="K952" s="4"/>
    </row>
    <row r="953" spans="5:11" ht="14.25" customHeight="1">
      <c r="E953" s="4"/>
      <c r="F953" s="4"/>
      <c r="G953" s="4"/>
      <c r="I953" s="4"/>
      <c r="J953" s="4"/>
      <c r="K953" s="4"/>
    </row>
    <row r="954" spans="5:11" ht="14.25" customHeight="1">
      <c r="E954" s="4"/>
      <c r="F954" s="4"/>
      <c r="G954" s="4"/>
      <c r="I954" s="4"/>
      <c r="J954" s="4"/>
      <c r="K954" s="4"/>
    </row>
    <row r="955" spans="5:11" ht="14.25" customHeight="1">
      <c r="E955" s="4"/>
      <c r="F955" s="4"/>
      <c r="G955" s="4"/>
      <c r="I955" s="4"/>
      <c r="J955" s="4"/>
      <c r="K955" s="4"/>
    </row>
    <row r="956" spans="5:11" ht="14.25" customHeight="1">
      <c r="E956" s="4"/>
      <c r="F956" s="4"/>
      <c r="G956" s="4"/>
      <c r="I956" s="4"/>
      <c r="J956" s="4"/>
      <c r="K956" s="4"/>
    </row>
    <row r="957" spans="5:11" ht="14.25" customHeight="1">
      <c r="E957" s="4"/>
      <c r="F957" s="4"/>
      <c r="G957" s="4"/>
      <c r="I957" s="4"/>
      <c r="J957" s="4"/>
      <c r="K957" s="4"/>
    </row>
    <row r="958" spans="5:11" ht="14.25" customHeight="1">
      <c r="E958" s="4"/>
      <c r="F958" s="4"/>
      <c r="G958" s="4"/>
      <c r="I958" s="4"/>
      <c r="J958" s="4"/>
      <c r="K958" s="4"/>
    </row>
    <row r="959" spans="5:11" ht="14.25" customHeight="1">
      <c r="E959" s="4"/>
      <c r="F959" s="4"/>
      <c r="G959" s="4"/>
      <c r="I959" s="4"/>
      <c r="J959" s="4"/>
      <c r="K959" s="4"/>
    </row>
    <row r="960" spans="5:11" ht="14.25" customHeight="1">
      <c r="E960" s="4"/>
      <c r="F960" s="4"/>
      <c r="G960" s="4"/>
      <c r="I960" s="4"/>
      <c r="J960" s="4"/>
      <c r="K960" s="4"/>
    </row>
    <row r="961" spans="5:11" ht="14.25" customHeight="1">
      <c r="E961" s="4"/>
      <c r="F961" s="4"/>
      <c r="G961" s="4"/>
      <c r="I961" s="4"/>
      <c r="J961" s="4"/>
      <c r="K961" s="4"/>
    </row>
    <row r="962" spans="5:11" ht="14.25" customHeight="1">
      <c r="E962" s="4"/>
      <c r="F962" s="4"/>
      <c r="G962" s="4"/>
      <c r="I962" s="4"/>
      <c r="J962" s="4"/>
      <c r="K962" s="4"/>
    </row>
    <row r="963" spans="5:11" ht="14.25" customHeight="1">
      <c r="E963" s="4"/>
      <c r="F963" s="4"/>
      <c r="G963" s="4"/>
      <c r="I963" s="4"/>
      <c r="J963" s="4"/>
      <c r="K963" s="4"/>
    </row>
    <row r="964" spans="5:11" ht="14.25" customHeight="1">
      <c r="E964" s="4"/>
      <c r="F964" s="4"/>
      <c r="G964" s="4"/>
      <c r="I964" s="4"/>
      <c r="J964" s="4"/>
      <c r="K964" s="4"/>
    </row>
    <row r="965" spans="5:11" ht="14.25" customHeight="1">
      <c r="E965" s="4"/>
      <c r="F965" s="4"/>
      <c r="G965" s="4"/>
      <c r="I965" s="4"/>
      <c r="J965" s="4"/>
      <c r="K965" s="4"/>
    </row>
    <row r="966" spans="5:11" ht="14.25" customHeight="1">
      <c r="E966" s="4"/>
      <c r="F966" s="4"/>
      <c r="G966" s="4"/>
      <c r="I966" s="4"/>
      <c r="J966" s="4"/>
      <c r="K966" s="4"/>
    </row>
    <row r="967" spans="5:11" ht="14.25" customHeight="1">
      <c r="E967" s="4"/>
      <c r="F967" s="4"/>
      <c r="G967" s="4"/>
      <c r="I967" s="4"/>
      <c r="J967" s="4"/>
      <c r="K967" s="4"/>
    </row>
    <row r="968" spans="5:11" ht="14.25" customHeight="1">
      <c r="E968" s="4"/>
      <c r="F968" s="4"/>
      <c r="G968" s="4"/>
      <c r="I968" s="4"/>
      <c r="J968" s="4"/>
      <c r="K968" s="4"/>
    </row>
    <row r="969" spans="5:11" ht="14.25" customHeight="1">
      <c r="E969" s="4"/>
      <c r="F969" s="4"/>
      <c r="G969" s="4"/>
      <c r="I969" s="4"/>
      <c r="J969" s="4"/>
      <c r="K969" s="4"/>
    </row>
    <row r="970" spans="5:11" ht="14.25" customHeight="1">
      <c r="E970" s="4"/>
      <c r="F970" s="4"/>
      <c r="G970" s="4"/>
      <c r="I970" s="4"/>
      <c r="J970" s="4"/>
      <c r="K970" s="4"/>
    </row>
    <row r="971" spans="5:11" ht="14.25" customHeight="1">
      <c r="E971" s="4"/>
      <c r="F971" s="4"/>
      <c r="G971" s="4"/>
      <c r="I971" s="4"/>
      <c r="J971" s="4"/>
      <c r="K971" s="4"/>
    </row>
    <row r="972" spans="5:11" ht="14.25" customHeight="1">
      <c r="E972" s="4"/>
      <c r="F972" s="4"/>
      <c r="G972" s="4"/>
      <c r="I972" s="4"/>
      <c r="J972" s="4"/>
      <c r="K972" s="4"/>
    </row>
    <row r="973" spans="5:11" ht="14.25" customHeight="1">
      <c r="E973" s="4"/>
      <c r="F973" s="4"/>
      <c r="G973" s="4"/>
      <c r="I973" s="4"/>
      <c r="J973" s="4"/>
      <c r="K973" s="4"/>
    </row>
    <row r="974" spans="5:11" ht="14.25" customHeight="1">
      <c r="E974" s="4"/>
      <c r="F974" s="4"/>
      <c r="G974" s="4"/>
      <c r="I974" s="4"/>
      <c r="J974" s="4"/>
      <c r="K974" s="4"/>
    </row>
    <row r="975" spans="5:11" ht="14.25" customHeight="1">
      <c r="E975" s="4"/>
      <c r="F975" s="4"/>
      <c r="G975" s="4"/>
      <c r="I975" s="4"/>
      <c r="J975" s="4"/>
      <c r="K975" s="4"/>
    </row>
    <row r="976" spans="5:11" ht="14.25" customHeight="1">
      <c r="E976" s="4"/>
      <c r="F976" s="4"/>
      <c r="G976" s="4"/>
      <c r="I976" s="4"/>
      <c r="J976" s="4"/>
      <c r="K976" s="4"/>
    </row>
    <row r="977" spans="5:11" ht="14.25" customHeight="1">
      <c r="E977" s="4"/>
      <c r="F977" s="4"/>
      <c r="G977" s="4"/>
      <c r="I977" s="4"/>
      <c r="J977" s="4"/>
      <c r="K977" s="4"/>
    </row>
    <row r="978" spans="5:11" ht="14.25" customHeight="1">
      <c r="E978" s="4"/>
      <c r="F978" s="4"/>
      <c r="G978" s="4"/>
      <c r="I978" s="4"/>
      <c r="J978" s="4"/>
      <c r="K978" s="4"/>
    </row>
    <row r="979" spans="5:11" ht="14.25" customHeight="1">
      <c r="E979" s="4"/>
      <c r="F979" s="4"/>
      <c r="G979" s="4"/>
      <c r="I979" s="4"/>
      <c r="J979" s="4"/>
      <c r="K979" s="4"/>
    </row>
    <row r="980" spans="5:11" ht="14.25" customHeight="1">
      <c r="E980" s="4"/>
      <c r="F980" s="4"/>
      <c r="G980" s="4"/>
      <c r="I980" s="4"/>
      <c r="J980" s="4"/>
      <c r="K980" s="4"/>
    </row>
    <row r="981" spans="5:11" ht="14.25" customHeight="1">
      <c r="E981" s="4"/>
      <c r="F981" s="4"/>
      <c r="G981" s="4"/>
      <c r="I981" s="4"/>
      <c r="J981" s="4"/>
      <c r="K981" s="4"/>
    </row>
    <row r="982" spans="5:11" ht="14.25" customHeight="1">
      <c r="E982" s="4"/>
      <c r="F982" s="4"/>
      <c r="G982" s="4"/>
      <c r="I982" s="4"/>
      <c r="J982" s="4"/>
      <c r="K982" s="4"/>
    </row>
    <row r="983" spans="5:11" ht="14.25" customHeight="1">
      <c r="E983" s="4"/>
      <c r="F983" s="4"/>
      <c r="G983" s="4"/>
      <c r="I983" s="4"/>
      <c r="J983" s="4"/>
      <c r="K983" s="4"/>
    </row>
    <row r="984" spans="5:11" ht="14.25" customHeight="1">
      <c r="E984" s="4"/>
      <c r="F984" s="4"/>
      <c r="G984" s="4"/>
      <c r="I984" s="4"/>
      <c r="J984" s="4"/>
      <c r="K984" s="4"/>
    </row>
    <row r="985" spans="5:11" ht="14.25" customHeight="1">
      <c r="E985" s="4"/>
      <c r="F985" s="4"/>
      <c r="G985" s="4"/>
      <c r="I985" s="4"/>
      <c r="J985" s="4"/>
      <c r="K985" s="4"/>
    </row>
    <row r="986" spans="5:11" ht="14.25" customHeight="1">
      <c r="E986" s="4"/>
      <c r="F986" s="4"/>
      <c r="G986" s="4"/>
      <c r="I986" s="4"/>
      <c r="J986" s="4"/>
      <c r="K986" s="4"/>
    </row>
    <row r="987" spans="5:11" ht="14.25" customHeight="1">
      <c r="E987" s="4"/>
      <c r="F987" s="4"/>
      <c r="G987" s="4"/>
      <c r="I987" s="4"/>
      <c r="J987" s="4"/>
      <c r="K987" s="4"/>
    </row>
    <row r="988" spans="5:11" ht="14.25" customHeight="1">
      <c r="E988" s="4"/>
      <c r="F988" s="4"/>
      <c r="G988" s="4"/>
      <c r="I988" s="4"/>
      <c r="J988" s="4"/>
      <c r="K988" s="4"/>
    </row>
    <row r="989" spans="5:11" ht="14.25" customHeight="1">
      <c r="E989" s="4"/>
      <c r="F989" s="4"/>
      <c r="G989" s="4"/>
      <c r="I989" s="4"/>
      <c r="J989" s="4"/>
      <c r="K989" s="4"/>
    </row>
    <row r="990" spans="5:11" ht="14.25" customHeight="1">
      <c r="E990" s="4"/>
      <c r="F990" s="4"/>
      <c r="G990" s="4"/>
      <c r="I990" s="4"/>
      <c r="J990" s="4"/>
      <c r="K990" s="4"/>
    </row>
    <row r="991" spans="5:11" ht="14.25" customHeight="1">
      <c r="E991" s="4"/>
      <c r="F991" s="4"/>
      <c r="G991" s="4"/>
      <c r="I991" s="4"/>
      <c r="J991" s="4"/>
      <c r="K991" s="4"/>
    </row>
    <row r="992" spans="5:11" ht="14.25" customHeight="1">
      <c r="E992" s="4"/>
      <c r="F992" s="4"/>
      <c r="G992" s="4"/>
      <c r="I992" s="4"/>
      <c r="J992" s="4"/>
      <c r="K992" s="4"/>
    </row>
    <row r="993" spans="5:11" ht="14.25" customHeight="1">
      <c r="E993" s="4"/>
      <c r="F993" s="4"/>
      <c r="G993" s="4"/>
      <c r="I993" s="4"/>
      <c r="J993" s="4"/>
      <c r="K993" s="4"/>
    </row>
    <row r="994" spans="5:11" ht="14.25" customHeight="1">
      <c r="E994" s="4"/>
      <c r="F994" s="4"/>
      <c r="G994" s="4"/>
      <c r="I994" s="4"/>
      <c r="J994" s="4"/>
      <c r="K994" s="4"/>
    </row>
    <row r="995" spans="5:11" ht="14.25" customHeight="1">
      <c r="E995" s="4"/>
      <c r="F995" s="4"/>
      <c r="G995" s="4"/>
      <c r="I995" s="4"/>
      <c r="J995" s="4"/>
      <c r="K995" s="4"/>
    </row>
    <row r="996" spans="5:11" ht="14.25" customHeight="1">
      <c r="E996" s="4"/>
      <c r="F996" s="4"/>
      <c r="G996" s="4"/>
      <c r="I996" s="4"/>
      <c r="J996" s="4"/>
      <c r="K996" s="4"/>
    </row>
    <row r="997" spans="5:11" ht="14.25" customHeight="1">
      <c r="E997" s="4"/>
      <c r="F997" s="4"/>
      <c r="G997" s="4"/>
      <c r="I997" s="4"/>
      <c r="J997" s="4"/>
      <c r="K997" s="4"/>
    </row>
    <row r="998" spans="5:11" ht="14.25" customHeight="1">
      <c r="E998" s="4"/>
      <c r="F998" s="4"/>
      <c r="G998" s="4"/>
      <c r="I998" s="4"/>
      <c r="J998" s="4"/>
      <c r="K998" s="4"/>
    </row>
    <row r="999" spans="5:11" ht="14.25" customHeight="1">
      <c r="E999" s="4"/>
      <c r="F999" s="4"/>
      <c r="G999" s="4"/>
      <c r="I999" s="4"/>
      <c r="J999" s="4"/>
      <c r="K999" s="4"/>
    </row>
    <row r="1000" spans="5:11" ht="14.25" customHeight="1">
      <c r="E1000" s="4"/>
      <c r="F1000" s="4"/>
      <c r="G1000" s="4"/>
      <c r="I1000" s="4"/>
      <c r="J1000" s="4"/>
      <c r="K1000" s="4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ARBITROS</vt:lpstr>
      <vt:lpstr>LICENCIAS</vt:lpstr>
      <vt:lpstr>SOLICITUDES</vt:lpstr>
      <vt:lpstr>CURSOS</vt:lpstr>
      <vt:lpstr>GRUPOS GMAIL CURSOS</vt:lpstr>
      <vt:lpstr>CATALOGOS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Garcia Flores, Juan Carlos</dc:creator>
  <cp:lastModifiedBy>Juankar .</cp:lastModifiedBy>
  <dcterms:created xsi:type="dcterms:W3CDTF">2022-08-04T10:23:57Z</dcterms:created>
  <dcterms:modified xsi:type="dcterms:W3CDTF">2024-05-28T13:48:33Z</dcterms:modified>
</cp:coreProperties>
</file>