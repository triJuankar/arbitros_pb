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i unidad\TORNEOS\GestorTorneosRFET\"/>
    </mc:Choice>
  </mc:AlternateContent>
  <bookViews>
    <workbookView xWindow="240" yWindow="45" windowWidth="25875" windowHeight="15915" activeTab="1"/>
  </bookViews>
  <sheets>
    <sheet name="Sheet1" sheetId="1" r:id="rId1"/>
    <sheet name="Master Final Madrid 2024" sheetId="3" r:id="rId2"/>
    <sheet name="FORMULAS" sheetId="4" r:id="rId3"/>
  </sheets>
  <definedNames>
    <definedName name="_xlnm._FilterDatabase" localSheetId="0" hidden="1">Sheet1!$A$1:$AA$1</definedName>
  </definedNames>
  <calcPr calcId="162913"/>
</workbook>
</file>

<file path=xl/calcChain.xml><?xml version="1.0" encoding="utf-8"?>
<calcChain xmlns="http://schemas.openxmlformats.org/spreadsheetml/2006/main">
  <c r="Z80" i="4" l="1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A15" i="1"/>
  <c r="AA16" i="1"/>
  <c r="AA17" i="1"/>
  <c r="AA18" i="1"/>
  <c r="AA19" i="1"/>
  <c r="AA8" i="4" s="1"/>
  <c r="AA20" i="1"/>
  <c r="AA21" i="1"/>
  <c r="AA22" i="1"/>
  <c r="AA23" i="1"/>
  <c r="AA63" i="4" s="1"/>
  <c r="AA24" i="1"/>
  <c r="AA25" i="1"/>
  <c r="AA75" i="4" s="1"/>
  <c r="AA26" i="1"/>
  <c r="AA27" i="1"/>
  <c r="AA28" i="1"/>
  <c r="AA29" i="1"/>
  <c r="AA30" i="1"/>
  <c r="AA31" i="1"/>
  <c r="AA32" i="1"/>
  <c r="AA33" i="1"/>
  <c r="AA80" i="4" s="1"/>
  <c r="AA34" i="1"/>
  <c r="AA28" i="4" s="1"/>
  <c r="AA35" i="1"/>
  <c r="AA36" i="1"/>
  <c r="AA76" i="4" s="1"/>
  <c r="AA37" i="1"/>
  <c r="AA51" i="4" s="1"/>
  <c r="AA38" i="1"/>
  <c r="AA39" i="1"/>
  <c r="AA40" i="1"/>
  <c r="AA41" i="1"/>
  <c r="AA42" i="1"/>
  <c r="AA43" i="1"/>
  <c r="AA44" i="1"/>
  <c r="AA4" i="4" s="1"/>
  <c r="AA45" i="1"/>
  <c r="AA58" i="4" s="1"/>
  <c r="AA46" i="1"/>
  <c r="AA47" i="1"/>
  <c r="AA38" i="4" s="1"/>
  <c r="AA48" i="1"/>
  <c r="AA21" i="4" s="1"/>
  <c r="AA49" i="1"/>
  <c r="AA29" i="4" s="1"/>
  <c r="AA50" i="1"/>
  <c r="AA51" i="1"/>
  <c r="AA5" i="4" s="1"/>
  <c r="AA52" i="1"/>
  <c r="AA33" i="4" s="1"/>
  <c r="AA53" i="1"/>
  <c r="AA54" i="1"/>
  <c r="AA55" i="1"/>
  <c r="AA47" i="4" s="1"/>
  <c r="AA56" i="1"/>
  <c r="AA57" i="1"/>
  <c r="AA22" i="4" s="1"/>
  <c r="AA58" i="1"/>
  <c r="AA11" i="4" s="1"/>
  <c r="AA59" i="1"/>
  <c r="AA60" i="1"/>
  <c r="AA20" i="4" s="1"/>
  <c r="AA61" i="1"/>
  <c r="AA62" i="1"/>
  <c r="AA63" i="1"/>
  <c r="AA71" i="4" s="1"/>
  <c r="AA64" i="1"/>
  <c r="AA65" i="1"/>
  <c r="AA66" i="1"/>
  <c r="AA67" i="1"/>
  <c r="AA43" i="4" s="1"/>
  <c r="AA68" i="1"/>
  <c r="AA69" i="1"/>
  <c r="AA70" i="1"/>
  <c r="AA71" i="1"/>
  <c r="AA72" i="1"/>
  <c r="AA73" i="1"/>
  <c r="AA66" i="4" s="1"/>
  <c r="AA74" i="1"/>
  <c r="AA27" i="4" s="1"/>
  <c r="AA75" i="1"/>
  <c r="AA9" i="4" s="1"/>
  <c r="AA76" i="1"/>
  <c r="AA77" i="1"/>
  <c r="AA78" i="1"/>
  <c r="AA79" i="1"/>
  <c r="AA80" i="1"/>
  <c r="AA19" i="4" s="1"/>
  <c r="AA81" i="1"/>
  <c r="AA7" i="4" s="1"/>
  <c r="AA82" i="1"/>
  <c r="AA83" i="1"/>
  <c r="AA84" i="1"/>
  <c r="AA32" i="4" s="1"/>
  <c r="AA85" i="1"/>
  <c r="AA46" i="4" s="1"/>
  <c r="AA86" i="1"/>
  <c r="AA87" i="1"/>
  <c r="AA88" i="1"/>
  <c r="AA89" i="1"/>
  <c r="AA90" i="1"/>
  <c r="AA91" i="1"/>
  <c r="AA92" i="1"/>
  <c r="AA93" i="1"/>
  <c r="AA94" i="1"/>
  <c r="AA95" i="1"/>
  <c r="AA96" i="1"/>
  <c r="AA34" i="4" s="1"/>
  <c r="AA97" i="1"/>
  <c r="AA30" i="4" s="1"/>
  <c r="AA98" i="1"/>
  <c r="AA99" i="1"/>
  <c r="AA100" i="1"/>
  <c r="AA101" i="1"/>
  <c r="AA102" i="1"/>
  <c r="AA103" i="1"/>
  <c r="AA104" i="1"/>
  <c r="AA105" i="1"/>
  <c r="AA36" i="4" s="1"/>
  <c r="AA106" i="1"/>
  <c r="AA61" i="4" s="1"/>
  <c r="AA107" i="1"/>
  <c r="AA59" i="4" s="1"/>
  <c r="AA108" i="1"/>
  <c r="AA109" i="1"/>
  <c r="AA24" i="4" s="1"/>
  <c r="AA110" i="1"/>
  <c r="AA111" i="1"/>
  <c r="AA67" i="4" s="1"/>
  <c r="AA112" i="1"/>
  <c r="AA77" i="4" s="1"/>
  <c r="AA113" i="1"/>
  <c r="AA114" i="1"/>
  <c r="AA52" i="4" s="1"/>
  <c r="AA115" i="1"/>
  <c r="AA57" i="4" s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60" i="4" s="1"/>
  <c r="AA137" i="1"/>
  <c r="AA138" i="1"/>
  <c r="AA139" i="1"/>
  <c r="AA140" i="1"/>
  <c r="AA141" i="1"/>
  <c r="AA35" i="4" s="1"/>
  <c r="AA142" i="1"/>
  <c r="AA143" i="1"/>
  <c r="AA144" i="1"/>
  <c r="AA145" i="1"/>
  <c r="AA15" i="4" s="1"/>
  <c r="AA146" i="1"/>
  <c r="AA147" i="1"/>
  <c r="AA148" i="1"/>
  <c r="AA149" i="1"/>
  <c r="AA3" i="4" s="1"/>
  <c r="AA150" i="1"/>
  <c r="AA42" i="4" s="1"/>
  <c r="AA151" i="1"/>
  <c r="AA152" i="1"/>
  <c r="AA153" i="1"/>
  <c r="AA50" i="4" s="1"/>
  <c r="AA154" i="1"/>
  <c r="AA155" i="1"/>
  <c r="AA156" i="1"/>
  <c r="AA49" i="4" s="1"/>
  <c r="AA157" i="1"/>
  <c r="AA158" i="1"/>
  <c r="AA14" i="4" s="1"/>
  <c r="AA159" i="1"/>
  <c r="AA41" i="4" s="1"/>
  <c r="AA160" i="1"/>
  <c r="AA161" i="1"/>
  <c r="AA162" i="1"/>
  <c r="AA16" i="4" s="1"/>
  <c r="AA163" i="1"/>
  <c r="AA164" i="1"/>
  <c r="AA165" i="1"/>
  <c r="AA166" i="1"/>
  <c r="AA6" i="4" s="1"/>
  <c r="AA167" i="1"/>
  <c r="AA168" i="1"/>
  <c r="AA169" i="1"/>
  <c r="AA170" i="1"/>
  <c r="AA171" i="1"/>
  <c r="AA172" i="1"/>
  <c r="AA173" i="1"/>
  <c r="AA174" i="1"/>
  <c r="AA175" i="1"/>
  <c r="AA176" i="1"/>
  <c r="AA17" i="4" s="1"/>
  <c r="AA177" i="1"/>
  <c r="AA178" i="1"/>
  <c r="AA179" i="1"/>
  <c r="AA18" i="4" s="1"/>
  <c r="AA180" i="1"/>
  <c r="AA181" i="1"/>
  <c r="AA182" i="1"/>
  <c r="AA25" i="4" s="1"/>
  <c r="AA183" i="1"/>
  <c r="AA184" i="1"/>
  <c r="AA185" i="1"/>
  <c r="AA186" i="1"/>
  <c r="AA56" i="4" s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65" i="4" s="1"/>
  <c r="AA199" i="1"/>
  <c r="AA200" i="1"/>
  <c r="AA201" i="1"/>
  <c r="AA202" i="1"/>
  <c r="AA68" i="4" s="1"/>
  <c r="AA203" i="1"/>
  <c r="AA64" i="4" s="1"/>
  <c r="AA204" i="1"/>
  <c r="AA53" i="4" s="1"/>
  <c r="AA205" i="1"/>
  <c r="AA206" i="1"/>
  <c r="AA2" i="4" s="1"/>
  <c r="AA207" i="1"/>
  <c r="AA208" i="1"/>
  <c r="AA78" i="4" s="1"/>
  <c r="AA209" i="1"/>
  <c r="AA210" i="1"/>
  <c r="AA211" i="1"/>
  <c r="AA10" i="4" s="1"/>
  <c r="AA212" i="1"/>
  <c r="AA48" i="4" s="1"/>
  <c r="AA213" i="1"/>
  <c r="AA214" i="1"/>
  <c r="AA39" i="4" s="1"/>
  <c r="AA215" i="1"/>
  <c r="AA216" i="1"/>
  <c r="AA217" i="1"/>
  <c r="AA218" i="1"/>
  <c r="AA219" i="1"/>
  <c r="AA220" i="1"/>
  <c r="AA37" i="4" s="1"/>
  <c r="AA221" i="1"/>
  <c r="AA74" i="4" s="1"/>
  <c r="AA222" i="1"/>
  <c r="AA223" i="1"/>
  <c r="AA224" i="1"/>
  <c r="AA225" i="1"/>
  <c r="AA226" i="1"/>
  <c r="AA227" i="1"/>
  <c r="AA228" i="1"/>
  <c r="AA229" i="1"/>
  <c r="AA230" i="1"/>
  <c r="AA231" i="1"/>
  <c r="AA232" i="1"/>
  <c r="AA44" i="4" s="1"/>
  <c r="AA233" i="1"/>
  <c r="AA234" i="1"/>
  <c r="AA45" i="4" s="1"/>
  <c r="AA235" i="1"/>
  <c r="AA236" i="1"/>
  <c r="AA237" i="1"/>
  <c r="AA238" i="1"/>
  <c r="AA239" i="1"/>
  <c r="AA240" i="1"/>
  <c r="AA69" i="4" s="1"/>
  <c r="AA241" i="1"/>
  <c r="AA12" i="4" s="1"/>
  <c r="AA242" i="1"/>
  <c r="AA243" i="1"/>
  <c r="AA70" i="4" s="1"/>
  <c r="AA244" i="1"/>
  <c r="AA245" i="1"/>
  <c r="AA246" i="1"/>
  <c r="AA247" i="1"/>
  <c r="AA248" i="1"/>
  <c r="AA249" i="1"/>
  <c r="AA250" i="1"/>
  <c r="AA251" i="1"/>
  <c r="AA73" i="4" s="1"/>
  <c r="AA252" i="1"/>
  <c r="AA253" i="1"/>
  <c r="AA254" i="1"/>
  <c r="AA255" i="1"/>
  <c r="AA256" i="1"/>
  <c r="AA257" i="1"/>
  <c r="AA258" i="1"/>
  <c r="AA259" i="1"/>
  <c r="AA55" i="4" s="1"/>
  <c r="AA260" i="1"/>
  <c r="AA261" i="1"/>
  <c r="AA26" i="4" s="1"/>
  <c r="AA262" i="1"/>
  <c r="AA40" i="4" s="1"/>
  <c r="AA263" i="1"/>
  <c r="AA264" i="1"/>
  <c r="AA265" i="1"/>
  <c r="AA62" i="4" s="1"/>
  <c r="AA266" i="1"/>
  <c r="AA267" i="1"/>
  <c r="AA268" i="1"/>
  <c r="AA269" i="1"/>
  <c r="AA270" i="1"/>
  <c r="AA31" i="4" s="1"/>
  <c r="AA271" i="1"/>
  <c r="AA23" i="4" s="1"/>
  <c r="AA272" i="1"/>
  <c r="AA13" i="4" s="1"/>
  <c r="AA273" i="1"/>
  <c r="AA274" i="1"/>
  <c r="AA275" i="1"/>
  <c r="AA276" i="1"/>
  <c r="AA277" i="1"/>
  <c r="AA278" i="1"/>
  <c r="AA279" i="1"/>
  <c r="AA280" i="1"/>
  <c r="AA281" i="1"/>
  <c r="AA54" i="4" s="1"/>
  <c r="AA282" i="1"/>
  <c r="AA283" i="1"/>
  <c r="AA284" i="1"/>
  <c r="AA285" i="1"/>
  <c r="AA72" i="4" s="1"/>
  <c r="AA3" i="1"/>
  <c r="AA4" i="1"/>
  <c r="AA5" i="1"/>
  <c r="AA6" i="1"/>
  <c r="AA7" i="1"/>
  <c r="AA8" i="1"/>
  <c r="AA9" i="1"/>
  <c r="AA10" i="1"/>
  <c r="AA11" i="1"/>
  <c r="AA79" i="4" s="1"/>
  <c r="AA12" i="1"/>
  <c r="AA13" i="1"/>
  <c r="AA14" i="1"/>
  <c r="AA2" i="1"/>
  <c r="E105" i="1" l="1"/>
  <c r="E156" i="1"/>
  <c r="E265" i="1"/>
  <c r="E23" i="1"/>
  <c r="E203" i="1"/>
  <c r="E198" i="1"/>
  <c r="E97" i="1"/>
  <c r="E73" i="1"/>
  <c r="E111" i="1"/>
  <c r="E202" i="1"/>
  <c r="E240" i="1"/>
  <c r="E243" i="1"/>
  <c r="E63" i="1"/>
  <c r="E285" i="1"/>
  <c r="E251" i="1"/>
  <c r="E221" i="1"/>
  <c r="E25" i="1"/>
  <c r="E36" i="1"/>
  <c r="E112" i="1"/>
  <c r="E208" i="1"/>
  <c r="E11" i="1"/>
  <c r="B105" i="1"/>
  <c r="B156" i="1"/>
  <c r="B265" i="1"/>
  <c r="B23" i="1"/>
  <c r="B203" i="1"/>
  <c r="B198" i="1"/>
  <c r="B97" i="1"/>
  <c r="B73" i="1"/>
  <c r="B111" i="1"/>
  <c r="B202" i="1"/>
  <c r="B240" i="1"/>
  <c r="B243" i="1"/>
  <c r="B63" i="1"/>
  <c r="B285" i="1"/>
  <c r="B251" i="1"/>
  <c r="B221" i="1"/>
  <c r="B25" i="1"/>
  <c r="B36" i="1"/>
  <c r="B112" i="1"/>
  <c r="B208" i="1"/>
  <c r="B11" i="1"/>
  <c r="E234" i="1"/>
  <c r="E85" i="1"/>
  <c r="E55" i="1"/>
  <c r="E212" i="1"/>
  <c r="E153" i="1"/>
  <c r="E37" i="1"/>
  <c r="E114" i="1"/>
  <c r="E204" i="1"/>
  <c r="E281" i="1"/>
  <c r="E259" i="1"/>
  <c r="E186" i="1"/>
  <c r="E115" i="1"/>
  <c r="E45" i="1"/>
  <c r="E107" i="1"/>
  <c r="E136" i="1"/>
  <c r="E106" i="1"/>
  <c r="B234" i="1"/>
  <c r="B85" i="1"/>
  <c r="B55" i="1"/>
  <c r="B212" i="1"/>
  <c r="B153" i="1"/>
  <c r="B37" i="1"/>
  <c r="B114" i="1"/>
  <c r="B204" i="1"/>
  <c r="B281" i="1"/>
  <c r="B259" i="1"/>
  <c r="B186" i="1"/>
  <c r="B115" i="1"/>
  <c r="B45" i="1"/>
  <c r="B107" i="1"/>
  <c r="B136" i="1"/>
  <c r="B106" i="1"/>
  <c r="E220" i="1"/>
  <c r="E47" i="1"/>
  <c r="E214" i="1"/>
  <c r="E262" i="1"/>
  <c r="E159" i="1"/>
  <c r="E150" i="1"/>
  <c r="E67" i="1"/>
  <c r="E232" i="1"/>
  <c r="B220" i="1"/>
  <c r="B47" i="1"/>
  <c r="B214" i="1"/>
  <c r="B262" i="1"/>
  <c r="B159" i="1"/>
  <c r="B150" i="1"/>
  <c r="B67" i="1"/>
  <c r="B232" i="1"/>
  <c r="E179" i="1"/>
  <c r="E80" i="1"/>
  <c r="E60" i="1"/>
  <c r="E48" i="1"/>
  <c r="E57" i="1"/>
  <c r="E271" i="1"/>
  <c r="E109" i="1"/>
  <c r="E182" i="1"/>
  <c r="E261" i="1"/>
  <c r="E74" i="1"/>
  <c r="E34" i="1"/>
  <c r="E49" i="1"/>
  <c r="E270" i="1"/>
  <c r="E84" i="1"/>
  <c r="E52" i="1"/>
  <c r="E96" i="1"/>
  <c r="E141" i="1"/>
  <c r="B179" i="1"/>
  <c r="B80" i="1"/>
  <c r="B60" i="1"/>
  <c r="B48" i="1"/>
  <c r="B57" i="1"/>
  <c r="B271" i="1"/>
  <c r="B109" i="1"/>
  <c r="B182" i="1"/>
  <c r="B261" i="1"/>
  <c r="B74" i="1"/>
  <c r="B34" i="1"/>
  <c r="B49" i="1"/>
  <c r="B270" i="1"/>
  <c r="B84" i="1"/>
  <c r="B52" i="1"/>
  <c r="B96" i="1"/>
  <c r="B141" i="1"/>
  <c r="E44" i="1"/>
  <c r="E51" i="1"/>
  <c r="E166" i="1"/>
  <c r="E81" i="1"/>
  <c r="E19" i="1"/>
  <c r="E75" i="1"/>
  <c r="E211" i="1"/>
  <c r="E58" i="1"/>
  <c r="E241" i="1"/>
  <c r="E272" i="1"/>
  <c r="E158" i="1"/>
  <c r="E145" i="1"/>
  <c r="E162" i="1"/>
  <c r="E176" i="1"/>
  <c r="B44" i="1"/>
  <c r="B51" i="1"/>
  <c r="B166" i="1"/>
  <c r="B81" i="1"/>
  <c r="B19" i="1"/>
  <c r="B75" i="1"/>
  <c r="B211" i="1"/>
  <c r="B58" i="1"/>
  <c r="B241" i="1"/>
  <c r="B272" i="1"/>
  <c r="B158" i="1"/>
  <c r="B145" i="1"/>
  <c r="B162" i="1"/>
  <c r="B176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20" i="1"/>
  <c r="E21" i="1"/>
  <c r="E22" i="1"/>
  <c r="E24" i="1"/>
  <c r="E26" i="1"/>
  <c r="E27" i="1"/>
  <c r="E28" i="1"/>
  <c r="E29" i="1"/>
  <c r="E30" i="1"/>
  <c r="E31" i="1"/>
  <c r="E32" i="1"/>
  <c r="E33" i="1"/>
  <c r="E35" i="1"/>
  <c r="E38" i="1"/>
  <c r="E39" i="1"/>
  <c r="E40" i="1"/>
  <c r="E41" i="1"/>
  <c r="E42" i="1"/>
  <c r="E43" i="1"/>
  <c r="E46" i="1"/>
  <c r="E50" i="1"/>
  <c r="E53" i="1"/>
  <c r="E54" i="1"/>
  <c r="E56" i="1"/>
  <c r="E59" i="1"/>
  <c r="E61" i="1"/>
  <c r="E62" i="1"/>
  <c r="E64" i="1"/>
  <c r="E65" i="1"/>
  <c r="E66" i="1"/>
  <c r="E68" i="1"/>
  <c r="E69" i="1"/>
  <c r="E70" i="1"/>
  <c r="E71" i="1"/>
  <c r="E72" i="1"/>
  <c r="E76" i="1"/>
  <c r="E77" i="1"/>
  <c r="E78" i="1"/>
  <c r="E79" i="1"/>
  <c r="E82" i="1"/>
  <c r="E83" i="1"/>
  <c r="E86" i="1"/>
  <c r="E87" i="1"/>
  <c r="E88" i="1"/>
  <c r="E89" i="1"/>
  <c r="E90" i="1"/>
  <c r="E91" i="1"/>
  <c r="E92" i="1"/>
  <c r="E93" i="1"/>
  <c r="E94" i="1"/>
  <c r="E95" i="1"/>
  <c r="E98" i="1"/>
  <c r="E99" i="1"/>
  <c r="E100" i="1"/>
  <c r="E101" i="1"/>
  <c r="E102" i="1"/>
  <c r="E103" i="1"/>
  <c r="E104" i="1"/>
  <c r="E108" i="1"/>
  <c r="E110" i="1"/>
  <c r="E113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7" i="1"/>
  <c r="E138" i="1"/>
  <c r="E139" i="1"/>
  <c r="E140" i="1"/>
  <c r="E142" i="1"/>
  <c r="E143" i="1"/>
  <c r="E144" i="1"/>
  <c r="E146" i="1"/>
  <c r="E147" i="1"/>
  <c r="E148" i="1"/>
  <c r="E151" i="1"/>
  <c r="E152" i="1"/>
  <c r="E154" i="1"/>
  <c r="E155" i="1"/>
  <c r="E157" i="1"/>
  <c r="E160" i="1"/>
  <c r="E161" i="1"/>
  <c r="E163" i="1"/>
  <c r="E164" i="1"/>
  <c r="E165" i="1"/>
  <c r="E167" i="1"/>
  <c r="E168" i="1"/>
  <c r="E169" i="1"/>
  <c r="E170" i="1"/>
  <c r="E171" i="1"/>
  <c r="E172" i="1"/>
  <c r="E173" i="1"/>
  <c r="E174" i="1"/>
  <c r="E175" i="1"/>
  <c r="E177" i="1"/>
  <c r="E178" i="1"/>
  <c r="E180" i="1"/>
  <c r="E181" i="1"/>
  <c r="E183" i="1"/>
  <c r="E184" i="1"/>
  <c r="E185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200" i="1"/>
  <c r="E201" i="1"/>
  <c r="E205" i="1"/>
  <c r="E207" i="1"/>
  <c r="E209" i="1"/>
  <c r="E210" i="1"/>
  <c r="E213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3" i="1"/>
  <c r="E235" i="1"/>
  <c r="E236" i="1"/>
  <c r="E237" i="1"/>
  <c r="E238" i="1"/>
  <c r="E239" i="1"/>
  <c r="E242" i="1"/>
  <c r="E244" i="1"/>
  <c r="E245" i="1"/>
  <c r="E246" i="1"/>
  <c r="E247" i="1"/>
  <c r="E248" i="1"/>
  <c r="E249" i="1"/>
  <c r="E250" i="1"/>
  <c r="E252" i="1"/>
  <c r="E253" i="1"/>
  <c r="E254" i="1"/>
  <c r="E255" i="1"/>
  <c r="E256" i="1"/>
  <c r="E257" i="1"/>
  <c r="E258" i="1"/>
  <c r="E260" i="1"/>
  <c r="E263" i="1"/>
  <c r="E264" i="1"/>
  <c r="E266" i="1"/>
  <c r="E267" i="1"/>
  <c r="E268" i="1"/>
  <c r="E269" i="1"/>
  <c r="E273" i="1"/>
  <c r="E274" i="1"/>
  <c r="E275" i="1"/>
  <c r="E276" i="1"/>
  <c r="E277" i="1"/>
  <c r="E278" i="1"/>
  <c r="E279" i="1"/>
  <c r="E280" i="1"/>
  <c r="E282" i="1"/>
  <c r="E283" i="1"/>
  <c r="E284" i="1"/>
  <c r="E206" i="1"/>
  <c r="E149" i="1"/>
  <c r="E2" i="1"/>
  <c r="B3" i="1"/>
  <c r="B4" i="1"/>
  <c r="B5" i="1"/>
  <c r="B6" i="1"/>
  <c r="B7" i="1"/>
  <c r="B8" i="1"/>
  <c r="B9" i="1"/>
  <c r="B10" i="1"/>
  <c r="B12" i="1"/>
  <c r="B13" i="1"/>
  <c r="B14" i="1"/>
  <c r="B15" i="1"/>
  <c r="B16" i="1"/>
  <c r="B17" i="1"/>
  <c r="B18" i="1"/>
  <c r="B20" i="1"/>
  <c r="B21" i="1"/>
  <c r="B22" i="1"/>
  <c r="B24" i="1"/>
  <c r="B26" i="1"/>
  <c r="B27" i="1"/>
  <c r="B28" i="1"/>
  <c r="B29" i="1"/>
  <c r="B30" i="1"/>
  <c r="B31" i="1"/>
  <c r="B32" i="1"/>
  <c r="B33" i="1"/>
  <c r="B35" i="1"/>
  <c r="B38" i="1"/>
  <c r="B39" i="1"/>
  <c r="B40" i="1"/>
  <c r="B41" i="1"/>
  <c r="B42" i="1"/>
  <c r="B43" i="1"/>
  <c r="B46" i="1"/>
  <c r="B50" i="1"/>
  <c r="B53" i="1"/>
  <c r="B54" i="1"/>
  <c r="B56" i="1"/>
  <c r="B59" i="1"/>
  <c r="B61" i="1"/>
  <c r="B62" i="1"/>
  <c r="B64" i="1"/>
  <c r="B65" i="1"/>
  <c r="B66" i="1"/>
  <c r="B68" i="1"/>
  <c r="B69" i="1"/>
  <c r="B70" i="1"/>
  <c r="B71" i="1"/>
  <c r="B72" i="1"/>
  <c r="B76" i="1"/>
  <c r="B77" i="1"/>
  <c r="B78" i="1"/>
  <c r="B79" i="1"/>
  <c r="B82" i="1"/>
  <c r="B83" i="1"/>
  <c r="B86" i="1"/>
  <c r="B87" i="1"/>
  <c r="B88" i="1"/>
  <c r="B89" i="1"/>
  <c r="B90" i="1"/>
  <c r="B91" i="1"/>
  <c r="B92" i="1"/>
  <c r="B93" i="1"/>
  <c r="B94" i="1"/>
  <c r="B95" i="1"/>
  <c r="B98" i="1"/>
  <c r="B99" i="1"/>
  <c r="B100" i="1"/>
  <c r="B101" i="1"/>
  <c r="B102" i="1"/>
  <c r="B103" i="1"/>
  <c r="B104" i="1"/>
  <c r="B108" i="1"/>
  <c r="B110" i="1"/>
  <c r="B113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7" i="1"/>
  <c r="B138" i="1"/>
  <c r="B139" i="1"/>
  <c r="B140" i="1"/>
  <c r="B142" i="1"/>
  <c r="B143" i="1"/>
  <c r="B144" i="1"/>
  <c r="B146" i="1"/>
  <c r="B147" i="1"/>
  <c r="B148" i="1"/>
  <c r="B151" i="1"/>
  <c r="B152" i="1"/>
  <c r="B154" i="1"/>
  <c r="B155" i="1"/>
  <c r="B157" i="1"/>
  <c r="B160" i="1"/>
  <c r="B161" i="1"/>
  <c r="B163" i="1"/>
  <c r="B164" i="1"/>
  <c r="B165" i="1"/>
  <c r="B167" i="1"/>
  <c r="B168" i="1"/>
  <c r="B169" i="1"/>
  <c r="B170" i="1"/>
  <c r="B171" i="1"/>
  <c r="B172" i="1"/>
  <c r="B173" i="1"/>
  <c r="B174" i="1"/>
  <c r="B175" i="1"/>
  <c r="B177" i="1"/>
  <c r="B178" i="1"/>
  <c r="B180" i="1"/>
  <c r="B181" i="1"/>
  <c r="B183" i="1"/>
  <c r="B184" i="1"/>
  <c r="B185" i="1"/>
  <c r="B187" i="1"/>
  <c r="B188" i="1"/>
  <c r="B189" i="1"/>
  <c r="B190" i="1"/>
  <c r="B191" i="1"/>
  <c r="B192" i="1"/>
  <c r="B193" i="1"/>
  <c r="B194" i="1"/>
  <c r="B195" i="1"/>
  <c r="B196" i="1"/>
  <c r="B197" i="1"/>
  <c r="B199" i="1"/>
  <c r="B200" i="1"/>
  <c r="B201" i="1"/>
  <c r="B205" i="1"/>
  <c r="B207" i="1"/>
  <c r="B209" i="1"/>
  <c r="B210" i="1"/>
  <c r="B213" i="1"/>
  <c r="B215" i="1"/>
  <c r="B216" i="1"/>
  <c r="B217" i="1"/>
  <c r="B218" i="1"/>
  <c r="B219" i="1"/>
  <c r="B222" i="1"/>
  <c r="B223" i="1"/>
  <c r="B224" i="1"/>
  <c r="B225" i="1"/>
  <c r="B226" i="1"/>
  <c r="B227" i="1"/>
  <c r="B228" i="1"/>
  <c r="B229" i="1"/>
  <c r="B230" i="1"/>
  <c r="B231" i="1"/>
  <c r="B233" i="1"/>
  <c r="B235" i="1"/>
  <c r="B236" i="1"/>
  <c r="B237" i="1"/>
  <c r="B238" i="1"/>
  <c r="B239" i="1"/>
  <c r="B242" i="1"/>
  <c r="B244" i="1"/>
  <c r="B245" i="1"/>
  <c r="B246" i="1"/>
  <c r="B247" i="1"/>
  <c r="B248" i="1"/>
  <c r="B249" i="1"/>
  <c r="B250" i="1"/>
  <c r="B252" i="1"/>
  <c r="B253" i="1"/>
  <c r="B254" i="1"/>
  <c r="B255" i="1"/>
  <c r="B256" i="1"/>
  <c r="B257" i="1"/>
  <c r="B258" i="1"/>
  <c r="B260" i="1"/>
  <c r="B263" i="1"/>
  <c r="B264" i="1"/>
  <c r="B266" i="1"/>
  <c r="B267" i="1"/>
  <c r="B268" i="1"/>
  <c r="B269" i="1"/>
  <c r="B273" i="1"/>
  <c r="B274" i="1"/>
  <c r="B275" i="1"/>
  <c r="B276" i="1"/>
  <c r="B277" i="1"/>
  <c r="B278" i="1"/>
  <c r="B279" i="1"/>
  <c r="B280" i="1"/>
  <c r="B282" i="1"/>
  <c r="B283" i="1"/>
  <c r="B284" i="1"/>
  <c r="B206" i="1"/>
  <c r="B149" i="1"/>
  <c r="B2" i="1"/>
</calcChain>
</file>

<file path=xl/sharedStrings.xml><?xml version="1.0" encoding="utf-8"?>
<sst xmlns="http://schemas.openxmlformats.org/spreadsheetml/2006/main" count="3465" uniqueCount="708">
  <si>
    <t>Nº.ID</t>
  </si>
  <si>
    <t>Nombre</t>
  </si>
  <si>
    <t>2ºNombre</t>
  </si>
  <si>
    <t>Dirección</t>
  </si>
  <si>
    <t>Dirección2</t>
  </si>
  <si>
    <t>Dirección3</t>
  </si>
  <si>
    <t>CP</t>
  </si>
  <si>
    <t>Ciudad</t>
  </si>
  <si>
    <t>CCAA</t>
  </si>
  <si>
    <t>País</t>
  </si>
  <si>
    <t>Tfn Casa</t>
  </si>
  <si>
    <t>Tfn. trabajo:</t>
  </si>
  <si>
    <t>Móvil</t>
  </si>
  <si>
    <t>Email</t>
  </si>
  <si>
    <t>Género</t>
  </si>
  <si>
    <t>F.Nac</t>
  </si>
  <si>
    <t>Club</t>
  </si>
  <si>
    <t>Admitidos</t>
  </si>
  <si>
    <t>Gómez Navarro</t>
  </si>
  <si>
    <t/>
  </si>
  <si>
    <t>M</t>
  </si>
  <si>
    <t>Ruiz Camara</t>
  </si>
  <si>
    <t>Miguel</t>
  </si>
  <si>
    <t>Santiago</t>
  </si>
  <si>
    <t>Carlos</t>
  </si>
  <si>
    <t>Apellido</t>
  </si>
  <si>
    <t>Maria Jose</t>
  </si>
  <si>
    <t>Cartagena</t>
  </si>
  <si>
    <t>Carlota</t>
  </si>
  <si>
    <t>Prieto Martinez</t>
  </si>
  <si>
    <t>Ynclan Pajares</t>
  </si>
  <si>
    <t>Alejandra</t>
  </si>
  <si>
    <t>Calvo Lopez</t>
  </si>
  <si>
    <t>Valeria</t>
  </si>
  <si>
    <t>Molero Lorenzo</t>
  </si>
  <si>
    <t>Rebeca</t>
  </si>
  <si>
    <t>Ibañez Cavanillas</t>
  </si>
  <si>
    <t>Celia</t>
  </si>
  <si>
    <t>Adamska</t>
  </si>
  <si>
    <t>Anna</t>
  </si>
  <si>
    <t>Cardo Rodriguez</t>
  </si>
  <si>
    <t>Rocio</t>
  </si>
  <si>
    <t>Silvestre Garcia</t>
  </si>
  <si>
    <t>Sara</t>
  </si>
  <si>
    <t>Castillo Erustes</t>
  </si>
  <si>
    <t>Teresa</t>
  </si>
  <si>
    <t>Neill</t>
  </si>
  <si>
    <t>Julie</t>
  </si>
  <si>
    <t>F</t>
  </si>
  <si>
    <t>Jose</t>
  </si>
  <si>
    <t>Jose Maria</t>
  </si>
  <si>
    <t>Revuelta Santamaria</t>
  </si>
  <si>
    <t>Eduardo</t>
  </si>
  <si>
    <t>Alfonso</t>
  </si>
  <si>
    <t>Lopez Gomez</t>
  </si>
  <si>
    <t>Navas Diaz</t>
  </si>
  <si>
    <t>Borja</t>
  </si>
  <si>
    <t>Badia Rambla</t>
  </si>
  <si>
    <t>Rodriguez-Palacan Garcia</t>
  </si>
  <si>
    <t>Andres</t>
  </si>
  <si>
    <t>Acuyo Osorio</t>
  </si>
  <si>
    <t>Mario</t>
  </si>
  <si>
    <t>Morillas Poyato</t>
  </si>
  <si>
    <t>Diego</t>
  </si>
  <si>
    <t>Francisco</t>
  </si>
  <si>
    <t>Gómez Pujalte</t>
  </si>
  <si>
    <t>César</t>
  </si>
  <si>
    <t>Garcia Barreras</t>
  </si>
  <si>
    <t>Flores Doblas</t>
  </si>
  <si>
    <t>Marcos</t>
  </si>
  <si>
    <t>Alvarez Escriva</t>
  </si>
  <si>
    <t>David</t>
  </si>
  <si>
    <t>Granados Jimenez</t>
  </si>
  <si>
    <t>Hugo</t>
  </si>
  <si>
    <t>Marin Alia Rebate</t>
  </si>
  <si>
    <t>Jacobo</t>
  </si>
  <si>
    <t>Sergio</t>
  </si>
  <si>
    <t>Medina Díaz</t>
  </si>
  <si>
    <t>Rubén</t>
  </si>
  <si>
    <t>Gutiérrez Diego</t>
  </si>
  <si>
    <t>Jorge</t>
  </si>
  <si>
    <t>Parrilla Pulido</t>
  </si>
  <si>
    <t>Emilio</t>
  </si>
  <si>
    <t>Moreno Aguilar</t>
  </si>
  <si>
    <t>Jesus</t>
  </si>
  <si>
    <t>Martínez Gallego</t>
  </si>
  <si>
    <t>Santiago Gonzalez Berjano</t>
  </si>
  <si>
    <t>Tristán</t>
  </si>
  <si>
    <t>Gallego Julian</t>
  </si>
  <si>
    <t>Angel</t>
  </si>
  <si>
    <t>Bergareche Sans</t>
  </si>
  <si>
    <t>Acevedo Diaz</t>
  </si>
  <si>
    <t>Victor</t>
  </si>
  <si>
    <t>Viñuela Villalba</t>
  </si>
  <si>
    <t>Alvarez Domeque</t>
  </si>
  <si>
    <t>Jaime</t>
  </si>
  <si>
    <t>Bermudo Mera</t>
  </si>
  <si>
    <t>Juan</t>
  </si>
  <si>
    <t>Rodrigo Hurtado Lorenzo</t>
  </si>
  <si>
    <t>Joglar Bravo</t>
  </si>
  <si>
    <t>Adrián</t>
  </si>
  <si>
    <t>Rosagro Escámez</t>
  </si>
  <si>
    <t>Camara Camara</t>
  </si>
  <si>
    <t>Pedro</t>
  </si>
  <si>
    <t>González Blanco</t>
  </si>
  <si>
    <t>Andrés</t>
  </si>
  <si>
    <t>Montejo Gonzalez</t>
  </si>
  <si>
    <t>Almenar Gonzalez</t>
  </si>
  <si>
    <t>Daniel</t>
  </si>
  <si>
    <t>Satrústegui Coca</t>
  </si>
  <si>
    <t>Reimúndez</t>
  </si>
  <si>
    <t>Javier</t>
  </si>
  <si>
    <t>Parrilla Garcia</t>
  </si>
  <si>
    <t>García Rollón</t>
  </si>
  <si>
    <t>Fraile Villanueva</t>
  </si>
  <si>
    <t>Iñaki</t>
  </si>
  <si>
    <t>Manuel</t>
  </si>
  <si>
    <t>Prieto Perez</t>
  </si>
  <si>
    <t>Alvaro</t>
  </si>
  <si>
    <t>Angulo Fernández</t>
  </si>
  <si>
    <t>Muñoz Maroto</t>
  </si>
  <si>
    <t>Edad</t>
  </si>
  <si>
    <t>Jose Mª</t>
  </si>
  <si>
    <t>Sardiña Valero</t>
  </si>
  <si>
    <t>Jimenez Jimenez</t>
  </si>
  <si>
    <t>Garcia De Mingo</t>
  </si>
  <si>
    <t>Garrido Sanjuan</t>
  </si>
  <si>
    <t>Gallego Diez</t>
  </si>
  <si>
    <t>Sereno Deudero</t>
  </si>
  <si>
    <t>Pablo</t>
  </si>
  <si>
    <t>Aparicio Rivas</t>
  </si>
  <si>
    <t>Enrique</t>
  </si>
  <si>
    <t>Torres Uriel</t>
  </si>
  <si>
    <t>Felix</t>
  </si>
  <si>
    <t>Viñuela Rubio</t>
  </si>
  <si>
    <t>Sanchez Valverde</t>
  </si>
  <si>
    <t>Oscar</t>
  </si>
  <si>
    <t>Bitan Georget</t>
  </si>
  <si>
    <t>Federico</t>
  </si>
  <si>
    <t>Satrústegui Escudero</t>
  </si>
  <si>
    <t>Gabriel</t>
  </si>
  <si>
    <t>Garrido Sánchez</t>
  </si>
  <si>
    <t>Quintin</t>
  </si>
  <si>
    <t>Nederlandt</t>
  </si>
  <si>
    <t>Laurent</t>
  </si>
  <si>
    <t>Fernandez Garcia</t>
  </si>
  <si>
    <t>Angel Luis</t>
  </si>
  <si>
    <t>José Luis</t>
  </si>
  <si>
    <t>Jose Antonio</t>
  </si>
  <si>
    <t>Juan José</t>
  </si>
  <si>
    <t>Benito Ludeña</t>
  </si>
  <si>
    <t>Gonzalez Viedma</t>
  </si>
  <si>
    <t>Ramon</t>
  </si>
  <si>
    <t>De La Iglesia López</t>
  </si>
  <si>
    <t>Cristobal Bermejo</t>
  </si>
  <si>
    <t>Sanz Moriñigo</t>
  </si>
  <si>
    <t>Ibáñez Hidalgo</t>
  </si>
  <si>
    <t>Roberto</t>
  </si>
  <si>
    <t>Hergueta Moyano</t>
  </si>
  <si>
    <t>Gargantilla Moreno</t>
  </si>
  <si>
    <t>Valencia Abad</t>
  </si>
  <si>
    <t>Jesús</t>
  </si>
  <si>
    <t>Quintero Armas</t>
  </si>
  <si>
    <t>Laudelino</t>
  </si>
  <si>
    <t>Castrillo Reizábal</t>
  </si>
  <si>
    <t>Zótico</t>
  </si>
  <si>
    <t>Leganes Sanchez</t>
  </si>
  <si>
    <t>Antonio</t>
  </si>
  <si>
    <t>Pasanau Torras</t>
  </si>
  <si>
    <t>Jose Agustín</t>
  </si>
  <si>
    <t>Campoy Rodriguez</t>
  </si>
  <si>
    <t>Jose Manuel</t>
  </si>
  <si>
    <t>Jose Luis</t>
  </si>
  <si>
    <t>Wilson</t>
  </si>
  <si>
    <t>Charlie</t>
  </si>
  <si>
    <t>López García</t>
  </si>
  <si>
    <t>Ocaña Martinez</t>
  </si>
  <si>
    <t>Diaz Navas</t>
  </si>
  <si>
    <t>Fernandez</t>
  </si>
  <si>
    <t>Juan Jose</t>
  </si>
  <si>
    <t>Rodriguez-Palanca Pliego</t>
  </si>
  <si>
    <t>Juan Manuel</t>
  </si>
  <si>
    <t>Joan Manuel</t>
  </si>
  <si>
    <t>Gomez Delgado</t>
  </si>
  <si>
    <t>Martín Rodríguez</t>
  </si>
  <si>
    <t>Rafael</t>
  </si>
  <si>
    <t>Sanz Engel</t>
  </si>
  <si>
    <t>Linares Andrade</t>
  </si>
  <si>
    <t>Garcia Alcala Nieto</t>
  </si>
  <si>
    <t>Fernando</t>
  </si>
  <si>
    <t>Lozano Puerto</t>
  </si>
  <si>
    <t>Ricardo</t>
  </si>
  <si>
    <t>Luaces</t>
  </si>
  <si>
    <t>Ignacio</t>
  </si>
  <si>
    <t>Alejandra Herminia</t>
  </si>
  <si>
    <t>Maria Rosa</t>
  </si>
  <si>
    <t>Martinez Gonzalez</t>
  </si>
  <si>
    <t>Eva</t>
  </si>
  <si>
    <t>Muriel Gutierrez</t>
  </si>
  <si>
    <t>Paloma</t>
  </si>
  <si>
    <t>Ramirez Calvo</t>
  </si>
  <si>
    <t>Monica</t>
  </si>
  <si>
    <t>Doiztúa Calero</t>
  </si>
  <si>
    <t>Pilar</t>
  </si>
  <si>
    <t>Garcia Martin</t>
  </si>
  <si>
    <t>Cordero</t>
  </si>
  <si>
    <t>M.Elena</t>
  </si>
  <si>
    <t>Arias Carracedo</t>
  </si>
  <si>
    <t>Rosa</t>
  </si>
  <si>
    <t>Rosa Maria</t>
  </si>
  <si>
    <t>Ana María</t>
  </si>
  <si>
    <t>Prieto Jimenez</t>
  </si>
  <si>
    <t>Nan Kargahi</t>
  </si>
  <si>
    <t>Manijeh</t>
  </si>
  <si>
    <t>Errejon Perez</t>
  </si>
  <si>
    <t>Carmen</t>
  </si>
  <si>
    <t>García -Villamil</t>
  </si>
  <si>
    <t>Natalia</t>
  </si>
  <si>
    <t>Lopez Cabrera</t>
  </si>
  <si>
    <t>Lorena</t>
  </si>
  <si>
    <t>Fernández Salvador</t>
  </si>
  <si>
    <t>Ojalvo Lozano</t>
  </si>
  <si>
    <t>Beatriz</t>
  </si>
  <si>
    <t>Villegas Bravo</t>
  </si>
  <si>
    <t>María José</t>
  </si>
  <si>
    <t>Bueno</t>
  </si>
  <si>
    <t>Marisa</t>
  </si>
  <si>
    <t>Jacinto Trenado</t>
  </si>
  <si>
    <t>Carolina</t>
  </si>
  <si>
    <t>Hernando Álvarez</t>
  </si>
  <si>
    <t>Marta</t>
  </si>
  <si>
    <t>Gonzalez Cano</t>
  </si>
  <si>
    <t>Garcia-Gasco Castillo</t>
  </si>
  <si>
    <t>De La Muela</t>
  </si>
  <si>
    <t>Raul</t>
  </si>
  <si>
    <t>Martinex Gonzalez</t>
  </si>
  <si>
    <t>Luis</t>
  </si>
  <si>
    <t>Iriarte Perez</t>
  </si>
  <si>
    <t>Playa Serra</t>
  </si>
  <si>
    <t>Palomar Framit</t>
  </si>
  <si>
    <t>Asier</t>
  </si>
  <si>
    <t>Hasenkamp</t>
  </si>
  <si>
    <t>Johanna</t>
  </si>
  <si>
    <t>Cuadrado Vives</t>
  </si>
  <si>
    <t>Peris López</t>
  </si>
  <si>
    <t>Mercedes</t>
  </si>
  <si>
    <t>Nieto Gallardo</t>
  </si>
  <si>
    <t>Domenec Antonio</t>
  </si>
  <si>
    <t>Juan Antonio</t>
  </si>
  <si>
    <t>Alfonso Juan</t>
  </si>
  <si>
    <t>Jose Alberto</t>
  </si>
  <si>
    <t>Julian Francisco</t>
  </si>
  <si>
    <t>Francisco Javier</t>
  </si>
  <si>
    <t>Caruso Lopez</t>
  </si>
  <si>
    <t>Espinosa</t>
  </si>
  <si>
    <t>Narbona Mazuela</t>
  </si>
  <si>
    <t>Coggins Núñez</t>
  </si>
  <si>
    <t>Frances Arnau</t>
  </si>
  <si>
    <t>Ruiz Calvo</t>
  </si>
  <si>
    <t>Hernando Gomez</t>
  </si>
  <si>
    <t>Zamora Hernandez</t>
  </si>
  <si>
    <t>Alberto</t>
  </si>
  <si>
    <t>Torres Pavon</t>
  </si>
  <si>
    <t>Cristian</t>
  </si>
  <si>
    <t>Lorenzo</t>
  </si>
  <si>
    <t>Gonzalez</t>
  </si>
  <si>
    <t>Gustavo</t>
  </si>
  <si>
    <t>Martinez Moreno</t>
  </si>
  <si>
    <t>Fernandez Arevalo</t>
  </si>
  <si>
    <t>Vicente</t>
  </si>
  <si>
    <t>Ansaldo Hernandez</t>
  </si>
  <si>
    <t>Sebastian Gonzalez</t>
  </si>
  <si>
    <t>Porras Muñoz</t>
  </si>
  <si>
    <t>Álvarez Iglesias</t>
  </si>
  <si>
    <t>Víctor</t>
  </si>
  <si>
    <t>Fernández Rebollo</t>
  </si>
  <si>
    <t>Segade Calvo</t>
  </si>
  <si>
    <t>Gonzalez Pacheco</t>
  </si>
  <si>
    <t>Catalán De La Iglesia</t>
  </si>
  <si>
    <t>Reyes</t>
  </si>
  <si>
    <t>Villoria</t>
  </si>
  <si>
    <t>Israel</t>
  </si>
  <si>
    <t>Montañez Cordobes</t>
  </si>
  <si>
    <t>De Francisco Rus</t>
  </si>
  <si>
    <t>Álvaro</t>
  </si>
  <si>
    <t>De Torres</t>
  </si>
  <si>
    <t>Gonzalo</t>
  </si>
  <si>
    <t>Sanchez Borrella</t>
  </si>
  <si>
    <t>Mendola</t>
  </si>
  <si>
    <t>De Marcos Del Pozo</t>
  </si>
  <si>
    <t>Carabias Muñoz</t>
  </si>
  <si>
    <t>Puebla Prada</t>
  </si>
  <si>
    <t>Rojo Muñoz</t>
  </si>
  <si>
    <t>Bravo Muro</t>
  </si>
  <si>
    <t>Tornero Sendra</t>
  </si>
  <si>
    <t>Baudet Vera</t>
  </si>
  <si>
    <t>Campillo</t>
  </si>
  <si>
    <t>Joel</t>
  </si>
  <si>
    <t>Espinosa Sedano</t>
  </si>
  <si>
    <t>Cuadros</t>
  </si>
  <si>
    <t>Ivan</t>
  </si>
  <si>
    <t>Aparicio Sanchez</t>
  </si>
  <si>
    <t>Báez Clemente</t>
  </si>
  <si>
    <t>Mariano</t>
  </si>
  <si>
    <t>Puebla Sánchez</t>
  </si>
  <si>
    <t>Óscar</t>
  </si>
  <si>
    <t>Gómez Laborda</t>
  </si>
  <si>
    <t>Barbero</t>
  </si>
  <si>
    <t>Segovia</t>
  </si>
  <si>
    <t>Maria Parrilla</t>
  </si>
  <si>
    <t>González Arribas</t>
  </si>
  <si>
    <t>Navas Rodriguez</t>
  </si>
  <si>
    <t>German</t>
  </si>
  <si>
    <t>Bajo Calderón</t>
  </si>
  <si>
    <t>Blanco Acedo</t>
  </si>
  <si>
    <t>Zhang</t>
  </si>
  <si>
    <t>Haoyang</t>
  </si>
  <si>
    <t>Hita Celdran</t>
  </si>
  <si>
    <t>Rey Lopez</t>
  </si>
  <si>
    <t>Gabriela Veronica</t>
  </si>
  <si>
    <t>Araceli Belen</t>
  </si>
  <si>
    <t>Ruth María</t>
  </si>
  <si>
    <t>Rodriguez Cocchi</t>
  </si>
  <si>
    <t>Álvarez</t>
  </si>
  <si>
    <t>Martínez Saiz</t>
  </si>
  <si>
    <t>Concepcion</t>
  </si>
  <si>
    <t>Savva</t>
  </si>
  <si>
    <t>Katlin</t>
  </si>
  <si>
    <t>Perez Lainez</t>
  </si>
  <si>
    <t>Candela</t>
  </si>
  <si>
    <t>Martinez Lopez</t>
  </si>
  <si>
    <t>Alvarez Bolaños</t>
  </si>
  <si>
    <t>Asuncion</t>
  </si>
  <si>
    <t>Bilbao Areitio</t>
  </si>
  <si>
    <t>Gutiérrez Quiroga</t>
  </si>
  <si>
    <t>Silvia</t>
  </si>
  <si>
    <t>Davila Alcala</t>
  </si>
  <si>
    <t>Laura</t>
  </si>
  <si>
    <t>Guerrero García</t>
  </si>
  <si>
    <t>Perez Rodriguez</t>
  </si>
  <si>
    <t>Inés</t>
  </si>
  <si>
    <t>Beltran Molina</t>
  </si>
  <si>
    <t>Julia</t>
  </si>
  <si>
    <t>Del Pozo</t>
  </si>
  <si>
    <t>Sonia</t>
  </si>
  <si>
    <t>Ferrando</t>
  </si>
  <si>
    <t>Sánchez</t>
  </si>
  <si>
    <t>Nerea</t>
  </si>
  <si>
    <t>De Dorremochea Zaldivar</t>
  </si>
  <si>
    <t>Blanca</t>
  </si>
  <si>
    <t>Lainez Jimenez</t>
  </si>
  <si>
    <t>Virginia</t>
  </si>
  <si>
    <t>García Rodríguez</t>
  </si>
  <si>
    <t>Gema</t>
  </si>
  <si>
    <t>Tinoco Avendaño</t>
  </si>
  <si>
    <t>Ivonne</t>
  </si>
  <si>
    <t>Mendez</t>
  </si>
  <si>
    <t>Sabrina</t>
  </si>
  <si>
    <t>Mendoza Mendoza</t>
  </si>
  <si>
    <t>Sanz Diéguez</t>
  </si>
  <si>
    <t>Cristina</t>
  </si>
  <si>
    <t>Derbis</t>
  </si>
  <si>
    <t>Carlos Alberto</t>
  </si>
  <si>
    <t>M Carmen</t>
  </si>
  <si>
    <t>Fco Jose</t>
  </si>
  <si>
    <t>De Miguel Gonzalez</t>
  </si>
  <si>
    <t>Perez Soto</t>
  </si>
  <si>
    <t>Ziarreta Fernandez</t>
  </si>
  <si>
    <t>Franco Herrero</t>
  </si>
  <si>
    <t>Ortiz Villoria</t>
  </si>
  <si>
    <t>Lucas</t>
  </si>
  <si>
    <t>Rodriguez</t>
  </si>
  <si>
    <t>Elisa</t>
  </si>
  <si>
    <t>Angel Martin</t>
  </si>
  <si>
    <t>Patricia</t>
  </si>
  <si>
    <t>Escolano</t>
  </si>
  <si>
    <t>Consuelo</t>
  </si>
  <si>
    <t>Romero Lopez</t>
  </si>
  <si>
    <t>Villoria Chacon</t>
  </si>
  <si>
    <t>Ibañez Rodriguez</t>
  </si>
  <si>
    <t>Rodríguez Rojano</t>
  </si>
  <si>
    <t>T0002</t>
  </si>
  <si>
    <t>T0003</t>
  </si>
  <si>
    <t>T0004</t>
  </si>
  <si>
    <t>T0005</t>
  </si>
  <si>
    <t>T0006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</si>
  <si>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</si>
  <si>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</si>
  <si>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</si>
  <si>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</si>
  <si>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</si>
  <si>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</si>
  <si>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</si>
  <si>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</si>
  <si>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</si>
  <si>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</si>
  <si>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</si>
  <si>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</si>
  <si>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</si>
  <si>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</si>
  <si>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</si>
  <si>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</si>
  <si>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</si>
  <si>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</si>
  <si>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</si>
  <si>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</si>
  <si>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T0030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</si>
  <si>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</si>
  <si>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</si>
  <si>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</si>
  <si>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</si>
  <si>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</si>
  <si>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</si>
  <si>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</si>
  <si>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</si>
  <si>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</si>
  <si>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</si>
  <si>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</si>
  <si>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</si>
  <si>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</si>
  <si>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T0046</t>
  </si>
  <si>
    <t>T0047</t>
  </si>
  <si>
    <t>T0048</t>
  </si>
  <si>
    <t>T0049</t>
  </si>
  <si>
    <t>T0050</t>
  </si>
  <si>
    <t>T0051</t>
  </si>
  <si>
    <t>T0052</t>
  </si>
  <si>
    <t>T0054</t>
  </si>
  <si>
    <t>T0055</t>
  </si>
  <si>
    <t>T0056</t>
  </si>
  <si>
    <t>T0057</t>
  </si>
  <si>
    <t>T0058</t>
  </si>
  <si>
    <t>T0059</t>
  </si>
  <si>
    <t>T0060</t>
  </si>
  <si>
    <t>Granados Sanchez</t>
  </si>
  <si>
    <t>Completo</t>
  </si>
  <si>
    <t>Chichon</t>
  </si>
  <si>
    <t>Ariza Nuñez</t>
  </si>
  <si>
    <t>Delgado</t>
  </si>
  <si>
    <t>T0061</t>
  </si>
  <si>
    <t>T0062</t>
  </si>
  <si>
    <t>T0063</t>
  </si>
  <si>
    <t>T0064</t>
  </si>
  <si>
    <t>Paiva Jardim</t>
  </si>
  <si>
    <t>Marcello</t>
  </si>
  <si>
    <t>NivelIndividual</t>
  </si>
  <si>
    <t>NivelDobles</t>
  </si>
  <si>
    <t>RatingIndividual</t>
  </si>
  <si>
    <t>RatingDobles</t>
  </si>
  <si>
    <t>MADRID</t>
  </si>
  <si>
    <t>IM</t>
  </si>
  <si>
    <t>DM</t>
  </si>
  <si>
    <t>5.0</t>
  </si>
  <si>
    <t>Illescas Cases</t>
  </si>
  <si>
    <t>Canyadell Fabregas</t>
  </si>
  <si>
    <t>Pep</t>
  </si>
  <si>
    <t>Casquero Herrero</t>
  </si>
  <si>
    <t>Marcos López</t>
  </si>
  <si>
    <t>Díaz Ibáñez</t>
  </si>
  <si>
    <t>Arias Gomar</t>
  </si>
  <si>
    <t>De Rueda De Genover</t>
  </si>
  <si>
    <t>Ignasi</t>
  </si>
  <si>
    <t>Pereira de Mattos</t>
  </si>
  <si>
    <t>Domini Elias</t>
  </si>
  <si>
    <t>Caymel Romero</t>
  </si>
  <si>
    <t>Marc</t>
  </si>
  <si>
    <t>Vega Gutierrez</t>
  </si>
  <si>
    <t>Lillo Pellies</t>
  </si>
  <si>
    <t>Horcajuelo Vicente</t>
  </si>
  <si>
    <t>Martinez Santonja</t>
  </si>
  <si>
    <t>Esteban</t>
  </si>
  <si>
    <t>CATALUÑA</t>
  </si>
  <si>
    <t>ANDALUCIA</t>
  </si>
  <si>
    <t>C. VALENCIA</t>
  </si>
  <si>
    <t>CEUTA</t>
  </si>
  <si>
    <t>Mendez Dominguez</t>
  </si>
  <si>
    <t xml:space="preserve">Derbis </t>
  </si>
  <si>
    <t>Chumillas Lidón</t>
  </si>
  <si>
    <t>Claudia</t>
  </si>
  <si>
    <t>Vazquez Ranz</t>
  </si>
  <si>
    <t>Karina</t>
  </si>
  <si>
    <t>García Álvarez</t>
  </si>
  <si>
    <t>Alicia</t>
  </si>
  <si>
    <t>Millon Soto</t>
  </si>
  <si>
    <t>Serrano Lopez</t>
  </si>
  <si>
    <t>Katherine Vanessa</t>
  </si>
  <si>
    <t>Maria</t>
  </si>
  <si>
    <t xml:space="preserve">Bitaine </t>
  </si>
  <si>
    <t>Alex</t>
  </si>
  <si>
    <t>Fierro Gonzalez</t>
  </si>
  <si>
    <t>Varo Martínez</t>
  </si>
  <si>
    <t>Vanessa</t>
  </si>
  <si>
    <t>Dominguez Luna</t>
  </si>
  <si>
    <t>Sheila</t>
  </si>
  <si>
    <t>Castells Carbonell</t>
  </si>
  <si>
    <t>Ferrer Ramon</t>
  </si>
  <si>
    <t xml:space="preserve">Hernández </t>
  </si>
  <si>
    <t>DF</t>
  </si>
  <si>
    <t>IF</t>
  </si>
  <si>
    <t>4.5</t>
  </si>
  <si>
    <t>3.5</t>
  </si>
  <si>
    <t>Cardenas Santa</t>
  </si>
  <si>
    <t>Ernesto</t>
  </si>
  <si>
    <t>Serrano Ruano</t>
  </si>
  <si>
    <t>Alexander</t>
  </si>
  <si>
    <t>Iriart Fernando</t>
  </si>
  <si>
    <t>Cuadros Joglar</t>
  </si>
  <si>
    <t>Rodriguez Requejo</t>
  </si>
  <si>
    <t>Rodriguez Serna</t>
  </si>
  <si>
    <t>Castrillo Zamora</t>
  </si>
  <si>
    <t xml:space="preserve">Jelly </t>
  </si>
  <si>
    <t>Kat</t>
  </si>
  <si>
    <t>Blanco Assanelli</t>
  </si>
  <si>
    <t>Vanesa Noelia</t>
  </si>
  <si>
    <t>García Garre</t>
  </si>
  <si>
    <t>Ana</t>
  </si>
  <si>
    <t xml:space="preserve">Olmo </t>
  </si>
  <si>
    <t>Yanes Cabrera</t>
  </si>
  <si>
    <t>Senciales del Moral</t>
  </si>
  <si>
    <t>Araceli</t>
  </si>
  <si>
    <t>Morales Herrera</t>
  </si>
  <si>
    <t>Mamen</t>
  </si>
  <si>
    <t>Capobianco Teran</t>
  </si>
  <si>
    <t>Veronica</t>
  </si>
  <si>
    <t xml:space="preserve">García </t>
  </si>
  <si>
    <t xml:space="preserve">Garcia </t>
  </si>
  <si>
    <t>Begoña</t>
  </si>
  <si>
    <t>NivelMixto</t>
  </si>
  <si>
    <t>RatingMixto</t>
  </si>
  <si>
    <t>Eneko</t>
  </si>
  <si>
    <t>Francisco Jesus</t>
  </si>
  <si>
    <t>Ferran</t>
  </si>
  <si>
    <t>Andres Alejandro</t>
  </si>
  <si>
    <t>Raquel</t>
  </si>
  <si>
    <t>Ruben</t>
  </si>
  <si>
    <t>José Maria</t>
  </si>
  <si>
    <t>Gallego Ruiz-Mateos</t>
  </si>
  <si>
    <t>Tornay Stinziano</t>
  </si>
  <si>
    <t>Baéz Fernández</t>
  </si>
  <si>
    <t>Oliver De Torres</t>
  </si>
  <si>
    <t>Novales De Diago</t>
  </si>
  <si>
    <t>Garcia Corrales</t>
  </si>
  <si>
    <t>Oliver Cruells</t>
  </si>
  <si>
    <t>Rovira Romero</t>
  </si>
  <si>
    <t xml:space="preserve">Sainz </t>
  </si>
  <si>
    <t>Cortes Barrio</t>
  </si>
  <si>
    <t>Sarabia Navajo</t>
  </si>
  <si>
    <t>Ballesteros Aguilar</t>
  </si>
  <si>
    <t>García de la Plaza Guardeño</t>
  </si>
  <si>
    <t>Alvarez Narros</t>
  </si>
  <si>
    <t>CASTILLA LEON</t>
  </si>
  <si>
    <t>DX</t>
  </si>
  <si>
    <t>Paiva Jardim, Marcello</t>
  </si>
  <si>
    <t>Marcello Paiva Jardim</t>
  </si>
  <si>
    <t>Illescas Cases, David</t>
  </si>
  <si>
    <t>David Illescas Cases</t>
  </si>
  <si>
    <t>Canyadell Fabregas, Pep</t>
  </si>
  <si>
    <t>Pep Canyadell Fabregas</t>
  </si>
  <si>
    <t>Casquero Herrero, Antonio</t>
  </si>
  <si>
    <t>Antonio Casquero Herrero</t>
  </si>
  <si>
    <t>Marcos López, Vicente</t>
  </si>
  <si>
    <t>Vicente Marcos López</t>
  </si>
  <si>
    <t>Díaz Ibáñez, Sergio</t>
  </si>
  <si>
    <t>Sergio Díaz Ibáñez</t>
  </si>
  <si>
    <t>Arias Gomar, Ramon</t>
  </si>
  <si>
    <t>Ramon Arias Gomar</t>
  </si>
  <si>
    <t>De Rueda De Genover, Ignasi</t>
  </si>
  <si>
    <t>Ignasi De Rueda De Genover</t>
  </si>
  <si>
    <t>Pereira de Mattos, Domini Elias</t>
  </si>
  <si>
    <t>Domini Elias Pereira de Mattos</t>
  </si>
  <si>
    <t>Caymel Romero, Marc</t>
  </si>
  <si>
    <t>Marc Caymel Romero</t>
  </si>
  <si>
    <t>Ruiz Calvo, Javier</t>
  </si>
  <si>
    <t>Javier Ruiz Calvo</t>
  </si>
  <si>
    <t>Vega Gutierrez, Daniel</t>
  </si>
  <si>
    <t>Daniel Vega Gutierrez</t>
  </si>
  <si>
    <t>Lillo Pellies, Sergio</t>
  </si>
  <si>
    <t>Sergio Lillo Pellies</t>
  </si>
  <si>
    <t>Horcajuelo Vicente, Alberto</t>
  </si>
  <si>
    <t>Alberto Horcajuelo Vicente</t>
  </si>
  <si>
    <t>Lopez Gomez, Miguel</t>
  </si>
  <si>
    <t>Miguel Lopez Gomez</t>
  </si>
  <si>
    <t>Martinez Santonja, Esteban</t>
  </si>
  <si>
    <t>Esteban Martinez Santonja</t>
  </si>
  <si>
    <t>Mendez Dominguez, Sabrina</t>
  </si>
  <si>
    <t>Sabrina Mendez Dominguez</t>
  </si>
  <si>
    <t>Derbis , Nerea</t>
  </si>
  <si>
    <t xml:space="preserve">Nerea Derbis </t>
  </si>
  <si>
    <t>Chumillas Lidón, Sara</t>
  </si>
  <si>
    <t>Sara Chumillas Lidón</t>
  </si>
  <si>
    <t>Cardo Rodriguez, Rocio</t>
  </si>
  <si>
    <t>Rocio Cardo Rodriguez</t>
  </si>
  <si>
    <t>Caymel Romero, Claudia</t>
  </si>
  <si>
    <t>Claudia Caymel Romero</t>
  </si>
  <si>
    <t>Vazquez Ranz, Karina</t>
  </si>
  <si>
    <t>Karina Vazquez Ranz</t>
  </si>
  <si>
    <t>García Álvarez, Alicia</t>
  </si>
  <si>
    <t>Alicia García Álvarez</t>
  </si>
  <si>
    <t>Millon Soto, Celia</t>
  </si>
  <si>
    <t>Celia Millon Soto</t>
  </si>
  <si>
    <t>Serrano Lopez, Katherine Vanessa</t>
  </si>
  <si>
    <t>Katherine Vanessa Serrano Lopez</t>
  </si>
  <si>
    <t>De Miguel Gonzalez, Maria</t>
  </si>
  <si>
    <t>Maria De Miguel Gonzalez</t>
  </si>
  <si>
    <t>Bitaine , Alex</t>
  </si>
  <si>
    <t xml:space="preserve">Alex Bitaine </t>
  </si>
  <si>
    <t>Cartagena, Carlota</t>
  </si>
  <si>
    <t>Carlota Cartagena</t>
  </si>
  <si>
    <t>Fierro Gonzalez, Monica</t>
  </si>
  <si>
    <t>Monica Fierro Gonzalez</t>
  </si>
  <si>
    <t>Varo Martínez, Vanessa</t>
  </si>
  <si>
    <t>Vanessa Varo Martínez</t>
  </si>
  <si>
    <t>Dominguez Luna, Sheila</t>
  </si>
  <si>
    <t>Sheila Dominguez Luna</t>
  </si>
  <si>
    <t>Castells Carbonell, Anna</t>
  </si>
  <si>
    <t>Anna Castells Carbonell</t>
  </si>
  <si>
    <t>Ferrer Ramon, Marta</t>
  </si>
  <si>
    <t>Marta Ferrer Ramon</t>
  </si>
  <si>
    <t>Hernández , Laura</t>
  </si>
  <si>
    <t xml:space="preserve">Laura Hernández </t>
  </si>
  <si>
    <t>Gallego Ruiz-Mateos, Javier</t>
  </si>
  <si>
    <t>Javier Gallego Ruiz-Mateos</t>
  </si>
  <si>
    <t>Prieto Perez, Álvaro</t>
  </si>
  <si>
    <t>Álvaro Prieto Perez</t>
  </si>
  <si>
    <t>Cardenas Santa, Ernesto</t>
  </si>
  <si>
    <t>Ernesto Cardenas Santa</t>
  </si>
  <si>
    <t>Perez Soto, Carlos Alberto</t>
  </si>
  <si>
    <t>Carlos Alberto Perez Soto</t>
  </si>
  <si>
    <t>Serrano Ruano, Alexander</t>
  </si>
  <si>
    <t>Alexander Serrano Ruano</t>
  </si>
  <si>
    <t>Linares Andrade, Joan Manuel</t>
  </si>
  <si>
    <t>Joan Manuel Linares Andrade</t>
  </si>
  <si>
    <t xml:space="preserve">Iriart Fernando, </t>
  </si>
  <si>
    <t xml:space="preserve"> Iriart Fernando</t>
  </si>
  <si>
    <t>Cuadros Joglar, Ivan</t>
  </si>
  <si>
    <t>Ivan Cuadros Joglar</t>
  </si>
  <si>
    <t>Rodriguez Requejo, Fernando</t>
  </si>
  <si>
    <t>Fernando Rodriguez Requejo</t>
  </si>
  <si>
    <t>Rodriguez Serna, Maria</t>
  </si>
  <si>
    <t>Maria Rodriguez Serna</t>
  </si>
  <si>
    <t>Castrillo Zamora, Patricia</t>
  </si>
  <si>
    <t>Patricia Castrillo Zamora</t>
  </si>
  <si>
    <t>Perez Lainez, Candela</t>
  </si>
  <si>
    <t>Candela Perez Lainez</t>
  </si>
  <si>
    <t>Lainez Jimenez, Virginia</t>
  </si>
  <si>
    <t>Virginia Lainez Jimenez</t>
  </si>
  <si>
    <t>Jelly , Kat</t>
  </si>
  <si>
    <t xml:space="preserve">Kat Jelly </t>
  </si>
  <si>
    <t>Blanco Assanelli, Vanesa Noelia</t>
  </si>
  <si>
    <t>Vanesa Noelia Blanco Assanelli</t>
  </si>
  <si>
    <t>García Garre, Ana</t>
  </si>
  <si>
    <t>Ana García Garre</t>
  </si>
  <si>
    <t>Olmo , Laura</t>
  </si>
  <si>
    <t xml:space="preserve">Laura Olmo </t>
  </si>
  <si>
    <t>Yanes Cabrera, Alicia</t>
  </si>
  <si>
    <t>Alicia Yanes Cabrera</t>
  </si>
  <si>
    <t>Senciales del Moral, Araceli</t>
  </si>
  <si>
    <t>Araceli Senciales del Moral</t>
  </si>
  <si>
    <t>Morales Herrera, Mamen</t>
  </si>
  <si>
    <t>Mamen Morales Herrera</t>
  </si>
  <si>
    <t>Garcia Martin, Alejandra Herminia</t>
  </si>
  <si>
    <t>Alejandra Herminia Garcia Martin</t>
  </si>
  <si>
    <t>Capobianco Teran, Veronica</t>
  </si>
  <si>
    <t>Veronica Capobianco Teran</t>
  </si>
  <si>
    <t>García , Patricia</t>
  </si>
  <si>
    <t xml:space="preserve">Patricia García </t>
  </si>
  <si>
    <t>Guerrero García, Araceli Belen</t>
  </si>
  <si>
    <t>Araceli Belen Guerrero García</t>
  </si>
  <si>
    <t>Garcia , Begoña</t>
  </si>
  <si>
    <t xml:space="preserve">Begoña Garcia </t>
  </si>
  <si>
    <t>Tornay Stinziano, Gustavo</t>
  </si>
  <si>
    <t>Gustavo Tornay Stinziano</t>
  </si>
  <si>
    <t>Baéz Fernández, Victor</t>
  </si>
  <si>
    <t>Victor Baéz Fernández</t>
  </si>
  <si>
    <t>Oliver De Torres, Jesús</t>
  </si>
  <si>
    <t>Jesús Oliver De Torres</t>
  </si>
  <si>
    <t>Novales De Diago, Eneko</t>
  </si>
  <si>
    <t>Eneko Novales De Diago</t>
  </si>
  <si>
    <t>De Marcos Del Pozo, Francisco Javier</t>
  </si>
  <si>
    <t>Francisco Javier De Marcos Del Pozo</t>
  </si>
  <si>
    <t>Garcia Corrales, Francisco Jesus</t>
  </si>
  <si>
    <t>Francisco Jesus Garcia Corrales</t>
  </si>
  <si>
    <t>Oliver Cruells, Ferran</t>
  </si>
  <si>
    <t>Ferran Oliver Cruells</t>
  </si>
  <si>
    <t>Rovira Romero, Andres Alejandro</t>
  </si>
  <si>
    <t>Andres Alejandro Rovira Romero</t>
  </si>
  <si>
    <t>Sainz , Marcos</t>
  </si>
  <si>
    <t xml:space="preserve">Marcos Sainz </t>
  </si>
  <si>
    <t>Cortes Barrio, Jose Maria</t>
  </si>
  <si>
    <t>Jose Maria Cortes Barrio</t>
  </si>
  <si>
    <t>Ziarreta Fernandez, Nerea</t>
  </si>
  <si>
    <t>Nerea Ziarreta Fernandez</t>
  </si>
  <si>
    <t>Sarabia Navajo, Raquel</t>
  </si>
  <si>
    <t>Raquel Sarabia Navajo</t>
  </si>
  <si>
    <t>Puebla Prada, Enrique</t>
  </si>
  <si>
    <t>Enrique Puebla Prada</t>
  </si>
  <si>
    <t>Ballesteros Aguilar, Ruben</t>
  </si>
  <si>
    <t>Ruben Ballesteros Aguilar</t>
  </si>
  <si>
    <t>Blanco Acedo, Francisco Javier</t>
  </si>
  <si>
    <t>Francisco Javier Blanco Acedo</t>
  </si>
  <si>
    <t>García de la Plaza Guardeño, Antonio</t>
  </si>
  <si>
    <t>Antonio García de la Plaza Guardeño</t>
  </si>
  <si>
    <t>Parrilla Garcia, José Maria</t>
  </si>
  <si>
    <t>José Maria Parrilla Garcia</t>
  </si>
  <si>
    <t>Alvarez Narros, Cristina</t>
  </si>
  <si>
    <t>Cristina Alvarez Narros</t>
  </si>
  <si>
    <t>Bilbao Areitio, Beatriz</t>
  </si>
  <si>
    <t>Beatriz Bilbao Areitio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</si>
</sst>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6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0" fillId="2" borderId="0" xfId="0" applyFill="1"/>
    <xf numFmtId="0" fontId="2" fillId="3" borderId="2" xfId="1"/>
    <xf numFmtId="14" fontId="1" fillId="0" borderId="1" xfId="0" applyNumberFormat="1" applyFont="1" applyBorder="1"/>
  </cellXfs>
  <cellStyles count="2">
    <cellStyle name="Cálculo" xfId="1" builtinId="22"/>
    <cellStyle name="Normal" xfId="0" builtinId="0"/>
  </cellStyles>
  <dxfs count="25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5"/>
  <sheetViews>
    <sheetView workbookViewId="0">
      <pane xSplit="4" ySplit="1" topLeftCell="F257" activePane="bottomRight" state="frozen"/>
      <selection pane="topRight" activeCell="D1" sqref="D1"/>
      <selection pane="bottomLeft" activeCell="A2" sqref="A2"/>
      <selection pane="bottomRight" activeCell="AA2" sqref="AA2:AA285"/>
    </sheetView>
  </sheetViews>
  <sheetFormatPr baseColWidth="10" defaultRowHeight="15" x14ac:dyDescent="0.25"/>
  <cols>
    <col min="1" max="1" width="9" customWidth="1"/>
    <col min="2" max="2" width="30.85546875" style="4" bestFit="1" customWidth="1"/>
    <col min="3" max="3" width="22.7109375" bestFit="1" customWidth="1"/>
    <col min="4" max="4" width="16.5703125" bestFit="1" customWidth="1"/>
    <col min="5" max="5" width="33" style="4" bestFit="1" customWidth="1"/>
    <col min="6" max="10" width="4.140625" customWidth="1"/>
    <col min="11" max="11" width="12" bestFit="1" customWidth="1"/>
    <col min="12" max="16" width="1.85546875" customWidth="1"/>
    <col min="17" max="17" width="8" customWidth="1"/>
    <col min="18" max="18" width="11" customWidth="1"/>
    <col min="19" max="21" width="9" bestFit="1" customWidth="1"/>
    <col min="22" max="22" width="7.28515625" bestFit="1" customWidth="1"/>
    <col min="23" max="25" width="9.85546875" bestFit="1" customWidth="1"/>
    <col min="26" max="26" width="10" customWidth="1"/>
  </cols>
  <sheetData>
    <row r="1" spans="1:27" x14ac:dyDescent="0.25">
      <c r="A1" s="1" t="s">
        <v>0</v>
      </c>
      <c r="B1" s="1" t="s">
        <v>435</v>
      </c>
      <c r="C1" s="1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445</v>
      </c>
      <c r="T1" s="1" t="s">
        <v>446</v>
      </c>
      <c r="U1" s="1" t="s">
        <v>527</v>
      </c>
      <c r="V1" s="1" t="s">
        <v>16</v>
      </c>
      <c r="W1" s="1" t="s">
        <v>447</v>
      </c>
      <c r="X1" s="1" t="s">
        <v>448</v>
      </c>
      <c r="Y1" s="1" t="s">
        <v>528</v>
      </c>
      <c r="Z1" s="1" t="s">
        <v>17</v>
      </c>
      <c r="AA1" s="1" t="s">
        <v>121</v>
      </c>
    </row>
    <row r="2" spans="1:27" x14ac:dyDescent="0.25">
      <c r="A2">
        <v>10778481</v>
      </c>
      <c r="B2" s="4" t="str">
        <f t="shared" ref="B2:B65" si="0">CONCATENATE(C2,", ", D2)</f>
        <v>Acevedo Diaz, Victor</v>
      </c>
      <c r="C2" t="s">
        <v>91</v>
      </c>
      <c r="D2" t="s">
        <v>92</v>
      </c>
      <c r="E2" s="4" t="str">
        <f t="shared" ref="E2:E65" si="1">CONCATENATE(D2," ",C2)</f>
        <v>Victor Acevedo Diaz</v>
      </c>
      <c r="Q2" t="s">
        <v>20</v>
      </c>
      <c r="R2" s="2">
        <v>30516</v>
      </c>
      <c r="AA2">
        <f ca="1">IF(ISBLANK(R2),"",((YEAR(NOW())-YEAR(R2))))</f>
        <v>41</v>
      </c>
    </row>
    <row r="3" spans="1:27" x14ac:dyDescent="0.25">
      <c r="A3">
        <v>10763937</v>
      </c>
      <c r="B3" s="4" t="str">
        <f t="shared" si="0"/>
        <v>Acuyo Osorio, Mario</v>
      </c>
      <c r="C3" t="s">
        <v>60</v>
      </c>
      <c r="D3" t="s">
        <v>61</v>
      </c>
      <c r="E3" s="4" t="str">
        <f t="shared" si="1"/>
        <v>Mario Acuyo Osorio</v>
      </c>
      <c r="Q3" t="s">
        <v>20</v>
      </c>
      <c r="R3" s="2">
        <v>33939</v>
      </c>
      <c r="AA3">
        <f t="shared" ref="AA3:AA66" ca="1" si="2">IF(ISBLANK(R3),"",((YEAR(NOW())-YEAR(R3))))</f>
        <v>32</v>
      </c>
    </row>
    <row r="4" spans="1:27" x14ac:dyDescent="0.25">
      <c r="A4">
        <v>10771500</v>
      </c>
      <c r="B4" s="4" t="str">
        <f t="shared" si="0"/>
        <v>Adamska, Anna</v>
      </c>
      <c r="C4" t="s">
        <v>38</v>
      </c>
      <c r="D4" t="s">
        <v>39</v>
      </c>
      <c r="E4" s="4" t="str">
        <f t="shared" si="1"/>
        <v>Anna Adamska</v>
      </c>
      <c r="Q4" t="s">
        <v>48</v>
      </c>
      <c r="R4" s="2">
        <v>30909</v>
      </c>
      <c r="AA4">
        <f t="shared" ca="1" si="2"/>
        <v>40</v>
      </c>
    </row>
    <row r="5" spans="1:27" x14ac:dyDescent="0.25">
      <c r="A5">
        <v>10774778</v>
      </c>
      <c r="B5" s="4" t="str">
        <f t="shared" si="0"/>
        <v>Almenar Gonzalez, Daniel</v>
      </c>
      <c r="C5" t="s">
        <v>107</v>
      </c>
      <c r="D5" t="s">
        <v>108</v>
      </c>
      <c r="E5" s="4" t="str">
        <f t="shared" si="1"/>
        <v>Daniel Almenar Gonzalez</v>
      </c>
      <c r="Q5" t="s">
        <v>20</v>
      </c>
      <c r="R5" s="2">
        <v>32841</v>
      </c>
      <c r="AA5">
        <f t="shared" ca="1" si="2"/>
        <v>35</v>
      </c>
    </row>
    <row r="6" spans="1:27" x14ac:dyDescent="0.25">
      <c r="A6">
        <v>13405643</v>
      </c>
      <c r="B6" s="4" t="str">
        <f t="shared" si="0"/>
        <v>Álvarez, Sara</v>
      </c>
      <c r="C6" t="s">
        <v>323</v>
      </c>
      <c r="D6" t="s">
        <v>43</v>
      </c>
      <c r="E6" s="4" t="str">
        <f t="shared" si="1"/>
        <v>Sara Álvarez</v>
      </c>
      <c r="Q6" t="s">
        <v>48</v>
      </c>
      <c r="R6" s="2">
        <v>32011</v>
      </c>
      <c r="AA6">
        <f t="shared" ca="1" si="2"/>
        <v>37</v>
      </c>
    </row>
    <row r="7" spans="1:27" x14ac:dyDescent="0.25">
      <c r="A7">
        <v>10768490</v>
      </c>
      <c r="B7" s="4" t="str">
        <f t="shared" si="0"/>
        <v>Alvarez Bolaños, Asuncion</v>
      </c>
      <c r="C7" t="s">
        <v>331</v>
      </c>
      <c r="D7" t="s">
        <v>332</v>
      </c>
      <c r="E7" s="4" t="str">
        <f t="shared" si="1"/>
        <v>Asuncion Alvarez Bolaños</v>
      </c>
      <c r="Q7" t="s">
        <v>48</v>
      </c>
      <c r="R7" s="2">
        <v>28387</v>
      </c>
      <c r="AA7">
        <f t="shared" ca="1" si="2"/>
        <v>47</v>
      </c>
    </row>
    <row r="8" spans="1:27" x14ac:dyDescent="0.25">
      <c r="A8">
        <v>10134930</v>
      </c>
      <c r="B8" s="4" t="str">
        <f t="shared" si="0"/>
        <v>Alvarez Domeque, Jaime</v>
      </c>
      <c r="C8" t="s">
        <v>94</v>
      </c>
      <c r="D8" t="s">
        <v>95</v>
      </c>
      <c r="E8" s="4" t="str">
        <f t="shared" si="1"/>
        <v>Jaime Alvarez Domeque</v>
      </c>
      <c r="Q8" t="s">
        <v>20</v>
      </c>
      <c r="R8" s="2">
        <v>35628</v>
      </c>
      <c r="AA8">
        <f t="shared" ca="1" si="2"/>
        <v>27</v>
      </c>
    </row>
    <row r="9" spans="1:27" x14ac:dyDescent="0.25">
      <c r="A9">
        <v>13005526</v>
      </c>
      <c r="B9" s="4" t="str">
        <f t="shared" si="0"/>
        <v>Alvarez Escriva, David</v>
      </c>
      <c r="C9" t="s">
        <v>70</v>
      </c>
      <c r="D9" t="s">
        <v>71</v>
      </c>
      <c r="E9" s="4" t="str">
        <f t="shared" si="1"/>
        <v>David Alvarez Escriva</v>
      </c>
      <c r="Q9" t="s">
        <v>20</v>
      </c>
      <c r="R9" s="2">
        <v>36925</v>
      </c>
      <c r="AA9">
        <f t="shared" ca="1" si="2"/>
        <v>23</v>
      </c>
    </row>
    <row r="10" spans="1:27" x14ac:dyDescent="0.25">
      <c r="A10">
        <v>10777615</v>
      </c>
      <c r="B10" s="4" t="str">
        <f t="shared" si="0"/>
        <v>Álvarez Iglesias, Víctor</v>
      </c>
      <c r="C10" t="s">
        <v>273</v>
      </c>
      <c r="D10" t="s">
        <v>274</v>
      </c>
      <c r="E10" s="4" t="str">
        <f t="shared" si="1"/>
        <v>Víctor Álvarez Iglesias</v>
      </c>
      <c r="Q10" t="s">
        <v>20</v>
      </c>
      <c r="R10" s="2">
        <v>29797</v>
      </c>
      <c r="AA10">
        <f t="shared" ca="1" si="2"/>
        <v>43</v>
      </c>
    </row>
    <row r="11" spans="1:27" x14ac:dyDescent="0.25">
      <c r="A11">
        <v>10574079</v>
      </c>
      <c r="B11" s="4" t="str">
        <f t="shared" si="0"/>
        <v>Alvarez Narros, Cristina</v>
      </c>
      <c r="C11" t="s">
        <v>549</v>
      </c>
      <c r="D11" t="s">
        <v>360</v>
      </c>
      <c r="E11" s="4" t="str">
        <f t="shared" si="1"/>
        <v>Cristina Alvarez Narros</v>
      </c>
      <c r="K11" t="s">
        <v>449</v>
      </c>
      <c r="Q11" t="s">
        <v>48</v>
      </c>
      <c r="U11" t="s">
        <v>551</v>
      </c>
      <c r="Y11" t="s">
        <v>499</v>
      </c>
      <c r="AA11" t="str">
        <f t="shared" ca="1" si="2"/>
        <v/>
      </c>
    </row>
    <row r="12" spans="1:27" x14ac:dyDescent="0.25">
      <c r="A12">
        <v>10772558</v>
      </c>
      <c r="B12" s="4" t="str">
        <f t="shared" si="0"/>
        <v>Angel Martin, Jose</v>
      </c>
      <c r="C12" t="s">
        <v>373</v>
      </c>
      <c r="D12" t="s">
        <v>49</v>
      </c>
      <c r="E12" s="4" t="str">
        <f t="shared" si="1"/>
        <v>Jose Angel Martin</v>
      </c>
      <c r="Q12" t="s">
        <v>20</v>
      </c>
      <c r="R12" s="2">
        <v>28324</v>
      </c>
      <c r="AA12">
        <f t="shared" ca="1" si="2"/>
        <v>47</v>
      </c>
    </row>
    <row r="13" spans="1:27" x14ac:dyDescent="0.25">
      <c r="A13">
        <v>7179733</v>
      </c>
      <c r="B13" s="4" t="str">
        <f t="shared" si="0"/>
        <v>Angulo Fernández, Javier</v>
      </c>
      <c r="C13" t="s">
        <v>119</v>
      </c>
      <c r="D13" t="s">
        <v>111</v>
      </c>
      <c r="E13" s="4" t="str">
        <f t="shared" si="1"/>
        <v>Javier Angulo Fernández</v>
      </c>
      <c r="Q13" t="s">
        <v>20</v>
      </c>
      <c r="R13" s="2">
        <v>31608</v>
      </c>
      <c r="AA13">
        <f t="shared" ca="1" si="2"/>
        <v>38</v>
      </c>
    </row>
    <row r="14" spans="1:27" x14ac:dyDescent="0.25">
      <c r="A14">
        <v>10768101</v>
      </c>
      <c r="B14" s="4" t="str">
        <f t="shared" si="0"/>
        <v>Ansaldo Hernandez, Pablo</v>
      </c>
      <c r="C14" t="s">
        <v>270</v>
      </c>
      <c r="D14" t="s">
        <v>129</v>
      </c>
      <c r="E14" s="4" t="str">
        <f t="shared" si="1"/>
        <v>Pablo Ansaldo Hernandez</v>
      </c>
      <c r="Q14" t="s">
        <v>20</v>
      </c>
      <c r="R14" s="2">
        <v>39792</v>
      </c>
      <c r="AA14">
        <f t="shared" ca="1" si="2"/>
        <v>16</v>
      </c>
    </row>
    <row r="15" spans="1:27" x14ac:dyDescent="0.25">
      <c r="A15" t="s">
        <v>381</v>
      </c>
      <c r="B15" s="4" t="str">
        <f t="shared" si="0"/>
        <v>Ansaldo Hernandez, Marcos</v>
      </c>
      <c r="C15" t="s">
        <v>270</v>
      </c>
      <c r="D15" t="s">
        <v>69</v>
      </c>
      <c r="E15" s="4" t="str">
        <f t="shared" si="1"/>
        <v>Marcos Ansaldo Hernandez</v>
      </c>
      <c r="Q15" t="s">
        <v>20</v>
      </c>
      <c r="AA15" t="str">
        <f t="shared" ca="1" si="2"/>
        <v/>
      </c>
    </row>
    <row r="16" spans="1:27" x14ac:dyDescent="0.25">
      <c r="A16">
        <v>7029368</v>
      </c>
      <c r="B16" s="4" t="str">
        <f t="shared" si="0"/>
        <v>Aparicio Rivas, Enrique</v>
      </c>
      <c r="C16" t="s">
        <v>130</v>
      </c>
      <c r="D16" t="s">
        <v>131</v>
      </c>
      <c r="E16" s="4" t="str">
        <f t="shared" si="1"/>
        <v>Enrique Aparicio Rivas</v>
      </c>
      <c r="Q16" t="s">
        <v>20</v>
      </c>
      <c r="R16" s="2">
        <v>25861</v>
      </c>
      <c r="AA16">
        <f t="shared" ca="1" si="2"/>
        <v>54</v>
      </c>
    </row>
    <row r="17" spans="1:27" x14ac:dyDescent="0.25">
      <c r="A17" t="s">
        <v>382</v>
      </c>
      <c r="B17" s="4" t="str">
        <f t="shared" si="0"/>
        <v>Aparicio Sanchez, Enrique</v>
      </c>
      <c r="C17" t="s">
        <v>301</v>
      </c>
      <c r="D17" t="s">
        <v>131</v>
      </c>
      <c r="E17" s="4" t="str">
        <f t="shared" si="1"/>
        <v>Enrique Aparicio Sanchez</v>
      </c>
      <c r="Q17" t="s">
        <v>20</v>
      </c>
      <c r="AA17" t="str">
        <f t="shared" ca="1" si="2"/>
        <v/>
      </c>
    </row>
    <row r="18" spans="1:27" x14ac:dyDescent="0.25">
      <c r="A18">
        <v>10768581</v>
      </c>
      <c r="B18" s="4" t="str">
        <f t="shared" si="0"/>
        <v>Arias Carracedo, Maria Rosa</v>
      </c>
      <c r="C18" t="s">
        <v>207</v>
      </c>
      <c r="D18" t="s">
        <v>195</v>
      </c>
      <c r="E18" s="4" t="str">
        <f t="shared" si="1"/>
        <v>Maria Rosa Arias Carracedo</v>
      </c>
      <c r="Q18" t="s">
        <v>48</v>
      </c>
      <c r="R18" s="2">
        <v>25357</v>
      </c>
      <c r="AA18">
        <f t="shared" ca="1" si="2"/>
        <v>55</v>
      </c>
    </row>
    <row r="19" spans="1:27" x14ac:dyDescent="0.25">
      <c r="A19">
        <v>16952980</v>
      </c>
      <c r="B19" s="4" t="str">
        <f t="shared" si="0"/>
        <v>Arias Gomar, Ramon</v>
      </c>
      <c r="C19" t="s">
        <v>459</v>
      </c>
      <c r="D19" t="s">
        <v>152</v>
      </c>
      <c r="E19" s="4" t="str">
        <f t="shared" si="1"/>
        <v>Ramon Arias Gomar</v>
      </c>
      <c r="K19" t="s">
        <v>472</v>
      </c>
      <c r="Q19" t="s">
        <v>20</v>
      </c>
      <c r="S19" t="s">
        <v>450</v>
      </c>
      <c r="T19" t="s">
        <v>451</v>
      </c>
      <c r="W19" t="s">
        <v>452</v>
      </c>
      <c r="X19" t="s">
        <v>452</v>
      </c>
      <c r="AA19" t="str">
        <f t="shared" ca="1" si="2"/>
        <v/>
      </c>
    </row>
    <row r="20" spans="1:27" x14ac:dyDescent="0.25">
      <c r="A20" s="3" t="s">
        <v>439</v>
      </c>
      <c r="B20" s="4" t="str">
        <f t="shared" si="0"/>
        <v>Ariza Nuñez, Manuel</v>
      </c>
      <c r="C20" t="s">
        <v>437</v>
      </c>
      <c r="D20" t="s">
        <v>116</v>
      </c>
      <c r="E20" s="4" t="str">
        <f t="shared" si="1"/>
        <v>Manuel Ariza Nuñez</v>
      </c>
      <c r="AA20" t="str">
        <f t="shared" ca="1" si="2"/>
        <v/>
      </c>
    </row>
    <row r="21" spans="1:27" x14ac:dyDescent="0.25">
      <c r="A21">
        <v>10770742</v>
      </c>
      <c r="B21" s="4" t="str">
        <f t="shared" si="0"/>
        <v>Badia Rambla, Carlos</v>
      </c>
      <c r="C21" t="s">
        <v>57</v>
      </c>
      <c r="D21" t="s">
        <v>24</v>
      </c>
      <c r="E21" s="4" t="str">
        <f t="shared" si="1"/>
        <v>Carlos Badia Rambla</v>
      </c>
      <c r="Q21" t="s">
        <v>20</v>
      </c>
      <c r="R21" s="2">
        <v>32230</v>
      </c>
      <c r="AA21">
        <f t="shared" ca="1" si="2"/>
        <v>36</v>
      </c>
    </row>
    <row r="22" spans="1:27" x14ac:dyDescent="0.25">
      <c r="A22" t="s">
        <v>383</v>
      </c>
      <c r="B22" s="4" t="str">
        <f t="shared" si="0"/>
        <v>Báez Clemente, Mariano</v>
      </c>
      <c r="C22" t="s">
        <v>302</v>
      </c>
      <c r="D22" t="s">
        <v>303</v>
      </c>
      <c r="E22" s="4" t="str">
        <f t="shared" si="1"/>
        <v>Mariano Báez Clemente</v>
      </c>
      <c r="Q22" t="s">
        <v>20</v>
      </c>
      <c r="AA22" t="str">
        <f t="shared" ca="1" si="2"/>
        <v/>
      </c>
    </row>
    <row r="23" spans="1:27" x14ac:dyDescent="0.25">
      <c r="A23">
        <v>16952378</v>
      </c>
      <c r="B23" s="4" t="str">
        <f t="shared" si="0"/>
        <v>Baéz Fernández, Victor</v>
      </c>
      <c r="C23" t="s">
        <v>538</v>
      </c>
      <c r="D23" t="s">
        <v>92</v>
      </c>
      <c r="E23" s="4" t="str">
        <f t="shared" si="1"/>
        <v>Victor Baéz Fernández</v>
      </c>
      <c r="K23" t="s">
        <v>472</v>
      </c>
      <c r="Q23" t="s">
        <v>20</v>
      </c>
      <c r="U23" t="s">
        <v>551</v>
      </c>
      <c r="Y23" t="s">
        <v>499</v>
      </c>
      <c r="AA23" t="str">
        <f t="shared" ca="1" si="2"/>
        <v/>
      </c>
    </row>
    <row r="24" spans="1:27" x14ac:dyDescent="0.25">
      <c r="A24" t="s">
        <v>384</v>
      </c>
      <c r="B24" s="4" t="str">
        <f t="shared" si="0"/>
        <v>Bajo Calderón, Daniel</v>
      </c>
      <c r="C24" t="s">
        <v>313</v>
      </c>
      <c r="D24" t="s">
        <v>108</v>
      </c>
      <c r="E24" s="4" t="str">
        <f t="shared" si="1"/>
        <v>Daniel Bajo Calderón</v>
      </c>
      <c r="Q24" t="s">
        <v>20</v>
      </c>
      <c r="AA24" t="str">
        <f t="shared" ca="1" si="2"/>
        <v/>
      </c>
    </row>
    <row r="25" spans="1:27" x14ac:dyDescent="0.25">
      <c r="A25">
        <v>16953053</v>
      </c>
      <c r="B25" s="4" t="str">
        <f t="shared" si="0"/>
        <v>Ballesteros Aguilar, Ruben</v>
      </c>
      <c r="C25" t="s">
        <v>547</v>
      </c>
      <c r="D25" t="s">
        <v>534</v>
      </c>
      <c r="E25" s="4" t="str">
        <f t="shared" si="1"/>
        <v>Ruben Ballesteros Aguilar</v>
      </c>
      <c r="K25" t="s">
        <v>472</v>
      </c>
      <c r="Q25" t="s">
        <v>20</v>
      </c>
      <c r="U25" t="s">
        <v>551</v>
      </c>
      <c r="Y25" t="s">
        <v>499</v>
      </c>
      <c r="AA25" t="str">
        <f t="shared" ca="1" si="2"/>
        <v/>
      </c>
    </row>
    <row r="26" spans="1:27" x14ac:dyDescent="0.25">
      <c r="A26">
        <v>10772920</v>
      </c>
      <c r="B26" s="4" t="str">
        <f t="shared" si="0"/>
        <v>Barbero, Lorena</v>
      </c>
      <c r="C26" t="s">
        <v>307</v>
      </c>
      <c r="D26" t="s">
        <v>219</v>
      </c>
      <c r="E26" s="4" t="str">
        <f t="shared" si="1"/>
        <v>Lorena Barbero</v>
      </c>
      <c r="Q26" t="s">
        <v>48</v>
      </c>
      <c r="R26" s="2">
        <v>30285</v>
      </c>
      <c r="AA26">
        <f t="shared" ca="1" si="2"/>
        <v>42</v>
      </c>
    </row>
    <row r="27" spans="1:27" x14ac:dyDescent="0.25">
      <c r="A27">
        <v>10778837</v>
      </c>
      <c r="B27" s="4" t="str">
        <f t="shared" si="0"/>
        <v>Barbero, Jose</v>
      </c>
      <c r="C27" t="s">
        <v>307</v>
      </c>
      <c r="D27" t="s">
        <v>49</v>
      </c>
      <c r="E27" s="4" t="str">
        <f t="shared" si="1"/>
        <v>Jose Barbero</v>
      </c>
      <c r="Q27" t="s">
        <v>20</v>
      </c>
      <c r="R27" s="2">
        <v>26726</v>
      </c>
      <c r="AA27">
        <f t="shared" ca="1" si="2"/>
        <v>51</v>
      </c>
    </row>
    <row r="28" spans="1:27" x14ac:dyDescent="0.25">
      <c r="A28" t="s">
        <v>385</v>
      </c>
      <c r="B28" s="4" t="str">
        <f t="shared" si="0"/>
        <v>Baudet Vera, Rafael</v>
      </c>
      <c r="C28" t="s">
        <v>295</v>
      </c>
      <c r="D28" t="s">
        <v>185</v>
      </c>
      <c r="E28" s="4" t="str">
        <f t="shared" si="1"/>
        <v>Rafael Baudet Vera</v>
      </c>
      <c r="Q28" t="s">
        <v>20</v>
      </c>
      <c r="AA28" t="str">
        <f t="shared" ca="1" si="2"/>
        <v/>
      </c>
    </row>
    <row r="29" spans="1:27" x14ac:dyDescent="0.25">
      <c r="A29">
        <v>5819521</v>
      </c>
      <c r="B29" s="4" t="str">
        <f t="shared" si="0"/>
        <v>Beltran Molina, Julia</v>
      </c>
      <c r="C29" t="s">
        <v>341</v>
      </c>
      <c r="D29" t="s">
        <v>342</v>
      </c>
      <c r="E29" s="4" t="str">
        <f t="shared" si="1"/>
        <v>Julia Beltran Molina</v>
      </c>
      <c r="Q29" t="s">
        <v>48</v>
      </c>
      <c r="R29" s="2">
        <v>34548</v>
      </c>
      <c r="AA29">
        <f t="shared" ca="1" si="2"/>
        <v>30</v>
      </c>
    </row>
    <row r="30" spans="1:27" x14ac:dyDescent="0.25">
      <c r="A30">
        <v>10765602</v>
      </c>
      <c r="B30" s="4" t="str">
        <f t="shared" si="0"/>
        <v>Benito Ludeña, José Luis</v>
      </c>
      <c r="C30" t="s">
        <v>150</v>
      </c>
      <c r="D30" t="s">
        <v>147</v>
      </c>
      <c r="E30" s="4" t="str">
        <f t="shared" si="1"/>
        <v>José Luis Benito Ludeña</v>
      </c>
      <c r="Q30" t="s">
        <v>20</v>
      </c>
      <c r="R30" s="2">
        <v>22083</v>
      </c>
      <c r="AA30">
        <f t="shared" ca="1" si="2"/>
        <v>64</v>
      </c>
    </row>
    <row r="31" spans="1:27" x14ac:dyDescent="0.25">
      <c r="A31">
        <v>10110146</v>
      </c>
      <c r="B31" s="4" t="str">
        <f t="shared" si="0"/>
        <v>Bergareche Sans, Borja</v>
      </c>
      <c r="C31" t="s">
        <v>90</v>
      </c>
      <c r="D31" t="s">
        <v>56</v>
      </c>
      <c r="E31" s="4" t="str">
        <f t="shared" si="1"/>
        <v>Borja Bergareche Sans</v>
      </c>
      <c r="Q31" t="s">
        <v>20</v>
      </c>
      <c r="R31" s="2">
        <v>31037</v>
      </c>
      <c r="AA31">
        <f t="shared" ca="1" si="2"/>
        <v>40</v>
      </c>
    </row>
    <row r="32" spans="1:27" x14ac:dyDescent="0.25">
      <c r="A32">
        <v>10602250</v>
      </c>
      <c r="B32" s="4" t="str">
        <f t="shared" si="0"/>
        <v>Bermudo Mera, Juan</v>
      </c>
      <c r="C32" t="s">
        <v>96</v>
      </c>
      <c r="D32" t="s">
        <v>97</v>
      </c>
      <c r="E32" s="4" t="str">
        <f t="shared" si="1"/>
        <v>Juan Bermudo Mera</v>
      </c>
      <c r="Q32" t="s">
        <v>20</v>
      </c>
      <c r="R32" s="2">
        <v>34134</v>
      </c>
      <c r="AA32">
        <f t="shared" ca="1" si="2"/>
        <v>31</v>
      </c>
    </row>
    <row r="33" spans="1:27" x14ac:dyDescent="0.25">
      <c r="A33">
        <v>10574095</v>
      </c>
      <c r="B33" s="4" t="str">
        <f t="shared" si="0"/>
        <v>Bilbao Areitio, Beatriz</v>
      </c>
      <c r="C33" t="s">
        <v>333</v>
      </c>
      <c r="D33" t="s">
        <v>222</v>
      </c>
      <c r="E33" s="4" t="str">
        <f t="shared" si="1"/>
        <v>Beatriz Bilbao Areitio</v>
      </c>
      <c r="Q33" t="s">
        <v>48</v>
      </c>
      <c r="R33" s="2">
        <v>35388</v>
      </c>
      <c r="AA33">
        <f t="shared" ca="1" si="2"/>
        <v>28</v>
      </c>
    </row>
    <row r="34" spans="1:27" x14ac:dyDescent="0.25">
      <c r="A34">
        <v>10767418</v>
      </c>
      <c r="B34" s="4" t="str">
        <f t="shared" si="0"/>
        <v>Bitaine , Alex</v>
      </c>
      <c r="C34" t="s">
        <v>487</v>
      </c>
      <c r="D34" t="s">
        <v>488</v>
      </c>
      <c r="E34" s="4" t="str">
        <f t="shared" si="1"/>
        <v xml:space="preserve">Alex Bitaine </v>
      </c>
      <c r="K34" t="s">
        <v>449</v>
      </c>
      <c r="Q34" t="s">
        <v>48</v>
      </c>
      <c r="S34" t="s">
        <v>498</v>
      </c>
      <c r="T34" t="s">
        <v>497</v>
      </c>
      <c r="U34" t="s">
        <v>551</v>
      </c>
      <c r="W34" t="s">
        <v>499</v>
      </c>
      <c r="X34" t="s">
        <v>499</v>
      </c>
      <c r="Y34" t="s">
        <v>499</v>
      </c>
      <c r="AA34" t="str">
        <f t="shared" ca="1" si="2"/>
        <v/>
      </c>
    </row>
    <row r="35" spans="1:27" x14ac:dyDescent="0.25">
      <c r="A35">
        <v>10081610</v>
      </c>
      <c r="B35" s="4" t="str">
        <f t="shared" si="0"/>
        <v>Bitan Georget, Federico</v>
      </c>
      <c r="C35" t="s">
        <v>137</v>
      </c>
      <c r="D35" t="s">
        <v>138</v>
      </c>
      <c r="E35" s="4" t="str">
        <f t="shared" si="1"/>
        <v>Federico Bitan Georget</v>
      </c>
      <c r="Q35" t="s">
        <v>20</v>
      </c>
      <c r="R35" s="2">
        <v>25791</v>
      </c>
      <c r="AA35">
        <f t="shared" ca="1" si="2"/>
        <v>54</v>
      </c>
    </row>
    <row r="36" spans="1:27" x14ac:dyDescent="0.25">
      <c r="A36">
        <v>10765983</v>
      </c>
      <c r="B36" s="4" t="str">
        <f t="shared" si="0"/>
        <v>Blanco Acedo, Francisco Javier</v>
      </c>
      <c r="C36" t="s">
        <v>314</v>
      </c>
      <c r="D36" t="s">
        <v>252</v>
      </c>
      <c r="E36" s="4" t="str">
        <f t="shared" si="1"/>
        <v>Francisco Javier Blanco Acedo</v>
      </c>
      <c r="K36" t="s">
        <v>449</v>
      </c>
      <c r="Q36" t="s">
        <v>20</v>
      </c>
      <c r="U36" t="s">
        <v>551</v>
      </c>
      <c r="Y36" t="s">
        <v>499</v>
      </c>
      <c r="AA36" t="str">
        <f t="shared" ca="1" si="2"/>
        <v/>
      </c>
    </row>
    <row r="37" spans="1:27" x14ac:dyDescent="0.25">
      <c r="A37">
        <v>16952906</v>
      </c>
      <c r="B37" s="4" t="str">
        <f t="shared" si="0"/>
        <v>Blanco Assanelli, Vanesa Noelia</v>
      </c>
      <c r="C37" t="s">
        <v>512</v>
      </c>
      <c r="D37" t="s">
        <v>513</v>
      </c>
      <c r="E37" s="4" t="str">
        <f t="shared" si="1"/>
        <v>Vanesa Noelia Blanco Assanelli</v>
      </c>
      <c r="K37" t="s">
        <v>472</v>
      </c>
      <c r="Q37" t="s">
        <v>48</v>
      </c>
      <c r="T37" t="s">
        <v>497</v>
      </c>
      <c r="U37" t="s">
        <v>551</v>
      </c>
      <c r="X37" t="s">
        <v>499</v>
      </c>
      <c r="Y37" t="s">
        <v>499</v>
      </c>
      <c r="AA37" t="str">
        <f t="shared" ca="1" si="2"/>
        <v/>
      </c>
    </row>
    <row r="38" spans="1:27" x14ac:dyDescent="0.25">
      <c r="A38">
        <v>10771237</v>
      </c>
      <c r="B38" s="4" t="str">
        <f t="shared" si="0"/>
        <v>Bravo Muro, Raul</v>
      </c>
      <c r="C38" t="s">
        <v>293</v>
      </c>
      <c r="D38" t="s">
        <v>234</v>
      </c>
      <c r="E38" s="4" t="str">
        <f t="shared" si="1"/>
        <v>Raul Bravo Muro</v>
      </c>
      <c r="Q38" t="s">
        <v>20</v>
      </c>
      <c r="R38" s="2">
        <v>28688</v>
      </c>
      <c r="AA38">
        <f t="shared" ca="1" si="2"/>
        <v>46</v>
      </c>
    </row>
    <row r="39" spans="1:27" x14ac:dyDescent="0.25">
      <c r="A39">
        <v>10773150</v>
      </c>
      <c r="B39" s="4" t="str">
        <f t="shared" si="0"/>
        <v>Bueno, Marisa</v>
      </c>
      <c r="C39" t="s">
        <v>225</v>
      </c>
      <c r="D39" t="s">
        <v>226</v>
      </c>
      <c r="E39" s="4" t="str">
        <f t="shared" si="1"/>
        <v>Marisa Bueno</v>
      </c>
      <c r="Q39" t="s">
        <v>48</v>
      </c>
      <c r="R39" s="2">
        <v>25515</v>
      </c>
      <c r="AA39">
        <f t="shared" ca="1" si="2"/>
        <v>55</v>
      </c>
    </row>
    <row r="40" spans="1:27" x14ac:dyDescent="0.25">
      <c r="A40">
        <v>10640755</v>
      </c>
      <c r="B40" s="4" t="str">
        <f t="shared" si="0"/>
        <v>Calvo Lopez, Valeria</v>
      </c>
      <c r="C40" t="s">
        <v>32</v>
      </c>
      <c r="D40" t="s">
        <v>33</v>
      </c>
      <c r="E40" s="4" t="str">
        <f t="shared" si="1"/>
        <v>Valeria Calvo Lopez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48</v>
      </c>
      <c r="R40" s="2">
        <v>41241</v>
      </c>
      <c r="AA40">
        <f t="shared" ca="1" si="2"/>
        <v>12</v>
      </c>
    </row>
    <row r="41" spans="1:27" x14ac:dyDescent="0.25">
      <c r="A41">
        <v>14043335</v>
      </c>
      <c r="B41" s="4" t="str">
        <f t="shared" si="0"/>
        <v>Camara Camara, Pedro</v>
      </c>
      <c r="C41" t="s">
        <v>102</v>
      </c>
      <c r="D41" t="s">
        <v>103</v>
      </c>
      <c r="E41" s="4" t="str">
        <f t="shared" si="1"/>
        <v>Pedro Camara Camara</v>
      </c>
      <c r="Q41" t="s">
        <v>20</v>
      </c>
      <c r="R41" s="2">
        <v>37679</v>
      </c>
      <c r="AA41">
        <f t="shared" ca="1" si="2"/>
        <v>21</v>
      </c>
    </row>
    <row r="42" spans="1:27" x14ac:dyDescent="0.25">
      <c r="A42" t="s">
        <v>386</v>
      </c>
      <c r="B42" s="4" t="str">
        <f t="shared" si="0"/>
        <v>Campillo, Joel</v>
      </c>
      <c r="C42" t="s">
        <v>296</v>
      </c>
      <c r="D42" t="s">
        <v>297</v>
      </c>
      <c r="E42" s="4" t="str">
        <f t="shared" si="1"/>
        <v>Joel Campillo</v>
      </c>
      <c r="Q42" t="s">
        <v>20</v>
      </c>
      <c r="AA42" t="str">
        <f t="shared" ca="1" si="2"/>
        <v/>
      </c>
    </row>
    <row r="43" spans="1:27" x14ac:dyDescent="0.25">
      <c r="A43">
        <v>10768044</v>
      </c>
      <c r="B43" s="4" t="str">
        <f t="shared" si="0"/>
        <v>Campoy Rodriguez, Jose Agustín</v>
      </c>
      <c r="C43" t="s">
        <v>170</v>
      </c>
      <c r="D43" t="s">
        <v>169</v>
      </c>
      <c r="E43" s="4" t="str">
        <f t="shared" si="1"/>
        <v>Jose Agustín Campoy Rodriguez</v>
      </c>
      <c r="Q43" t="s">
        <v>20</v>
      </c>
      <c r="R43" s="2">
        <v>23148</v>
      </c>
      <c r="AA43">
        <f t="shared" ca="1" si="2"/>
        <v>61</v>
      </c>
    </row>
    <row r="44" spans="1:27" x14ac:dyDescent="0.25">
      <c r="A44">
        <v>6836467</v>
      </c>
      <c r="B44" s="4" t="str">
        <f t="shared" si="0"/>
        <v>Canyadell Fabregas, Pep</v>
      </c>
      <c r="C44" t="s">
        <v>454</v>
      </c>
      <c r="D44" t="s">
        <v>455</v>
      </c>
      <c r="E44" s="4" t="str">
        <f t="shared" si="1"/>
        <v>Pep Canyadell Fabregas</v>
      </c>
      <c r="K44" t="s">
        <v>471</v>
      </c>
      <c r="Q44" t="s">
        <v>20</v>
      </c>
      <c r="S44" t="s">
        <v>450</v>
      </c>
      <c r="T44" t="s">
        <v>451</v>
      </c>
      <c r="U44" t="s">
        <v>551</v>
      </c>
      <c r="W44" t="s">
        <v>452</v>
      </c>
      <c r="X44" t="s">
        <v>452</v>
      </c>
      <c r="Y44" t="s">
        <v>452</v>
      </c>
      <c r="AA44" t="str">
        <f t="shared" ca="1" si="2"/>
        <v/>
      </c>
    </row>
    <row r="45" spans="1:27" x14ac:dyDescent="0.25">
      <c r="A45">
        <v>11857763</v>
      </c>
      <c r="B45" s="4" t="str">
        <f t="shared" si="0"/>
        <v>Capobianco Teran, Veronica</v>
      </c>
      <c r="C45" t="s">
        <v>522</v>
      </c>
      <c r="D45" t="s">
        <v>523</v>
      </c>
      <c r="E45" s="4" t="str">
        <f t="shared" si="1"/>
        <v>Veronica Capobianco Teran</v>
      </c>
      <c r="K45" t="s">
        <v>471</v>
      </c>
      <c r="Q45" t="s">
        <v>48</v>
      </c>
      <c r="T45" t="s">
        <v>497</v>
      </c>
      <c r="U45" t="s">
        <v>551</v>
      </c>
      <c r="X45" t="s">
        <v>499</v>
      </c>
      <c r="Y45" t="s">
        <v>499</v>
      </c>
      <c r="AA45" t="str">
        <f t="shared" ca="1" si="2"/>
        <v/>
      </c>
    </row>
    <row r="46" spans="1:27" x14ac:dyDescent="0.25">
      <c r="A46">
        <v>10770677</v>
      </c>
      <c r="B46" s="4" t="str">
        <f t="shared" si="0"/>
        <v>Carabias Muñoz, Roberto</v>
      </c>
      <c r="C46" t="s">
        <v>290</v>
      </c>
      <c r="D46" t="s">
        <v>157</v>
      </c>
      <c r="E46" s="4" t="str">
        <f t="shared" si="1"/>
        <v>Roberto Carabias Muñoz</v>
      </c>
      <c r="Q46" t="s">
        <v>20</v>
      </c>
      <c r="R46" s="2">
        <v>32883</v>
      </c>
      <c r="AA46">
        <f t="shared" ca="1" si="2"/>
        <v>34</v>
      </c>
    </row>
    <row r="47" spans="1:27" x14ac:dyDescent="0.25">
      <c r="A47">
        <v>10768185</v>
      </c>
      <c r="B47" s="4" t="str">
        <f t="shared" si="0"/>
        <v>Cardenas Santa, Ernesto</v>
      </c>
      <c r="C47" t="s">
        <v>501</v>
      </c>
      <c r="D47" t="s">
        <v>502</v>
      </c>
      <c r="E47" s="4" t="str">
        <f t="shared" si="1"/>
        <v>Ernesto Cardenas Santa</v>
      </c>
      <c r="Q47" t="s">
        <v>20</v>
      </c>
      <c r="S47" t="s">
        <v>450</v>
      </c>
      <c r="T47" t="s">
        <v>451</v>
      </c>
      <c r="U47" t="s">
        <v>551</v>
      </c>
      <c r="W47" t="s">
        <v>452</v>
      </c>
      <c r="X47" t="s">
        <v>452</v>
      </c>
      <c r="Y47" t="s">
        <v>452</v>
      </c>
      <c r="AA47" t="str">
        <f t="shared" ca="1" si="2"/>
        <v/>
      </c>
    </row>
    <row r="48" spans="1:27" x14ac:dyDescent="0.25">
      <c r="A48">
        <v>10768911</v>
      </c>
      <c r="B48" s="4" t="str">
        <f t="shared" si="0"/>
        <v>Cardo Rodriguez, Rocio</v>
      </c>
      <c r="C48" t="s">
        <v>40</v>
      </c>
      <c r="D48" t="s">
        <v>41</v>
      </c>
      <c r="E48" s="4" t="str">
        <f t="shared" si="1"/>
        <v>Rocio Cardo Rodriguez</v>
      </c>
      <c r="K48" t="s">
        <v>449</v>
      </c>
      <c r="Q48" t="s">
        <v>48</v>
      </c>
      <c r="R48" s="2">
        <v>32449</v>
      </c>
      <c r="S48" t="s">
        <v>498</v>
      </c>
      <c r="T48" t="s">
        <v>497</v>
      </c>
      <c r="U48" t="s">
        <v>551</v>
      </c>
      <c r="W48" t="s">
        <v>452</v>
      </c>
      <c r="X48" t="s">
        <v>452</v>
      </c>
      <c r="Y48" t="s">
        <v>452</v>
      </c>
      <c r="AA48">
        <f t="shared" ca="1" si="2"/>
        <v>36</v>
      </c>
    </row>
    <row r="49" spans="1:27" x14ac:dyDescent="0.25">
      <c r="A49">
        <v>10058320</v>
      </c>
      <c r="B49" s="4" t="str">
        <f t="shared" si="0"/>
        <v>Cartagena, Carlota</v>
      </c>
      <c r="C49" t="s">
        <v>27</v>
      </c>
      <c r="D49" t="s">
        <v>28</v>
      </c>
      <c r="E49" s="4" t="str">
        <f t="shared" si="1"/>
        <v>Carlota Cartagena</v>
      </c>
      <c r="K49" t="s">
        <v>449</v>
      </c>
      <c r="Q49" t="s">
        <v>48</v>
      </c>
      <c r="R49" s="2">
        <v>35899</v>
      </c>
      <c r="S49" t="s">
        <v>498</v>
      </c>
      <c r="T49" t="s">
        <v>497</v>
      </c>
      <c r="W49" t="s">
        <v>499</v>
      </c>
      <c r="AA49">
        <f t="shared" ca="1" si="2"/>
        <v>26</v>
      </c>
    </row>
    <row r="50" spans="1:27" x14ac:dyDescent="0.25">
      <c r="A50">
        <v>10768664</v>
      </c>
      <c r="B50" s="4" t="str">
        <f t="shared" si="0"/>
        <v>Caruso Lopez, Domenec Antonio</v>
      </c>
      <c r="C50" t="s">
        <v>253</v>
      </c>
      <c r="D50" t="s">
        <v>247</v>
      </c>
      <c r="E50" s="4" t="str">
        <f t="shared" si="1"/>
        <v>Domenec Antonio Caruso Lopez</v>
      </c>
      <c r="Q50" t="s">
        <v>20</v>
      </c>
      <c r="R50" s="2">
        <v>33128</v>
      </c>
      <c r="AA50">
        <f t="shared" ca="1" si="2"/>
        <v>34</v>
      </c>
    </row>
    <row r="51" spans="1:27" x14ac:dyDescent="0.25">
      <c r="A51">
        <v>16952360</v>
      </c>
      <c r="B51" s="4" t="str">
        <f t="shared" si="0"/>
        <v>Casquero Herrero, Antonio</v>
      </c>
      <c r="C51" t="s">
        <v>456</v>
      </c>
      <c r="D51" t="s">
        <v>167</v>
      </c>
      <c r="E51" s="4" t="str">
        <f t="shared" si="1"/>
        <v>Antonio Casquero Herrero</v>
      </c>
      <c r="K51" t="s">
        <v>472</v>
      </c>
      <c r="Q51" t="s">
        <v>20</v>
      </c>
      <c r="S51" t="s">
        <v>450</v>
      </c>
      <c r="T51" t="s">
        <v>451</v>
      </c>
      <c r="W51" t="s">
        <v>452</v>
      </c>
      <c r="X51" t="s">
        <v>452</v>
      </c>
      <c r="AA51" t="str">
        <f t="shared" ca="1" si="2"/>
        <v/>
      </c>
    </row>
    <row r="52" spans="1:27" x14ac:dyDescent="0.25">
      <c r="A52">
        <v>11855626</v>
      </c>
      <c r="B52" s="4" t="str">
        <f t="shared" si="0"/>
        <v>Castells Carbonell, Anna</v>
      </c>
      <c r="C52" t="s">
        <v>494</v>
      </c>
      <c r="D52" t="s">
        <v>39</v>
      </c>
      <c r="E52" s="4" t="str">
        <f t="shared" si="1"/>
        <v>Anna Castells Carbonell</v>
      </c>
      <c r="K52" t="s">
        <v>471</v>
      </c>
      <c r="Q52" t="s">
        <v>48</v>
      </c>
      <c r="S52" t="s">
        <v>498</v>
      </c>
      <c r="T52" t="s">
        <v>497</v>
      </c>
      <c r="W52" t="s">
        <v>500</v>
      </c>
      <c r="AA52" t="str">
        <f t="shared" ca="1" si="2"/>
        <v/>
      </c>
    </row>
    <row r="53" spans="1:27" x14ac:dyDescent="0.25">
      <c r="A53">
        <v>10771584</v>
      </c>
      <c r="B53" s="4" t="str">
        <f t="shared" si="0"/>
        <v>Castillo Erustes, Teresa</v>
      </c>
      <c r="C53" t="s">
        <v>44</v>
      </c>
      <c r="D53" t="s">
        <v>45</v>
      </c>
      <c r="E53" s="4" t="str">
        <f t="shared" si="1"/>
        <v>Teresa Castillo Erustes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48</v>
      </c>
      <c r="R53" s="2">
        <v>36626</v>
      </c>
      <c r="AA53">
        <f t="shared" ca="1" si="2"/>
        <v>24</v>
      </c>
    </row>
    <row r="54" spans="1:27" x14ac:dyDescent="0.25">
      <c r="A54">
        <v>10042042</v>
      </c>
      <c r="B54" s="4" t="str">
        <f t="shared" si="0"/>
        <v>Castrillo Reizábal, Zótico</v>
      </c>
      <c r="C54" t="s">
        <v>164</v>
      </c>
      <c r="D54" t="s">
        <v>165</v>
      </c>
      <c r="E54" s="4" t="str">
        <f t="shared" si="1"/>
        <v>Zótico Castrillo Reizábal</v>
      </c>
      <c r="Q54" t="s">
        <v>20</v>
      </c>
      <c r="R54" s="2">
        <v>19562</v>
      </c>
      <c r="AA54">
        <f t="shared" ca="1" si="2"/>
        <v>71</v>
      </c>
    </row>
    <row r="55" spans="1:27" x14ac:dyDescent="0.25">
      <c r="A55">
        <v>10530089</v>
      </c>
      <c r="B55" s="4" t="str">
        <f t="shared" si="0"/>
        <v>Castrillo Zamora, Patricia</v>
      </c>
      <c r="C55" t="s">
        <v>509</v>
      </c>
      <c r="D55" t="s">
        <v>374</v>
      </c>
      <c r="E55" s="4" t="str">
        <f t="shared" si="1"/>
        <v>Patricia Castrillo Zamora</v>
      </c>
      <c r="K55" t="s">
        <v>449</v>
      </c>
      <c r="Q55" t="s">
        <v>48</v>
      </c>
      <c r="T55" t="s">
        <v>497</v>
      </c>
      <c r="U55" t="s">
        <v>551</v>
      </c>
      <c r="X55" t="s">
        <v>452</v>
      </c>
      <c r="Y55" t="s">
        <v>452</v>
      </c>
      <c r="AA55" t="str">
        <f t="shared" ca="1" si="2"/>
        <v/>
      </c>
    </row>
    <row r="56" spans="1:27" x14ac:dyDescent="0.25">
      <c r="A56">
        <v>10778738</v>
      </c>
      <c r="B56" s="4" t="str">
        <f t="shared" si="0"/>
        <v>Catalán De La Iglesia, Jose</v>
      </c>
      <c r="C56" t="s">
        <v>278</v>
      </c>
      <c r="D56" t="s">
        <v>49</v>
      </c>
      <c r="E56" s="4" t="str">
        <f t="shared" si="1"/>
        <v>Jose Catalán De La Iglesia</v>
      </c>
      <c r="Q56" t="s">
        <v>20</v>
      </c>
      <c r="R56" s="2">
        <v>32578</v>
      </c>
      <c r="AA56">
        <f t="shared" ca="1" si="2"/>
        <v>35</v>
      </c>
    </row>
    <row r="57" spans="1:27" x14ac:dyDescent="0.25">
      <c r="A57">
        <v>11855501</v>
      </c>
      <c r="B57" s="4" t="str">
        <f t="shared" si="0"/>
        <v>Caymel Romero, Claudia</v>
      </c>
      <c r="C57" t="s">
        <v>464</v>
      </c>
      <c r="D57" t="s">
        <v>478</v>
      </c>
      <c r="E57" s="4" t="str">
        <f t="shared" si="1"/>
        <v>Claudia Caymel Romero</v>
      </c>
      <c r="K57" t="s">
        <v>471</v>
      </c>
      <c r="Q57" t="s">
        <v>48</v>
      </c>
      <c r="S57" t="s">
        <v>498</v>
      </c>
      <c r="T57" t="s">
        <v>497</v>
      </c>
      <c r="U57" t="s">
        <v>551</v>
      </c>
      <c r="W57" t="s">
        <v>452</v>
      </c>
      <c r="X57" t="s">
        <v>452</v>
      </c>
      <c r="Y57" t="s">
        <v>452</v>
      </c>
      <c r="AA57" t="str">
        <f t="shared" ca="1" si="2"/>
        <v/>
      </c>
    </row>
    <row r="58" spans="1:27" x14ac:dyDescent="0.25">
      <c r="A58">
        <v>11855642</v>
      </c>
      <c r="B58" s="4" t="str">
        <f t="shared" si="0"/>
        <v>Caymel Romero, Marc</v>
      </c>
      <c r="C58" t="s">
        <v>464</v>
      </c>
      <c r="D58" t="s">
        <v>465</v>
      </c>
      <c r="E58" s="4" t="str">
        <f t="shared" si="1"/>
        <v>Marc Caymel Romero</v>
      </c>
      <c r="K58" t="s">
        <v>471</v>
      </c>
      <c r="Q58" t="s">
        <v>20</v>
      </c>
      <c r="S58" t="s">
        <v>450</v>
      </c>
      <c r="T58" t="s">
        <v>451</v>
      </c>
      <c r="U58" t="s">
        <v>551</v>
      </c>
      <c r="W58" t="s">
        <v>452</v>
      </c>
      <c r="X58" t="s">
        <v>452</v>
      </c>
      <c r="Y58" t="s">
        <v>452</v>
      </c>
      <c r="AA58" t="str">
        <f t="shared" ca="1" si="2"/>
        <v/>
      </c>
    </row>
    <row r="59" spans="1:27" x14ac:dyDescent="0.25">
      <c r="A59" s="3" t="s">
        <v>440</v>
      </c>
      <c r="B59" s="4" t="str">
        <f t="shared" si="0"/>
        <v>Chichon, David</v>
      </c>
      <c r="C59" t="s">
        <v>436</v>
      </c>
      <c r="D59" t="s">
        <v>71</v>
      </c>
      <c r="E59" s="4" t="str">
        <f t="shared" si="1"/>
        <v>David Chichon</v>
      </c>
      <c r="AA59" t="str">
        <f t="shared" ca="1" si="2"/>
        <v/>
      </c>
    </row>
    <row r="60" spans="1:27" x14ac:dyDescent="0.25">
      <c r="A60">
        <v>8318942</v>
      </c>
      <c r="B60" s="4" t="str">
        <f t="shared" si="0"/>
        <v>Chumillas Lidón, Sara</v>
      </c>
      <c r="C60" t="s">
        <v>477</v>
      </c>
      <c r="D60" t="s">
        <v>43</v>
      </c>
      <c r="E60" s="4" t="str">
        <f t="shared" si="1"/>
        <v>Sara Chumillas Lidón</v>
      </c>
      <c r="K60" t="s">
        <v>449</v>
      </c>
      <c r="Q60" t="s">
        <v>48</v>
      </c>
      <c r="S60" t="s">
        <v>498</v>
      </c>
      <c r="T60" t="s">
        <v>497</v>
      </c>
      <c r="U60" t="s">
        <v>551</v>
      </c>
      <c r="W60" t="s">
        <v>452</v>
      </c>
      <c r="X60" t="s">
        <v>452</v>
      </c>
      <c r="Y60" t="s">
        <v>452</v>
      </c>
      <c r="AA60" t="str">
        <f t="shared" ca="1" si="2"/>
        <v/>
      </c>
    </row>
    <row r="61" spans="1:27" x14ac:dyDescent="0.25">
      <c r="A61">
        <v>10770510</v>
      </c>
      <c r="B61" s="4" t="str">
        <f t="shared" si="0"/>
        <v>Coggins Núñez, Daniel</v>
      </c>
      <c r="C61" t="s">
        <v>256</v>
      </c>
      <c r="D61" t="s">
        <v>108</v>
      </c>
      <c r="E61" s="4" t="str">
        <f t="shared" si="1"/>
        <v>Daniel Coggins Núñez</v>
      </c>
      <c r="Q61" t="s">
        <v>20</v>
      </c>
      <c r="R61" s="2">
        <v>33256</v>
      </c>
      <c r="AA61">
        <f t="shared" ca="1" si="2"/>
        <v>33</v>
      </c>
    </row>
    <row r="62" spans="1:27" x14ac:dyDescent="0.25">
      <c r="A62">
        <v>10771831</v>
      </c>
      <c r="B62" s="4" t="str">
        <f t="shared" si="0"/>
        <v>Cordero, M.Elena</v>
      </c>
      <c r="C62" t="s">
        <v>205</v>
      </c>
      <c r="D62" t="s">
        <v>206</v>
      </c>
      <c r="E62" s="4" t="str">
        <f t="shared" si="1"/>
        <v>M.Elena Cordero</v>
      </c>
      <c r="Q62" t="s">
        <v>48</v>
      </c>
      <c r="R62" s="2">
        <v>26204</v>
      </c>
      <c r="AA62">
        <f t="shared" ca="1" si="2"/>
        <v>53</v>
      </c>
    </row>
    <row r="63" spans="1:27" x14ac:dyDescent="0.25">
      <c r="A63">
        <v>10766303</v>
      </c>
      <c r="B63" s="4" t="str">
        <f t="shared" si="0"/>
        <v>Cortes Barrio, Jose Maria</v>
      </c>
      <c r="C63" t="s">
        <v>545</v>
      </c>
      <c r="D63" t="s">
        <v>50</v>
      </c>
      <c r="E63" s="4" t="str">
        <f t="shared" si="1"/>
        <v>Jose Maria Cortes Barrio</v>
      </c>
      <c r="K63" t="s">
        <v>449</v>
      </c>
      <c r="Q63" t="s">
        <v>20</v>
      </c>
      <c r="U63" t="s">
        <v>551</v>
      </c>
      <c r="Y63" t="s">
        <v>499</v>
      </c>
      <c r="AA63" t="str">
        <f t="shared" ca="1" si="2"/>
        <v/>
      </c>
    </row>
    <row r="64" spans="1:27" x14ac:dyDescent="0.25">
      <c r="A64">
        <v>10770669</v>
      </c>
      <c r="B64" s="4" t="str">
        <f t="shared" si="0"/>
        <v>Cristobal Bermejo, Jose Antonio</v>
      </c>
      <c r="C64" t="s">
        <v>154</v>
      </c>
      <c r="D64" t="s">
        <v>148</v>
      </c>
      <c r="E64" s="4" t="str">
        <f t="shared" si="1"/>
        <v>Jose Antonio Cristobal Bermejo</v>
      </c>
      <c r="Q64" t="s">
        <v>20</v>
      </c>
      <c r="R64" s="2">
        <v>19734</v>
      </c>
      <c r="AA64">
        <f t="shared" ca="1" si="2"/>
        <v>70</v>
      </c>
    </row>
    <row r="65" spans="1:27" x14ac:dyDescent="0.25">
      <c r="A65" t="s">
        <v>387</v>
      </c>
      <c r="B65" s="4" t="str">
        <f t="shared" si="0"/>
        <v>Cuadrado Vives, Carmen</v>
      </c>
      <c r="C65" t="s">
        <v>243</v>
      </c>
      <c r="D65" t="s">
        <v>215</v>
      </c>
      <c r="E65" s="4" t="str">
        <f t="shared" si="1"/>
        <v>Carmen Cuadrado Vives</v>
      </c>
      <c r="Q65" t="s">
        <v>48</v>
      </c>
      <c r="AA65" t="str">
        <f t="shared" ca="1" si="2"/>
        <v/>
      </c>
    </row>
    <row r="66" spans="1:27" x14ac:dyDescent="0.25">
      <c r="A66" t="s">
        <v>388</v>
      </c>
      <c r="B66" s="4" t="str">
        <f t="shared" ref="B66:B129" si="3">CONCATENATE(C66,", ", D66)</f>
        <v>Cuadros, Ivan</v>
      </c>
      <c r="C66" t="s">
        <v>299</v>
      </c>
      <c r="D66" t="s">
        <v>300</v>
      </c>
      <c r="E66" s="4" t="str">
        <f t="shared" ref="E66:E129" si="4">CONCATENATE(D66," ",C66)</f>
        <v>Ivan Cuadros</v>
      </c>
      <c r="Q66" t="s">
        <v>20</v>
      </c>
      <c r="AA66" t="str">
        <f t="shared" ca="1" si="2"/>
        <v/>
      </c>
    </row>
    <row r="67" spans="1:27" x14ac:dyDescent="0.25">
      <c r="A67">
        <v>16307672</v>
      </c>
      <c r="B67" s="4" t="str">
        <f t="shared" si="3"/>
        <v>Cuadros Joglar, Ivan</v>
      </c>
      <c r="C67" t="s">
        <v>506</v>
      </c>
      <c r="D67" t="s">
        <v>300</v>
      </c>
      <c r="E67" s="4" t="str">
        <f t="shared" si="4"/>
        <v>Ivan Cuadros Joglar</v>
      </c>
      <c r="Q67" t="s">
        <v>20</v>
      </c>
      <c r="S67" t="s">
        <v>450</v>
      </c>
      <c r="T67" t="s">
        <v>451</v>
      </c>
      <c r="W67" t="s">
        <v>452</v>
      </c>
      <c r="X67" t="s">
        <v>452</v>
      </c>
      <c r="AA67" t="str">
        <f t="shared" ref="AA67:AA130" ca="1" si="5">IF(ISBLANK(R67),"",((YEAR(NOW())-YEAR(R67))))</f>
        <v/>
      </c>
    </row>
    <row r="68" spans="1:27" x14ac:dyDescent="0.25">
      <c r="A68">
        <v>10778209</v>
      </c>
      <c r="B68" s="4" t="str">
        <f t="shared" si="3"/>
        <v>Davila Alcala, Laura</v>
      </c>
      <c r="C68" t="s">
        <v>336</v>
      </c>
      <c r="D68" t="s">
        <v>337</v>
      </c>
      <c r="E68" s="4" t="str">
        <f t="shared" si="4"/>
        <v>Laura Davila Alcala</v>
      </c>
      <c r="Q68" t="s">
        <v>48</v>
      </c>
      <c r="R68" s="2">
        <v>28273</v>
      </c>
      <c r="AA68">
        <f t="shared" ca="1" si="5"/>
        <v>47</v>
      </c>
    </row>
    <row r="69" spans="1:27" x14ac:dyDescent="0.25">
      <c r="A69" t="s">
        <v>389</v>
      </c>
      <c r="B69" s="4" t="str">
        <f t="shared" si="3"/>
        <v>De Dorremochea Zaldivar, Blanca</v>
      </c>
      <c r="C69" t="s">
        <v>348</v>
      </c>
      <c r="D69" t="s">
        <v>349</v>
      </c>
      <c r="E69" s="4" t="str">
        <f t="shared" si="4"/>
        <v>Blanca De Dorremochea Zaldivar</v>
      </c>
      <c r="Q69" t="s">
        <v>48</v>
      </c>
      <c r="AA69" t="str">
        <f t="shared" ca="1" si="5"/>
        <v/>
      </c>
    </row>
    <row r="70" spans="1:27" x14ac:dyDescent="0.25">
      <c r="A70">
        <v>10782846</v>
      </c>
      <c r="B70" s="4" t="str">
        <f t="shared" si="3"/>
        <v>De Francisco Rus, Álvaro</v>
      </c>
      <c r="C70" t="s">
        <v>283</v>
      </c>
      <c r="D70" t="s">
        <v>284</v>
      </c>
      <c r="E70" s="4" t="str">
        <f t="shared" si="4"/>
        <v>Álvaro De Francisco Rus</v>
      </c>
      <c r="Q70" t="s">
        <v>20</v>
      </c>
      <c r="R70" s="2">
        <v>32431</v>
      </c>
      <c r="AA70">
        <f t="shared" ca="1" si="5"/>
        <v>36</v>
      </c>
    </row>
    <row r="71" spans="1:27" x14ac:dyDescent="0.25">
      <c r="A71">
        <v>10772871</v>
      </c>
      <c r="B71" s="4" t="str">
        <f t="shared" si="3"/>
        <v>De La Iglesia López, Javier</v>
      </c>
      <c r="C71" t="s">
        <v>153</v>
      </c>
      <c r="D71" t="s">
        <v>111</v>
      </c>
      <c r="E71" s="4" t="str">
        <f t="shared" si="4"/>
        <v>Javier De La Iglesia López</v>
      </c>
      <c r="Q71" t="s">
        <v>20</v>
      </c>
      <c r="R71" s="2">
        <v>22312</v>
      </c>
      <c r="AA71">
        <f t="shared" ca="1" si="5"/>
        <v>63</v>
      </c>
    </row>
    <row r="72" spans="1:27" x14ac:dyDescent="0.25">
      <c r="A72" t="s">
        <v>390</v>
      </c>
      <c r="B72" s="4" t="str">
        <f t="shared" si="3"/>
        <v>De La Muela, Raul</v>
      </c>
      <c r="C72" t="s">
        <v>233</v>
      </c>
      <c r="D72" t="s">
        <v>234</v>
      </c>
      <c r="E72" s="4" t="str">
        <f t="shared" si="4"/>
        <v>Raul De La Muela</v>
      </c>
      <c r="Q72" t="s">
        <v>20</v>
      </c>
      <c r="AA72" t="str">
        <f t="shared" ca="1" si="5"/>
        <v/>
      </c>
    </row>
    <row r="73" spans="1:27" x14ac:dyDescent="0.25">
      <c r="A73">
        <v>10767153</v>
      </c>
      <c r="B73" s="4" t="str">
        <f t="shared" si="3"/>
        <v>De Marcos Del Pozo, Francisco Javier</v>
      </c>
      <c r="C73" t="s">
        <v>289</v>
      </c>
      <c r="D73" t="s">
        <v>252</v>
      </c>
      <c r="E73" s="4" t="str">
        <f t="shared" si="4"/>
        <v>Francisco Javier De Marcos Del Pozo</v>
      </c>
      <c r="K73" t="s">
        <v>449</v>
      </c>
      <c r="Q73" t="s">
        <v>20</v>
      </c>
      <c r="R73" s="2">
        <v>31848</v>
      </c>
      <c r="U73" t="s">
        <v>551</v>
      </c>
      <c r="Y73" t="s">
        <v>499</v>
      </c>
      <c r="AA73">
        <f t="shared" ca="1" si="5"/>
        <v>37</v>
      </c>
    </row>
    <row r="74" spans="1:27" x14ac:dyDescent="0.25">
      <c r="A74">
        <v>10768804</v>
      </c>
      <c r="B74" s="4" t="str">
        <f t="shared" si="3"/>
        <v>De Miguel Gonzalez, Maria</v>
      </c>
      <c r="C74" t="s">
        <v>365</v>
      </c>
      <c r="D74" t="s">
        <v>486</v>
      </c>
      <c r="E74" s="4" t="str">
        <f t="shared" si="4"/>
        <v>Maria De Miguel Gonzalez</v>
      </c>
      <c r="K74" t="s">
        <v>449</v>
      </c>
      <c r="Q74" t="s">
        <v>48</v>
      </c>
      <c r="R74" s="2">
        <v>31433</v>
      </c>
      <c r="S74" t="s">
        <v>498</v>
      </c>
      <c r="T74" t="s">
        <v>497</v>
      </c>
      <c r="W74" t="s">
        <v>499</v>
      </c>
      <c r="AA74">
        <f t="shared" ca="1" si="5"/>
        <v>38</v>
      </c>
    </row>
    <row r="75" spans="1:27" x14ac:dyDescent="0.25">
      <c r="A75">
        <v>6723903</v>
      </c>
      <c r="B75" s="4" t="str">
        <f t="shared" si="3"/>
        <v>De Rueda De Genover, Ignasi</v>
      </c>
      <c r="C75" t="s">
        <v>460</v>
      </c>
      <c r="D75" t="s">
        <v>461</v>
      </c>
      <c r="E75" s="4" t="str">
        <f t="shared" si="4"/>
        <v>Ignasi De Rueda De Genover</v>
      </c>
      <c r="K75" t="s">
        <v>471</v>
      </c>
      <c r="Q75" t="s">
        <v>20</v>
      </c>
      <c r="S75" t="s">
        <v>450</v>
      </c>
      <c r="T75" t="s">
        <v>451</v>
      </c>
      <c r="U75" t="s">
        <v>551</v>
      </c>
      <c r="W75" t="s">
        <v>452</v>
      </c>
      <c r="X75" t="s">
        <v>452</v>
      </c>
      <c r="Y75" t="s">
        <v>452</v>
      </c>
      <c r="AA75" t="str">
        <f t="shared" ca="1" si="5"/>
        <v/>
      </c>
    </row>
    <row r="76" spans="1:27" x14ac:dyDescent="0.25">
      <c r="A76">
        <v>10785501</v>
      </c>
      <c r="B76" s="4" t="str">
        <f t="shared" si="3"/>
        <v>De Torres, Gonzalo</v>
      </c>
      <c r="C76" t="s">
        <v>285</v>
      </c>
      <c r="D76" t="s">
        <v>286</v>
      </c>
      <c r="E76" s="4" t="str">
        <f t="shared" si="4"/>
        <v>Gonzalo De Torres</v>
      </c>
      <c r="Q76" t="s">
        <v>20</v>
      </c>
      <c r="R76" s="2">
        <v>32685</v>
      </c>
      <c r="AA76">
        <f t="shared" ca="1" si="5"/>
        <v>35</v>
      </c>
    </row>
    <row r="77" spans="1:27" x14ac:dyDescent="0.25">
      <c r="A77" t="s">
        <v>391</v>
      </c>
      <c r="B77" s="4" t="str">
        <f t="shared" si="3"/>
        <v>Del Pozo, Sonia</v>
      </c>
      <c r="C77" t="s">
        <v>343</v>
      </c>
      <c r="D77" t="s">
        <v>344</v>
      </c>
      <c r="E77" s="4" t="str">
        <f t="shared" si="4"/>
        <v>Sonia Del Pozo</v>
      </c>
      <c r="Q77" t="s">
        <v>48</v>
      </c>
      <c r="AA77" t="str">
        <f t="shared" ca="1" si="5"/>
        <v/>
      </c>
    </row>
    <row r="78" spans="1:27" x14ac:dyDescent="0.25">
      <c r="A78" s="3" t="s">
        <v>441</v>
      </c>
      <c r="B78" s="4" t="str">
        <f t="shared" si="3"/>
        <v>Delgado, Marcos</v>
      </c>
      <c r="C78" t="s">
        <v>438</v>
      </c>
      <c r="D78" t="s">
        <v>69</v>
      </c>
      <c r="E78" s="4" t="str">
        <f t="shared" si="4"/>
        <v>Marcos Delgado</v>
      </c>
      <c r="AA78" t="str">
        <f t="shared" ca="1" si="5"/>
        <v/>
      </c>
    </row>
    <row r="79" spans="1:27" x14ac:dyDescent="0.25">
      <c r="A79" t="s">
        <v>392</v>
      </c>
      <c r="B79" s="4" t="str">
        <f t="shared" si="3"/>
        <v>Derbis, Nerea</v>
      </c>
      <c r="C79" t="s">
        <v>361</v>
      </c>
      <c r="D79" t="s">
        <v>347</v>
      </c>
      <c r="E79" s="4" t="str">
        <f t="shared" si="4"/>
        <v>Nerea Derbis</v>
      </c>
      <c r="Q79" t="s">
        <v>48</v>
      </c>
      <c r="AA79" t="str">
        <f t="shared" ca="1" si="5"/>
        <v/>
      </c>
    </row>
    <row r="80" spans="1:27" x14ac:dyDescent="0.25">
      <c r="A80">
        <v>10769042</v>
      </c>
      <c r="B80" s="4" t="str">
        <f t="shared" si="3"/>
        <v>Derbis , Nerea</v>
      </c>
      <c r="C80" t="s">
        <v>476</v>
      </c>
      <c r="D80" t="s">
        <v>347</v>
      </c>
      <c r="E80" s="4" t="str">
        <f t="shared" si="4"/>
        <v xml:space="preserve">Nerea Derbis </v>
      </c>
      <c r="K80" t="s">
        <v>449</v>
      </c>
      <c r="Q80" t="s">
        <v>48</v>
      </c>
      <c r="S80" t="s">
        <v>498</v>
      </c>
      <c r="T80" t="s">
        <v>497</v>
      </c>
      <c r="U80" t="s">
        <v>551</v>
      </c>
      <c r="W80" t="s">
        <v>452</v>
      </c>
      <c r="X80" t="s">
        <v>452</v>
      </c>
      <c r="Y80" t="s">
        <v>452</v>
      </c>
      <c r="AA80" t="str">
        <f t="shared" ca="1" si="5"/>
        <v/>
      </c>
    </row>
    <row r="81" spans="1:27" x14ac:dyDescent="0.25">
      <c r="A81">
        <v>16307820</v>
      </c>
      <c r="B81" s="4" t="str">
        <f t="shared" si="3"/>
        <v>Díaz Ibáñez, Sergio</v>
      </c>
      <c r="C81" t="s">
        <v>458</v>
      </c>
      <c r="D81" t="s">
        <v>76</v>
      </c>
      <c r="E81" s="4" t="str">
        <f t="shared" si="4"/>
        <v>Sergio Díaz Ibáñez</v>
      </c>
      <c r="K81" t="s">
        <v>474</v>
      </c>
      <c r="Q81" t="s">
        <v>20</v>
      </c>
      <c r="R81" s="2">
        <v>34517</v>
      </c>
      <c r="S81" t="s">
        <v>450</v>
      </c>
      <c r="T81" t="s">
        <v>451</v>
      </c>
      <c r="W81" t="s">
        <v>452</v>
      </c>
      <c r="X81" t="s">
        <v>452</v>
      </c>
      <c r="AA81">
        <f t="shared" ca="1" si="5"/>
        <v>30</v>
      </c>
    </row>
    <row r="82" spans="1:27" x14ac:dyDescent="0.25">
      <c r="A82" t="s">
        <v>393</v>
      </c>
      <c r="B82" s="4" t="str">
        <f t="shared" si="3"/>
        <v>Diaz Navas, Ramon</v>
      </c>
      <c r="C82" t="s">
        <v>177</v>
      </c>
      <c r="D82" t="s">
        <v>152</v>
      </c>
      <c r="E82" s="4" t="str">
        <f t="shared" si="4"/>
        <v>Ramon Diaz Navas</v>
      </c>
      <c r="Q82" t="s">
        <v>20</v>
      </c>
      <c r="AA82" t="str">
        <f t="shared" ca="1" si="5"/>
        <v/>
      </c>
    </row>
    <row r="83" spans="1:27" x14ac:dyDescent="0.25">
      <c r="A83">
        <v>10770643</v>
      </c>
      <c r="B83" s="4" t="str">
        <f t="shared" si="3"/>
        <v>Doiztúa Calero, Pilar</v>
      </c>
      <c r="C83" t="s">
        <v>202</v>
      </c>
      <c r="D83" t="s">
        <v>203</v>
      </c>
      <c r="E83" s="4" t="str">
        <f t="shared" si="4"/>
        <v>Pilar Doiztúa Calero</v>
      </c>
      <c r="Q83" t="s">
        <v>48</v>
      </c>
      <c r="R83" s="2">
        <v>23450</v>
      </c>
      <c r="AA83">
        <f t="shared" ca="1" si="5"/>
        <v>60</v>
      </c>
    </row>
    <row r="84" spans="1:27" x14ac:dyDescent="0.25">
      <c r="A84">
        <v>11087344</v>
      </c>
      <c r="B84" s="4" t="str">
        <f t="shared" si="3"/>
        <v>Dominguez Luna, Sheila</v>
      </c>
      <c r="C84" t="s">
        <v>492</v>
      </c>
      <c r="D84" t="s">
        <v>493</v>
      </c>
      <c r="E84" s="4" t="str">
        <f t="shared" si="4"/>
        <v>Sheila Dominguez Luna</v>
      </c>
      <c r="K84" t="s">
        <v>471</v>
      </c>
      <c r="Q84" t="s">
        <v>48</v>
      </c>
      <c r="S84" t="s">
        <v>498</v>
      </c>
      <c r="W84" t="s">
        <v>500</v>
      </c>
      <c r="AA84" t="str">
        <f t="shared" ca="1" si="5"/>
        <v/>
      </c>
    </row>
    <row r="85" spans="1:27" x14ac:dyDescent="0.25">
      <c r="A85">
        <v>11855882</v>
      </c>
      <c r="B85" s="4" t="str">
        <f t="shared" si="3"/>
        <v>Dominguez Luna, Sheila</v>
      </c>
      <c r="C85" t="s">
        <v>492</v>
      </c>
      <c r="D85" t="s">
        <v>493</v>
      </c>
      <c r="E85" s="4" t="str">
        <f t="shared" si="4"/>
        <v>Sheila Dominguez Luna</v>
      </c>
      <c r="K85" t="s">
        <v>471</v>
      </c>
      <c r="Q85" t="s">
        <v>48</v>
      </c>
      <c r="T85" t="s">
        <v>497</v>
      </c>
      <c r="U85" t="s">
        <v>551</v>
      </c>
      <c r="X85" t="s">
        <v>452</v>
      </c>
      <c r="Y85" t="s">
        <v>452</v>
      </c>
      <c r="AA85" t="str">
        <f t="shared" ca="1" si="5"/>
        <v/>
      </c>
    </row>
    <row r="86" spans="1:27" x14ac:dyDescent="0.25">
      <c r="A86">
        <v>10770495</v>
      </c>
      <c r="B86" s="4" t="str">
        <f t="shared" si="3"/>
        <v>Errejon Perez, Carmen</v>
      </c>
      <c r="C86" t="s">
        <v>214</v>
      </c>
      <c r="D86" t="s">
        <v>215</v>
      </c>
      <c r="E86" s="4" t="str">
        <f t="shared" si="4"/>
        <v>Carmen Errejon Perez</v>
      </c>
      <c r="Q86" t="s">
        <v>48</v>
      </c>
      <c r="R86" s="2">
        <v>24706</v>
      </c>
      <c r="AA86">
        <f t="shared" ca="1" si="5"/>
        <v>57</v>
      </c>
    </row>
    <row r="87" spans="1:27" x14ac:dyDescent="0.25">
      <c r="A87" t="s">
        <v>394</v>
      </c>
      <c r="B87" s="4" t="str">
        <f t="shared" si="3"/>
        <v>Escolano, Consuelo</v>
      </c>
      <c r="C87" t="s">
        <v>375</v>
      </c>
      <c r="D87" t="s">
        <v>376</v>
      </c>
      <c r="E87" s="4" t="str">
        <f t="shared" si="4"/>
        <v>Consuelo Escolano</v>
      </c>
      <c r="Q87" t="s">
        <v>48</v>
      </c>
      <c r="AA87" t="str">
        <f t="shared" ca="1" si="5"/>
        <v/>
      </c>
    </row>
    <row r="88" spans="1:27" x14ac:dyDescent="0.25">
      <c r="A88">
        <v>10772524</v>
      </c>
      <c r="B88" s="4" t="str">
        <f t="shared" si="3"/>
        <v>Espinosa, Juan Antonio</v>
      </c>
      <c r="C88" t="s">
        <v>254</v>
      </c>
      <c r="D88" t="s">
        <v>248</v>
      </c>
      <c r="E88" s="4" t="str">
        <f t="shared" si="4"/>
        <v>Juan Antonio Espinosa</v>
      </c>
      <c r="Q88" t="s">
        <v>20</v>
      </c>
      <c r="R88" s="2">
        <v>35514</v>
      </c>
      <c r="AA88">
        <f t="shared" ca="1" si="5"/>
        <v>27</v>
      </c>
    </row>
    <row r="89" spans="1:27" x14ac:dyDescent="0.25">
      <c r="A89" t="s">
        <v>395</v>
      </c>
      <c r="B89" s="4" t="str">
        <f t="shared" si="3"/>
        <v>Espinosa Sedano, Mario</v>
      </c>
      <c r="C89" t="s">
        <v>298</v>
      </c>
      <c r="D89" t="s">
        <v>61</v>
      </c>
      <c r="E89" s="4" t="str">
        <f t="shared" si="4"/>
        <v>Mario Espinosa Sedano</v>
      </c>
      <c r="Q89" t="s">
        <v>20</v>
      </c>
      <c r="AA89" t="str">
        <f t="shared" ca="1" si="5"/>
        <v/>
      </c>
    </row>
    <row r="90" spans="1:27" x14ac:dyDescent="0.25">
      <c r="A90" t="s">
        <v>396</v>
      </c>
      <c r="B90" s="4" t="str">
        <f t="shared" si="3"/>
        <v>Fernandez, Jose Luis</v>
      </c>
      <c r="C90" t="s">
        <v>178</v>
      </c>
      <c r="D90" t="s">
        <v>172</v>
      </c>
      <c r="E90" s="4" t="str">
        <f t="shared" si="4"/>
        <v>Jose Luis Fernandez</v>
      </c>
      <c r="Q90" t="s">
        <v>20</v>
      </c>
      <c r="AA90" t="str">
        <f t="shared" ca="1" si="5"/>
        <v/>
      </c>
    </row>
    <row r="91" spans="1:27" x14ac:dyDescent="0.25">
      <c r="A91">
        <v>10767426</v>
      </c>
      <c r="B91" s="4" t="str">
        <f t="shared" si="3"/>
        <v>Fernandez Arevalo, Jose Luis</v>
      </c>
      <c r="C91" t="s">
        <v>268</v>
      </c>
      <c r="D91" t="s">
        <v>172</v>
      </c>
      <c r="E91" s="4" t="str">
        <f t="shared" si="4"/>
        <v>Jose Luis Fernandez Arevalo</v>
      </c>
      <c r="Q91" t="s">
        <v>20</v>
      </c>
      <c r="R91" s="2">
        <v>28942</v>
      </c>
      <c r="AA91">
        <f t="shared" ca="1" si="5"/>
        <v>45</v>
      </c>
    </row>
    <row r="92" spans="1:27" x14ac:dyDescent="0.25">
      <c r="A92">
        <v>10772821</v>
      </c>
      <c r="B92" s="4" t="str">
        <f t="shared" si="3"/>
        <v>Fernandez Garcia, Jose</v>
      </c>
      <c r="C92" t="s">
        <v>145</v>
      </c>
      <c r="D92" t="s">
        <v>49</v>
      </c>
      <c r="E92" s="4" t="str">
        <f t="shared" si="4"/>
        <v>Jose Fernandez Garcia</v>
      </c>
      <c r="Q92" t="s">
        <v>20</v>
      </c>
      <c r="R92" s="2">
        <v>24089</v>
      </c>
      <c r="AA92">
        <f t="shared" ca="1" si="5"/>
        <v>59</v>
      </c>
    </row>
    <row r="93" spans="1:27" x14ac:dyDescent="0.25">
      <c r="A93">
        <v>10777855</v>
      </c>
      <c r="B93" s="4" t="str">
        <f t="shared" si="3"/>
        <v>Fernández Rebollo, Sergio</v>
      </c>
      <c r="C93" t="s">
        <v>275</v>
      </c>
      <c r="D93" t="s">
        <v>76</v>
      </c>
      <c r="E93" s="4" t="str">
        <f t="shared" si="4"/>
        <v>Sergio Fernández Rebollo</v>
      </c>
      <c r="Q93" t="s">
        <v>20</v>
      </c>
      <c r="R93" s="2">
        <v>33508</v>
      </c>
      <c r="AA93">
        <f t="shared" ca="1" si="5"/>
        <v>33</v>
      </c>
    </row>
    <row r="94" spans="1:27" x14ac:dyDescent="0.25">
      <c r="A94" t="s">
        <v>397</v>
      </c>
      <c r="B94" s="4" t="str">
        <f t="shared" si="3"/>
        <v>Fernández Salvador, Rosa</v>
      </c>
      <c r="C94" t="s">
        <v>220</v>
      </c>
      <c r="D94" t="s">
        <v>208</v>
      </c>
      <c r="E94" s="4" t="str">
        <f t="shared" si="4"/>
        <v>Rosa Fernández Salvador</v>
      </c>
      <c r="Q94" t="s">
        <v>48</v>
      </c>
      <c r="AA94" t="str">
        <f t="shared" ca="1" si="5"/>
        <v/>
      </c>
    </row>
    <row r="95" spans="1:27" x14ac:dyDescent="0.25">
      <c r="A95" t="s">
        <v>398</v>
      </c>
      <c r="B95" s="4" t="str">
        <f t="shared" si="3"/>
        <v>Ferrando, Rosa</v>
      </c>
      <c r="C95" t="s">
        <v>345</v>
      </c>
      <c r="D95" t="s">
        <v>208</v>
      </c>
      <c r="E95" s="4" t="str">
        <f t="shared" si="4"/>
        <v>Rosa Ferrando</v>
      </c>
      <c r="Q95" t="s">
        <v>48</v>
      </c>
      <c r="AA95" t="str">
        <f t="shared" ca="1" si="5"/>
        <v/>
      </c>
    </row>
    <row r="96" spans="1:27" x14ac:dyDescent="0.25">
      <c r="A96">
        <v>11856046</v>
      </c>
      <c r="B96" s="4" t="str">
        <f t="shared" si="3"/>
        <v>Ferrer Ramon, Marta</v>
      </c>
      <c r="C96" t="s">
        <v>495</v>
      </c>
      <c r="D96" t="s">
        <v>230</v>
      </c>
      <c r="E96" s="4" t="str">
        <f t="shared" si="4"/>
        <v>Marta Ferrer Ramon</v>
      </c>
      <c r="K96" t="s">
        <v>471</v>
      </c>
      <c r="Q96" t="s">
        <v>48</v>
      </c>
      <c r="S96" t="s">
        <v>498</v>
      </c>
      <c r="T96" t="s">
        <v>497</v>
      </c>
      <c r="W96" t="s">
        <v>500</v>
      </c>
      <c r="AA96" t="str">
        <f t="shared" ca="1" si="5"/>
        <v/>
      </c>
    </row>
    <row r="97" spans="1:27" x14ac:dyDescent="0.25">
      <c r="A97">
        <v>10767161</v>
      </c>
      <c r="B97" s="4" t="str">
        <f t="shared" si="3"/>
        <v>Fierro Gonzalez, Monica</v>
      </c>
      <c r="C97" t="s">
        <v>489</v>
      </c>
      <c r="D97" t="s">
        <v>201</v>
      </c>
      <c r="E97" s="4" t="str">
        <f t="shared" si="4"/>
        <v>Monica Fierro Gonzalez</v>
      </c>
      <c r="K97" t="s">
        <v>449</v>
      </c>
      <c r="Q97" t="s">
        <v>48</v>
      </c>
      <c r="U97" t="s">
        <v>551</v>
      </c>
      <c r="Y97" t="s">
        <v>499</v>
      </c>
      <c r="AA97" t="str">
        <f t="shared" ca="1" si="5"/>
        <v/>
      </c>
    </row>
    <row r="98" spans="1:27" x14ac:dyDescent="0.25">
      <c r="A98">
        <v>10770627</v>
      </c>
      <c r="B98" s="4" t="str">
        <f t="shared" si="3"/>
        <v>Flores Doblas, Marcos</v>
      </c>
      <c r="C98" t="s">
        <v>68</v>
      </c>
      <c r="D98" t="s">
        <v>69</v>
      </c>
      <c r="E98" s="4" t="str">
        <f t="shared" si="4"/>
        <v>Marcos Flores Doblas</v>
      </c>
      <c r="Q98" t="s">
        <v>20</v>
      </c>
      <c r="R98" s="2">
        <v>38167</v>
      </c>
      <c r="AA98">
        <f t="shared" ca="1" si="5"/>
        <v>20</v>
      </c>
    </row>
    <row r="99" spans="1:27" x14ac:dyDescent="0.25">
      <c r="A99">
        <v>10623024</v>
      </c>
      <c r="B99" s="4" t="str">
        <f t="shared" si="3"/>
        <v>Fraile Villanueva, Iñaki</v>
      </c>
      <c r="C99" t="s">
        <v>114</v>
      </c>
      <c r="D99" t="s">
        <v>115</v>
      </c>
      <c r="E99" s="4" t="str">
        <f t="shared" si="4"/>
        <v>Iñaki Fraile Villanueva</v>
      </c>
      <c r="Q99" t="s">
        <v>20</v>
      </c>
      <c r="R99" s="2">
        <v>29710</v>
      </c>
      <c r="AA99">
        <f t="shared" ca="1" si="5"/>
        <v>43</v>
      </c>
    </row>
    <row r="100" spans="1:27" x14ac:dyDescent="0.25">
      <c r="A100">
        <v>10768630</v>
      </c>
      <c r="B100" s="4" t="str">
        <f t="shared" si="3"/>
        <v>Frances Arnau, Enrique</v>
      </c>
      <c r="C100" t="s">
        <v>257</v>
      </c>
      <c r="D100" t="s">
        <v>131</v>
      </c>
      <c r="E100" s="4" t="str">
        <f t="shared" si="4"/>
        <v>Enrique Frances Arnau</v>
      </c>
      <c r="Q100" t="s">
        <v>20</v>
      </c>
      <c r="R100" s="2">
        <v>27540</v>
      </c>
      <c r="AA100">
        <f t="shared" ca="1" si="5"/>
        <v>49</v>
      </c>
    </row>
    <row r="101" spans="1:27" x14ac:dyDescent="0.25">
      <c r="A101">
        <v>10778457</v>
      </c>
      <c r="B101" s="4" t="str">
        <f t="shared" si="3"/>
        <v>Franco Herrero, Antonio</v>
      </c>
      <c r="C101" t="s">
        <v>368</v>
      </c>
      <c r="D101" t="s">
        <v>167</v>
      </c>
      <c r="E101" s="4" t="str">
        <f t="shared" si="4"/>
        <v>Antonio Franco Herrero</v>
      </c>
      <c r="Q101" t="s">
        <v>20</v>
      </c>
      <c r="R101" s="2">
        <v>31360</v>
      </c>
      <c r="AA101">
        <f t="shared" ca="1" si="5"/>
        <v>39</v>
      </c>
    </row>
    <row r="102" spans="1:27" x14ac:dyDescent="0.25">
      <c r="A102" t="s">
        <v>399</v>
      </c>
      <c r="B102" s="4" t="str">
        <f t="shared" si="3"/>
        <v>Franco Herrero, Patricia</v>
      </c>
      <c r="C102" t="s">
        <v>368</v>
      </c>
      <c r="D102" t="s">
        <v>374</v>
      </c>
      <c r="E102" s="4" t="str">
        <f t="shared" si="4"/>
        <v>Patricia Franco Herrero</v>
      </c>
      <c r="Q102" t="s">
        <v>48</v>
      </c>
      <c r="AA102" t="str">
        <f t="shared" ca="1" si="5"/>
        <v/>
      </c>
    </row>
    <row r="103" spans="1:27" x14ac:dyDescent="0.25">
      <c r="A103">
        <v>10774679</v>
      </c>
      <c r="B103" s="4" t="str">
        <f t="shared" si="3"/>
        <v>Gallego Diez, Manuel</v>
      </c>
      <c r="C103" t="s">
        <v>127</v>
      </c>
      <c r="D103" t="s">
        <v>116</v>
      </c>
      <c r="E103" s="4" t="str">
        <f t="shared" si="4"/>
        <v>Manuel Gallego Diez</v>
      </c>
      <c r="Q103" t="s">
        <v>20</v>
      </c>
      <c r="R103" s="2">
        <v>26564</v>
      </c>
      <c r="AA103">
        <f t="shared" ca="1" si="5"/>
        <v>52</v>
      </c>
    </row>
    <row r="104" spans="1:27" x14ac:dyDescent="0.25">
      <c r="A104">
        <v>10768614</v>
      </c>
      <c r="B104" s="4" t="str">
        <f t="shared" si="3"/>
        <v>Gallego Julian, Angel</v>
      </c>
      <c r="C104" t="s">
        <v>88</v>
      </c>
      <c r="D104" t="s">
        <v>89</v>
      </c>
      <c r="E104" s="4" t="str">
        <f t="shared" si="4"/>
        <v>Angel Gallego Julian</v>
      </c>
      <c r="Q104" t="s">
        <v>20</v>
      </c>
      <c r="R104" s="2">
        <v>38665</v>
      </c>
      <c r="AA104">
        <f t="shared" ca="1" si="5"/>
        <v>19</v>
      </c>
    </row>
    <row r="105" spans="1:27" x14ac:dyDescent="0.25">
      <c r="A105">
        <v>16953342</v>
      </c>
      <c r="B105" s="4" t="str">
        <f t="shared" si="3"/>
        <v>Gallego Ruiz-Mateos, Javier</v>
      </c>
      <c r="C105" t="s">
        <v>536</v>
      </c>
      <c r="D105" t="s">
        <v>111</v>
      </c>
      <c r="E105" s="4" t="str">
        <f t="shared" si="4"/>
        <v>Javier Gallego Ruiz-Mateos</v>
      </c>
      <c r="K105" t="s">
        <v>472</v>
      </c>
      <c r="Q105" t="s">
        <v>20</v>
      </c>
      <c r="S105" t="s">
        <v>450</v>
      </c>
      <c r="T105" t="s">
        <v>451</v>
      </c>
      <c r="U105" t="s">
        <v>551</v>
      </c>
      <c r="W105" t="s">
        <v>452</v>
      </c>
      <c r="X105" t="s">
        <v>452</v>
      </c>
      <c r="Y105" t="s">
        <v>452</v>
      </c>
      <c r="AA105" t="str">
        <f t="shared" ca="1" si="5"/>
        <v/>
      </c>
    </row>
    <row r="106" spans="1:27" x14ac:dyDescent="0.25">
      <c r="A106">
        <v>16952964</v>
      </c>
      <c r="B106" s="4" t="str">
        <f t="shared" si="3"/>
        <v>Garcia , Begoña</v>
      </c>
      <c r="C106" t="s">
        <v>525</v>
      </c>
      <c r="D106" t="s">
        <v>526</v>
      </c>
      <c r="E106" s="4" t="str">
        <f t="shared" si="4"/>
        <v xml:space="preserve">Begoña Garcia </v>
      </c>
      <c r="K106" t="s">
        <v>472</v>
      </c>
      <c r="Q106" t="s">
        <v>48</v>
      </c>
      <c r="T106" t="s">
        <v>497</v>
      </c>
      <c r="X106" t="s">
        <v>499</v>
      </c>
      <c r="AA106" t="str">
        <f t="shared" ca="1" si="5"/>
        <v/>
      </c>
    </row>
    <row r="107" spans="1:27" x14ac:dyDescent="0.25">
      <c r="A107">
        <v>16952261</v>
      </c>
      <c r="B107" s="4" t="str">
        <f t="shared" si="3"/>
        <v>García , Patricia</v>
      </c>
      <c r="C107" t="s">
        <v>524</v>
      </c>
      <c r="D107" t="s">
        <v>374</v>
      </c>
      <c r="E107" s="4" t="str">
        <f t="shared" si="4"/>
        <v xml:space="preserve">Patricia García </v>
      </c>
      <c r="K107" t="s">
        <v>472</v>
      </c>
      <c r="Q107" t="s">
        <v>48</v>
      </c>
      <c r="T107" t="s">
        <v>497</v>
      </c>
      <c r="X107" t="s">
        <v>499</v>
      </c>
      <c r="AA107" t="str">
        <f t="shared" ca="1" si="5"/>
        <v/>
      </c>
    </row>
    <row r="108" spans="1:27" x14ac:dyDescent="0.25">
      <c r="A108">
        <v>10763812</v>
      </c>
      <c r="B108" s="4" t="str">
        <f t="shared" si="3"/>
        <v>Garcia Alcala Nieto, Fernando</v>
      </c>
      <c r="C108" t="s">
        <v>188</v>
      </c>
      <c r="D108" t="s">
        <v>189</v>
      </c>
      <c r="E108" s="4" t="str">
        <f t="shared" si="4"/>
        <v>Fernando Garcia Alcala Nieto</v>
      </c>
      <c r="Q108" t="s">
        <v>20</v>
      </c>
      <c r="R108" s="2">
        <v>25672</v>
      </c>
      <c r="AA108">
        <f t="shared" ca="1" si="5"/>
        <v>54</v>
      </c>
    </row>
    <row r="109" spans="1:27" x14ac:dyDescent="0.25">
      <c r="A109">
        <v>9573397</v>
      </c>
      <c r="B109" s="4" t="str">
        <f t="shared" si="3"/>
        <v>García Álvarez, Alicia</v>
      </c>
      <c r="C109" t="s">
        <v>481</v>
      </c>
      <c r="D109" t="s">
        <v>482</v>
      </c>
      <c r="E109" s="4" t="str">
        <f t="shared" si="4"/>
        <v>Alicia García Álvarez</v>
      </c>
      <c r="K109" t="s">
        <v>472</v>
      </c>
      <c r="Q109" t="s">
        <v>48</v>
      </c>
      <c r="S109" t="s">
        <v>498</v>
      </c>
      <c r="T109" t="s">
        <v>497</v>
      </c>
      <c r="U109" t="s">
        <v>551</v>
      </c>
      <c r="W109" t="s">
        <v>499</v>
      </c>
      <c r="X109" t="s">
        <v>499</v>
      </c>
      <c r="Y109" t="s">
        <v>499</v>
      </c>
      <c r="AA109" t="str">
        <f t="shared" ca="1" si="5"/>
        <v/>
      </c>
    </row>
    <row r="110" spans="1:27" x14ac:dyDescent="0.25">
      <c r="A110">
        <v>10771120</v>
      </c>
      <c r="B110" s="4" t="str">
        <f t="shared" si="3"/>
        <v>Garcia Barreras, Carlos</v>
      </c>
      <c r="C110" t="s">
        <v>67</v>
      </c>
      <c r="D110" t="s">
        <v>24</v>
      </c>
      <c r="E110" s="4" t="str">
        <f t="shared" si="4"/>
        <v>Carlos Garcia Barreras</v>
      </c>
      <c r="Q110" t="s">
        <v>20</v>
      </c>
      <c r="R110" s="2">
        <v>32885</v>
      </c>
      <c r="AA110">
        <f t="shared" ca="1" si="5"/>
        <v>34</v>
      </c>
    </row>
    <row r="111" spans="1:27" x14ac:dyDescent="0.25">
      <c r="A111">
        <v>16952881</v>
      </c>
      <c r="B111" s="4" t="str">
        <f t="shared" si="3"/>
        <v>Garcia Corrales, Francisco Jesus</v>
      </c>
      <c r="C111" t="s">
        <v>541</v>
      </c>
      <c r="D111" t="s">
        <v>530</v>
      </c>
      <c r="E111" s="4" t="str">
        <f t="shared" si="4"/>
        <v>Francisco Jesus Garcia Corrales</v>
      </c>
      <c r="K111" t="s">
        <v>472</v>
      </c>
      <c r="Q111" t="s">
        <v>20</v>
      </c>
      <c r="U111" t="s">
        <v>551</v>
      </c>
      <c r="Y111" t="s">
        <v>499</v>
      </c>
      <c r="AA111" t="str">
        <f t="shared" ca="1" si="5"/>
        <v/>
      </c>
    </row>
    <row r="112" spans="1:27" x14ac:dyDescent="0.25">
      <c r="A112">
        <v>16953061</v>
      </c>
      <c r="B112" s="4" t="str">
        <f t="shared" si="3"/>
        <v>García de la Plaza Guardeño, Antonio</v>
      </c>
      <c r="C112" t="s">
        <v>548</v>
      </c>
      <c r="D112" t="s">
        <v>167</v>
      </c>
      <c r="E112" s="4" t="str">
        <f t="shared" si="4"/>
        <v>Antonio García de la Plaza Guardeño</v>
      </c>
      <c r="K112" t="s">
        <v>472</v>
      </c>
      <c r="Q112" t="s">
        <v>20</v>
      </c>
      <c r="U112" t="s">
        <v>551</v>
      </c>
      <c r="Y112" t="s">
        <v>499</v>
      </c>
      <c r="AA112" t="str">
        <f t="shared" ca="1" si="5"/>
        <v/>
      </c>
    </row>
    <row r="113" spans="1:27" x14ac:dyDescent="0.25">
      <c r="A113">
        <v>10266907</v>
      </c>
      <c r="B113" s="4" t="str">
        <f t="shared" si="3"/>
        <v>Garcia De Mingo, Carlos</v>
      </c>
      <c r="C113" t="s">
        <v>125</v>
      </c>
      <c r="D113" t="s">
        <v>24</v>
      </c>
      <c r="E113" s="4" t="str">
        <f t="shared" si="4"/>
        <v>Carlos Garcia De Mingo</v>
      </c>
      <c r="Q113" t="s">
        <v>20</v>
      </c>
      <c r="R113" s="2">
        <v>26483</v>
      </c>
      <c r="AA113">
        <f t="shared" ca="1" si="5"/>
        <v>52</v>
      </c>
    </row>
    <row r="114" spans="1:27" x14ac:dyDescent="0.25">
      <c r="A114">
        <v>4412475</v>
      </c>
      <c r="B114" s="4" t="str">
        <f t="shared" si="3"/>
        <v>García Garre, Ana</v>
      </c>
      <c r="C114" t="s">
        <v>514</v>
      </c>
      <c r="D114" t="s">
        <v>515</v>
      </c>
      <c r="E114" s="4" t="str">
        <f t="shared" si="4"/>
        <v>Ana García Garre</v>
      </c>
      <c r="K114" t="s">
        <v>472</v>
      </c>
      <c r="Q114" t="s">
        <v>48</v>
      </c>
      <c r="T114" t="s">
        <v>497</v>
      </c>
      <c r="X114" t="s">
        <v>499</v>
      </c>
      <c r="AA114" t="str">
        <f t="shared" ca="1" si="5"/>
        <v/>
      </c>
    </row>
    <row r="115" spans="1:27" x14ac:dyDescent="0.25">
      <c r="A115">
        <v>10766197</v>
      </c>
      <c r="B115" s="4" t="str">
        <f t="shared" si="3"/>
        <v>Garcia Martin, Alejandra Herminia</v>
      </c>
      <c r="C115" t="s">
        <v>204</v>
      </c>
      <c r="D115" t="s">
        <v>194</v>
      </c>
      <c r="E115" s="4" t="str">
        <f t="shared" si="4"/>
        <v>Alejandra Herminia Garcia Martin</v>
      </c>
      <c r="K115" t="s">
        <v>449</v>
      </c>
      <c r="Q115" t="s">
        <v>48</v>
      </c>
      <c r="R115" s="2">
        <v>25910</v>
      </c>
      <c r="T115" t="s">
        <v>497</v>
      </c>
      <c r="X115" t="s">
        <v>499</v>
      </c>
      <c r="AA115">
        <f t="shared" ca="1" si="5"/>
        <v>54</v>
      </c>
    </row>
    <row r="116" spans="1:27" x14ac:dyDescent="0.25">
      <c r="A116" t="s">
        <v>400</v>
      </c>
      <c r="B116" s="4" t="str">
        <f t="shared" si="3"/>
        <v>García Rodríguez, Gema</v>
      </c>
      <c r="C116" t="s">
        <v>352</v>
      </c>
      <c r="D116" t="s">
        <v>353</v>
      </c>
      <c r="E116" s="4" t="str">
        <f t="shared" si="4"/>
        <v>Gema García Rodríguez</v>
      </c>
      <c r="Q116" t="s">
        <v>48</v>
      </c>
      <c r="AA116" t="str">
        <f t="shared" ca="1" si="5"/>
        <v/>
      </c>
    </row>
    <row r="117" spans="1:27" x14ac:dyDescent="0.25">
      <c r="A117">
        <v>7456397</v>
      </c>
      <c r="B117" s="4" t="str">
        <f t="shared" si="3"/>
        <v>García Rollón, David</v>
      </c>
      <c r="C117" t="s">
        <v>113</v>
      </c>
      <c r="D117" t="s">
        <v>71</v>
      </c>
      <c r="E117" s="4" t="str">
        <f t="shared" si="4"/>
        <v>David García Rollón</v>
      </c>
      <c r="Q117" t="s">
        <v>20</v>
      </c>
      <c r="R117" s="2">
        <v>32965</v>
      </c>
      <c r="AA117">
        <f t="shared" ca="1" si="5"/>
        <v>34</v>
      </c>
    </row>
    <row r="118" spans="1:27" x14ac:dyDescent="0.25">
      <c r="A118" t="s">
        <v>401</v>
      </c>
      <c r="B118" s="4" t="str">
        <f t="shared" si="3"/>
        <v>García -Villamil, Natalia</v>
      </c>
      <c r="C118" t="s">
        <v>216</v>
      </c>
      <c r="D118" t="s">
        <v>217</v>
      </c>
      <c r="E118" s="4" t="str">
        <f t="shared" si="4"/>
        <v>Natalia García -Villamil</v>
      </c>
      <c r="Q118" t="s">
        <v>48</v>
      </c>
      <c r="AA118" t="str">
        <f t="shared" ca="1" si="5"/>
        <v/>
      </c>
    </row>
    <row r="119" spans="1:27" x14ac:dyDescent="0.25">
      <c r="A119">
        <v>10766832</v>
      </c>
      <c r="B119" s="4" t="str">
        <f t="shared" si="3"/>
        <v>Garcia-Gasco Castillo, Carolina</v>
      </c>
      <c r="C119" t="s">
        <v>232</v>
      </c>
      <c r="D119" t="s">
        <v>228</v>
      </c>
      <c r="E119" s="4" t="str">
        <f t="shared" si="4"/>
        <v>Carolina Garcia-Gasco Castillo</v>
      </c>
      <c r="Q119" t="s">
        <v>48</v>
      </c>
      <c r="R119" s="2">
        <v>26445</v>
      </c>
      <c r="AA119">
        <f t="shared" ca="1" si="5"/>
        <v>52</v>
      </c>
    </row>
    <row r="120" spans="1:27" x14ac:dyDescent="0.25">
      <c r="A120">
        <v>10772441</v>
      </c>
      <c r="B120" s="4" t="str">
        <f t="shared" si="3"/>
        <v>Gargantilla Moreno, Jose Antonio</v>
      </c>
      <c r="C120" t="s">
        <v>159</v>
      </c>
      <c r="D120" t="s">
        <v>148</v>
      </c>
      <c r="E120" s="4" t="str">
        <f t="shared" si="4"/>
        <v>Jose Antonio Gargantilla Moreno</v>
      </c>
      <c r="Q120" t="s">
        <v>20</v>
      </c>
      <c r="R120" s="2">
        <v>23086</v>
      </c>
      <c r="AA120">
        <f t="shared" ca="1" si="5"/>
        <v>61</v>
      </c>
    </row>
    <row r="121" spans="1:27" x14ac:dyDescent="0.25">
      <c r="A121">
        <v>10112077</v>
      </c>
      <c r="B121" s="4" t="str">
        <f t="shared" si="3"/>
        <v>Garrido Sánchez, Quintin</v>
      </c>
      <c r="C121" t="s">
        <v>141</v>
      </c>
      <c r="D121" t="s">
        <v>142</v>
      </c>
      <c r="E121" s="4" t="str">
        <f t="shared" si="4"/>
        <v>Quintin Garrido Sánchez</v>
      </c>
      <c r="Q121" t="s">
        <v>20</v>
      </c>
      <c r="R121" s="2">
        <v>24406</v>
      </c>
      <c r="AA121">
        <f t="shared" ca="1" si="5"/>
        <v>58</v>
      </c>
    </row>
    <row r="122" spans="1:27" x14ac:dyDescent="0.25">
      <c r="A122">
        <v>10357326</v>
      </c>
      <c r="B122" s="4" t="str">
        <f t="shared" si="3"/>
        <v>Garrido Sanjuan, Mario</v>
      </c>
      <c r="C122" t="s">
        <v>126</v>
      </c>
      <c r="D122" t="s">
        <v>61</v>
      </c>
      <c r="E122" s="4" t="str">
        <f t="shared" si="4"/>
        <v>Mario Garrido Sanjuan</v>
      </c>
      <c r="Q122" t="s">
        <v>20</v>
      </c>
      <c r="R122" s="2">
        <v>25848</v>
      </c>
      <c r="AA122">
        <f t="shared" ca="1" si="5"/>
        <v>54</v>
      </c>
    </row>
    <row r="123" spans="1:27" x14ac:dyDescent="0.25">
      <c r="A123">
        <v>10073005</v>
      </c>
      <c r="B123" s="4" t="str">
        <f t="shared" si="3"/>
        <v>Gomez Delgado, Juan Jose</v>
      </c>
      <c r="C123" t="s">
        <v>183</v>
      </c>
      <c r="D123" t="s">
        <v>179</v>
      </c>
      <c r="E123" s="4" t="str">
        <f t="shared" si="4"/>
        <v>Juan Jose Gomez Delgado</v>
      </c>
      <c r="Q123" t="s">
        <v>20</v>
      </c>
      <c r="R123" s="2">
        <v>24604</v>
      </c>
      <c r="AA123">
        <f t="shared" ca="1" si="5"/>
        <v>57</v>
      </c>
    </row>
    <row r="124" spans="1:27" x14ac:dyDescent="0.25">
      <c r="A124" t="s">
        <v>402</v>
      </c>
      <c r="B124" s="4" t="str">
        <f t="shared" si="3"/>
        <v>Gómez Laborda, Marcos</v>
      </c>
      <c r="C124" t="s">
        <v>306</v>
      </c>
      <c r="D124" t="s">
        <v>69</v>
      </c>
      <c r="E124" s="4" t="str">
        <f t="shared" si="4"/>
        <v>Marcos Gómez Laborda</v>
      </c>
      <c r="Q124" t="s">
        <v>20</v>
      </c>
      <c r="AA124" t="str">
        <f t="shared" ca="1" si="5"/>
        <v/>
      </c>
    </row>
    <row r="125" spans="1:27" x14ac:dyDescent="0.25">
      <c r="A125">
        <v>10766478</v>
      </c>
      <c r="B125" s="4" t="str">
        <f t="shared" si="3"/>
        <v>Gómez Navarro, Manuel</v>
      </c>
      <c r="C125" t="s">
        <v>18</v>
      </c>
      <c r="D125" t="s">
        <v>116</v>
      </c>
      <c r="E125" s="4" t="str">
        <f t="shared" si="4"/>
        <v>Manuel Gómez Navarro</v>
      </c>
      <c r="Q125" t="s">
        <v>20</v>
      </c>
      <c r="R125" s="2">
        <v>30913</v>
      </c>
      <c r="AA125">
        <f t="shared" ca="1" si="5"/>
        <v>40</v>
      </c>
    </row>
    <row r="126" spans="1:27" x14ac:dyDescent="0.25">
      <c r="A126">
        <v>10772409</v>
      </c>
      <c r="B126" s="4" t="str">
        <f t="shared" si="3"/>
        <v>Gómez Pujalte, César</v>
      </c>
      <c r="C126" t="s">
        <v>65</v>
      </c>
      <c r="D126" t="s">
        <v>66</v>
      </c>
      <c r="E126" s="4" t="str">
        <f t="shared" si="4"/>
        <v>César Gómez Pujalte</v>
      </c>
      <c r="Q126" t="s">
        <v>20</v>
      </c>
      <c r="R126" s="2">
        <v>28693</v>
      </c>
      <c r="AA126">
        <f t="shared" ca="1" si="5"/>
        <v>46</v>
      </c>
    </row>
    <row r="127" spans="1:27" x14ac:dyDescent="0.25">
      <c r="A127">
        <v>7209499</v>
      </c>
      <c r="B127" s="4" t="str">
        <f t="shared" si="3"/>
        <v>Gonzalez, Gustavo</v>
      </c>
      <c r="C127" t="s">
        <v>265</v>
      </c>
      <c r="D127" t="s">
        <v>266</v>
      </c>
      <c r="E127" s="4" t="str">
        <f t="shared" si="4"/>
        <v>Gustavo Gonzalez</v>
      </c>
      <c r="Q127" t="s">
        <v>20</v>
      </c>
      <c r="R127" s="2">
        <v>27216</v>
      </c>
      <c r="AA127">
        <f t="shared" ca="1" si="5"/>
        <v>50</v>
      </c>
    </row>
    <row r="128" spans="1:27" x14ac:dyDescent="0.25">
      <c r="A128" t="s">
        <v>403</v>
      </c>
      <c r="B128" s="4" t="str">
        <f t="shared" si="3"/>
        <v>Gonzalez, Javier</v>
      </c>
      <c r="C128" t="s">
        <v>265</v>
      </c>
      <c r="D128" t="s">
        <v>111</v>
      </c>
      <c r="E128" s="4" t="str">
        <f t="shared" si="4"/>
        <v>Javier Gonzalez</v>
      </c>
      <c r="Q128" t="s">
        <v>20</v>
      </c>
      <c r="AA128" t="str">
        <f t="shared" ca="1" si="5"/>
        <v/>
      </c>
    </row>
    <row r="129" spans="1:27" x14ac:dyDescent="0.25">
      <c r="A129">
        <v>10777483</v>
      </c>
      <c r="B129" s="4" t="str">
        <f t="shared" si="3"/>
        <v>González Arribas, Francisco Javier</v>
      </c>
      <c r="C129" t="s">
        <v>310</v>
      </c>
      <c r="D129" t="s">
        <v>252</v>
      </c>
      <c r="E129" s="4" t="str">
        <f t="shared" si="4"/>
        <v>Francisco Javier González Arribas</v>
      </c>
      <c r="Q129" t="s">
        <v>20</v>
      </c>
      <c r="R129" s="2">
        <v>27583</v>
      </c>
      <c r="AA129">
        <f t="shared" ca="1" si="5"/>
        <v>49</v>
      </c>
    </row>
    <row r="130" spans="1:27" x14ac:dyDescent="0.25">
      <c r="A130">
        <v>10770768</v>
      </c>
      <c r="B130" s="4" t="str">
        <f t="shared" ref="B130:B193" si="6">CONCATENATE(C130,", ", D130)</f>
        <v>González Blanco, Andrés</v>
      </c>
      <c r="C130" t="s">
        <v>104</v>
      </c>
      <c r="D130" t="s">
        <v>105</v>
      </c>
      <c r="E130" s="4" t="str">
        <f t="shared" ref="E130:E193" si="7">CONCATENATE(D130," ",C130)</f>
        <v>Andrés González Blanco</v>
      </c>
      <c r="Q130" t="s">
        <v>20</v>
      </c>
      <c r="R130" s="2">
        <v>32319</v>
      </c>
      <c r="AA130">
        <f t="shared" ca="1" si="5"/>
        <v>36</v>
      </c>
    </row>
    <row r="131" spans="1:27" x14ac:dyDescent="0.25">
      <c r="A131">
        <v>10772251</v>
      </c>
      <c r="B131" s="4" t="str">
        <f t="shared" si="6"/>
        <v>Gonzalez Cano, Jose Luis</v>
      </c>
      <c r="C131" t="s">
        <v>231</v>
      </c>
      <c r="D131" t="s">
        <v>172</v>
      </c>
      <c r="E131" s="4" t="str">
        <f t="shared" si="7"/>
        <v>Jose Luis Gonzalez Cano</v>
      </c>
      <c r="Q131" t="s">
        <v>20</v>
      </c>
      <c r="R131" s="2">
        <v>25620</v>
      </c>
      <c r="AA131">
        <f t="shared" ref="AA131:AA194" ca="1" si="8">IF(ISBLANK(R131),"",((YEAR(NOW())-YEAR(R131))))</f>
        <v>54</v>
      </c>
    </row>
    <row r="132" spans="1:27" x14ac:dyDescent="0.25">
      <c r="A132">
        <v>10767939</v>
      </c>
      <c r="B132" s="4" t="str">
        <f t="shared" si="6"/>
        <v>Gonzalez Pacheco, Alvaro</v>
      </c>
      <c r="C132" t="s">
        <v>277</v>
      </c>
      <c r="D132" t="s">
        <v>118</v>
      </c>
      <c r="E132" s="4" t="str">
        <f t="shared" si="7"/>
        <v>Alvaro Gonzalez Pacheco</v>
      </c>
      <c r="Q132" t="s">
        <v>20</v>
      </c>
      <c r="R132" s="2">
        <v>36651</v>
      </c>
      <c r="AA132">
        <f t="shared" ca="1" si="8"/>
        <v>24</v>
      </c>
    </row>
    <row r="133" spans="1:27" x14ac:dyDescent="0.25">
      <c r="A133">
        <v>10770437</v>
      </c>
      <c r="B133" s="4" t="str">
        <f t="shared" si="6"/>
        <v>Gonzalez Viedma, Ramon</v>
      </c>
      <c r="C133" t="s">
        <v>151</v>
      </c>
      <c r="D133" t="s">
        <v>152</v>
      </c>
      <c r="E133" s="4" t="str">
        <f t="shared" si="7"/>
        <v>Ramon Gonzalez Viedma</v>
      </c>
      <c r="Q133" t="s">
        <v>20</v>
      </c>
      <c r="R133" s="2">
        <v>23117</v>
      </c>
      <c r="AA133">
        <f t="shared" ca="1" si="8"/>
        <v>61</v>
      </c>
    </row>
    <row r="134" spans="1:27" x14ac:dyDescent="0.25">
      <c r="A134">
        <v>10440238</v>
      </c>
      <c r="B134" s="4" t="str">
        <f t="shared" si="6"/>
        <v>Granados Jimenez, Hugo</v>
      </c>
      <c r="C134" t="s">
        <v>72</v>
      </c>
      <c r="D134" t="s">
        <v>73</v>
      </c>
      <c r="E134" s="4" t="str">
        <f t="shared" si="7"/>
        <v>Hugo Granados Jimenez</v>
      </c>
      <c r="Q134" t="s">
        <v>20</v>
      </c>
      <c r="R134" s="2">
        <v>39078</v>
      </c>
      <c r="AA134">
        <f t="shared" ca="1" si="8"/>
        <v>18</v>
      </c>
    </row>
    <row r="135" spans="1:27" x14ac:dyDescent="0.25">
      <c r="A135">
        <v>10768375</v>
      </c>
      <c r="B135" s="4" t="str">
        <f t="shared" si="6"/>
        <v>Granados Sanchez, Jose Manuel</v>
      </c>
      <c r="C135" t="s">
        <v>434</v>
      </c>
      <c r="D135" t="s">
        <v>171</v>
      </c>
      <c r="E135" s="4" t="str">
        <f t="shared" si="7"/>
        <v>Jose Manuel Granados Sanchez</v>
      </c>
      <c r="Q135" t="s">
        <v>20</v>
      </c>
      <c r="R135" s="2">
        <v>27669</v>
      </c>
      <c r="AA135">
        <f t="shared" ca="1" si="8"/>
        <v>49</v>
      </c>
    </row>
    <row r="136" spans="1:27" x14ac:dyDescent="0.25">
      <c r="A136">
        <v>10766189</v>
      </c>
      <c r="B136" s="4" t="str">
        <f t="shared" si="6"/>
        <v>Guerrero García, Araceli Belen</v>
      </c>
      <c r="C136" t="s">
        <v>338</v>
      </c>
      <c r="D136" t="s">
        <v>320</v>
      </c>
      <c r="E136" s="4" t="str">
        <f t="shared" si="7"/>
        <v>Araceli Belen Guerrero García</v>
      </c>
      <c r="K136" t="s">
        <v>449</v>
      </c>
      <c r="Q136" t="s">
        <v>48</v>
      </c>
      <c r="R136" s="2">
        <v>36408</v>
      </c>
      <c r="T136" t="s">
        <v>497</v>
      </c>
      <c r="U136" t="s">
        <v>551</v>
      </c>
      <c r="X136" t="s">
        <v>499</v>
      </c>
      <c r="Y136" t="s">
        <v>499</v>
      </c>
      <c r="AA136">
        <f t="shared" ca="1" si="8"/>
        <v>25</v>
      </c>
    </row>
    <row r="137" spans="1:27" x14ac:dyDescent="0.25">
      <c r="A137">
        <v>10777631</v>
      </c>
      <c r="B137" s="4" t="str">
        <f t="shared" si="6"/>
        <v>Gutiérrez Diego, Jorge</v>
      </c>
      <c r="C137" t="s">
        <v>79</v>
      </c>
      <c r="D137" t="s">
        <v>80</v>
      </c>
      <c r="E137" s="4" t="str">
        <f t="shared" si="7"/>
        <v>Jorge Gutiérrez Diego</v>
      </c>
      <c r="Q137" t="s">
        <v>20</v>
      </c>
      <c r="R137" s="2">
        <v>32547</v>
      </c>
      <c r="AA137">
        <f t="shared" ca="1" si="8"/>
        <v>35</v>
      </c>
    </row>
    <row r="138" spans="1:27" x14ac:dyDescent="0.25">
      <c r="A138">
        <v>7054547</v>
      </c>
      <c r="B138" s="4" t="str">
        <f t="shared" si="6"/>
        <v>Gutiérrez Quiroga, Silvia</v>
      </c>
      <c r="C138" t="s">
        <v>334</v>
      </c>
      <c r="D138" t="s">
        <v>335</v>
      </c>
      <c r="E138" s="4" t="str">
        <f t="shared" si="7"/>
        <v>Silvia Gutiérrez Quiroga</v>
      </c>
      <c r="Q138" t="s">
        <v>48</v>
      </c>
      <c r="R138" s="2">
        <v>30361</v>
      </c>
      <c r="AA138">
        <f t="shared" ca="1" si="8"/>
        <v>41</v>
      </c>
    </row>
    <row r="139" spans="1:27" x14ac:dyDescent="0.25">
      <c r="A139" t="s">
        <v>404</v>
      </c>
      <c r="B139" s="4" t="str">
        <f t="shared" si="6"/>
        <v>Hasenkamp, Johanna</v>
      </c>
      <c r="C139" t="s">
        <v>241</v>
      </c>
      <c r="D139" t="s">
        <v>242</v>
      </c>
      <c r="E139" s="4" t="str">
        <f t="shared" si="7"/>
        <v>Johanna Hasenkamp</v>
      </c>
      <c r="Q139" t="s">
        <v>48</v>
      </c>
      <c r="AA139" t="str">
        <f t="shared" ca="1" si="8"/>
        <v/>
      </c>
    </row>
    <row r="140" spans="1:27" x14ac:dyDescent="0.25">
      <c r="A140">
        <v>10771245</v>
      </c>
      <c r="B140" s="4" t="str">
        <f t="shared" si="6"/>
        <v>Hergueta Moyano, Juan José</v>
      </c>
      <c r="C140" t="s">
        <v>158</v>
      </c>
      <c r="D140" t="s">
        <v>149</v>
      </c>
      <c r="E140" s="4" t="str">
        <f t="shared" si="7"/>
        <v>Juan José Hergueta Moyano</v>
      </c>
      <c r="Q140" t="s">
        <v>20</v>
      </c>
      <c r="R140" s="2">
        <v>22410</v>
      </c>
      <c r="AA140">
        <f t="shared" ca="1" si="8"/>
        <v>63</v>
      </c>
    </row>
    <row r="141" spans="1:27" x14ac:dyDescent="0.25">
      <c r="A141">
        <v>11855288</v>
      </c>
      <c r="B141" s="4" t="str">
        <f t="shared" si="6"/>
        <v>Hernández , Laura</v>
      </c>
      <c r="C141" t="s">
        <v>496</v>
      </c>
      <c r="D141" t="s">
        <v>337</v>
      </c>
      <c r="E141" s="4" t="str">
        <f t="shared" si="7"/>
        <v xml:space="preserve">Laura Hernández </v>
      </c>
      <c r="K141" t="s">
        <v>471</v>
      </c>
      <c r="Q141" t="s">
        <v>48</v>
      </c>
      <c r="S141" t="s">
        <v>498</v>
      </c>
      <c r="T141" t="s">
        <v>497</v>
      </c>
      <c r="W141" t="s">
        <v>500</v>
      </c>
      <c r="AA141" t="str">
        <f t="shared" ca="1" si="8"/>
        <v/>
      </c>
    </row>
    <row r="142" spans="1:27" x14ac:dyDescent="0.25">
      <c r="A142">
        <v>10767799</v>
      </c>
      <c r="B142" s="4" t="str">
        <f t="shared" si="6"/>
        <v>Hernando Álvarez, Marta</v>
      </c>
      <c r="C142" t="s">
        <v>229</v>
      </c>
      <c r="D142" t="s">
        <v>230</v>
      </c>
      <c r="E142" s="4" t="str">
        <f t="shared" si="7"/>
        <v>Marta Hernando Álvarez</v>
      </c>
      <c r="Q142" t="s">
        <v>48</v>
      </c>
      <c r="R142" s="2">
        <v>26484</v>
      </c>
      <c r="AA142">
        <f t="shared" ca="1" si="8"/>
        <v>52</v>
      </c>
    </row>
    <row r="143" spans="1:27" x14ac:dyDescent="0.25">
      <c r="A143">
        <v>10776229</v>
      </c>
      <c r="B143" s="4" t="str">
        <f t="shared" si="6"/>
        <v>Hernando Gomez, Daniel</v>
      </c>
      <c r="C143" t="s">
        <v>259</v>
      </c>
      <c r="D143" t="s">
        <v>108</v>
      </c>
      <c r="E143" s="4" t="str">
        <f t="shared" si="7"/>
        <v>Daniel Hernando Gomez</v>
      </c>
      <c r="Q143" t="s">
        <v>20</v>
      </c>
      <c r="R143" s="2">
        <v>30002</v>
      </c>
      <c r="AA143">
        <f t="shared" ca="1" si="8"/>
        <v>42</v>
      </c>
    </row>
    <row r="144" spans="1:27" x14ac:dyDescent="0.25">
      <c r="A144" t="s">
        <v>405</v>
      </c>
      <c r="B144" s="4" t="str">
        <f t="shared" si="6"/>
        <v>Hita Celdran, David</v>
      </c>
      <c r="C144" t="s">
        <v>317</v>
      </c>
      <c r="D144" t="s">
        <v>71</v>
      </c>
      <c r="E144" s="4" t="str">
        <f t="shared" si="7"/>
        <v>David Hita Celdran</v>
      </c>
      <c r="Q144" t="s">
        <v>20</v>
      </c>
      <c r="AA144" t="str">
        <f t="shared" ca="1" si="8"/>
        <v/>
      </c>
    </row>
    <row r="145" spans="1:27" x14ac:dyDescent="0.25">
      <c r="A145">
        <v>10768523</v>
      </c>
      <c r="B145" s="4" t="str">
        <f t="shared" si="6"/>
        <v>Horcajuelo Vicente, Alberto</v>
      </c>
      <c r="C145" t="s">
        <v>468</v>
      </c>
      <c r="D145" t="s">
        <v>261</v>
      </c>
      <c r="E145" s="4" t="str">
        <f t="shared" si="7"/>
        <v>Alberto Horcajuelo Vicente</v>
      </c>
      <c r="K145" t="s">
        <v>449</v>
      </c>
      <c r="Q145" t="s">
        <v>20</v>
      </c>
      <c r="S145" t="s">
        <v>450</v>
      </c>
      <c r="T145" t="s">
        <v>451</v>
      </c>
      <c r="W145" t="s">
        <v>452</v>
      </c>
      <c r="X145" t="s">
        <v>452</v>
      </c>
      <c r="AA145" t="str">
        <f t="shared" ca="1" si="8"/>
        <v/>
      </c>
    </row>
    <row r="146" spans="1:27" x14ac:dyDescent="0.25">
      <c r="A146">
        <v>10772631</v>
      </c>
      <c r="B146" s="4" t="str">
        <f t="shared" si="6"/>
        <v>Ibañez Cavanillas, Celia</v>
      </c>
      <c r="C146" t="s">
        <v>36</v>
      </c>
      <c r="D146" t="s">
        <v>37</v>
      </c>
      <c r="E146" s="4" t="str">
        <f t="shared" si="7"/>
        <v>Celia Ibañez Cavanillas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48</v>
      </c>
      <c r="R146" s="2">
        <v>37293</v>
      </c>
      <c r="AA146">
        <f t="shared" ca="1" si="8"/>
        <v>22</v>
      </c>
    </row>
    <row r="147" spans="1:27" x14ac:dyDescent="0.25">
      <c r="A147">
        <v>10766345</v>
      </c>
      <c r="B147" s="4" t="str">
        <f t="shared" si="6"/>
        <v>Ibáñez Hidalgo, Roberto</v>
      </c>
      <c r="C147" t="s">
        <v>156</v>
      </c>
      <c r="D147" t="s">
        <v>157</v>
      </c>
      <c r="E147" s="4" t="str">
        <f t="shared" si="7"/>
        <v>Roberto Ibáñez Hidalgo</v>
      </c>
      <c r="Q147" t="s">
        <v>20</v>
      </c>
      <c r="R147" s="2">
        <v>20852</v>
      </c>
      <c r="AA147">
        <f t="shared" ca="1" si="8"/>
        <v>67</v>
      </c>
    </row>
    <row r="148" spans="1:27" x14ac:dyDescent="0.25">
      <c r="A148">
        <v>10485268</v>
      </c>
      <c r="B148" s="4" t="str">
        <f t="shared" si="6"/>
        <v>Ibañez Rodriguez, Fco Jose</v>
      </c>
      <c r="C148" t="s">
        <v>379</v>
      </c>
      <c r="D148" t="s">
        <v>364</v>
      </c>
      <c r="E148" s="4" t="str">
        <f t="shared" si="7"/>
        <v>Fco Jose Ibañez Rodriguez</v>
      </c>
      <c r="Q148" t="s">
        <v>20</v>
      </c>
      <c r="R148" s="2">
        <v>32833</v>
      </c>
      <c r="AA148">
        <f t="shared" ca="1" si="8"/>
        <v>35</v>
      </c>
    </row>
    <row r="149" spans="1:27" x14ac:dyDescent="0.25">
      <c r="A149">
        <v>10767319</v>
      </c>
      <c r="B149" s="4" t="str">
        <f t="shared" si="6"/>
        <v>Illescas Cases, David</v>
      </c>
      <c r="C149" t="s">
        <v>453</v>
      </c>
      <c r="D149" t="s">
        <v>71</v>
      </c>
      <c r="E149" s="4" t="str">
        <f t="shared" si="7"/>
        <v>David Illescas Cases</v>
      </c>
      <c r="K149" t="s">
        <v>449</v>
      </c>
      <c r="Q149" t="s">
        <v>20</v>
      </c>
      <c r="S149" t="s">
        <v>450</v>
      </c>
      <c r="T149" t="s">
        <v>451</v>
      </c>
      <c r="U149" t="s">
        <v>551</v>
      </c>
      <c r="W149" t="s">
        <v>452</v>
      </c>
      <c r="X149" t="s">
        <v>452</v>
      </c>
      <c r="Y149" t="s">
        <v>452</v>
      </c>
      <c r="AA149" t="str">
        <f t="shared" ca="1" si="8"/>
        <v/>
      </c>
    </row>
    <row r="150" spans="1:27" x14ac:dyDescent="0.25">
      <c r="A150">
        <v>10769232</v>
      </c>
      <c r="B150" s="4" t="str">
        <f t="shared" si="6"/>
        <v xml:space="preserve">Iriart Fernando, </v>
      </c>
      <c r="C150" t="s">
        <v>505</v>
      </c>
      <c r="E150" s="4" t="str">
        <f t="shared" si="7"/>
        <v xml:space="preserve"> Iriart Fernando</v>
      </c>
      <c r="Q150" t="s">
        <v>20</v>
      </c>
      <c r="S150" t="s">
        <v>450</v>
      </c>
      <c r="T150" t="s">
        <v>451</v>
      </c>
      <c r="W150" t="s">
        <v>452</v>
      </c>
      <c r="X150" t="s">
        <v>452</v>
      </c>
      <c r="AA150" t="str">
        <f t="shared" ca="1" si="8"/>
        <v/>
      </c>
    </row>
    <row r="151" spans="1:27" x14ac:dyDescent="0.25">
      <c r="A151" t="s">
        <v>406</v>
      </c>
      <c r="B151" s="4" t="str">
        <f t="shared" si="6"/>
        <v>Iriarte Perez, Gabriel</v>
      </c>
      <c r="C151" t="s">
        <v>237</v>
      </c>
      <c r="D151" t="s">
        <v>140</v>
      </c>
      <c r="E151" s="4" t="str">
        <f t="shared" si="7"/>
        <v>Gabriel Iriarte Perez</v>
      </c>
      <c r="Q151" t="s">
        <v>20</v>
      </c>
      <c r="AA151" t="str">
        <f t="shared" ca="1" si="8"/>
        <v/>
      </c>
    </row>
    <row r="152" spans="1:27" x14ac:dyDescent="0.25">
      <c r="A152">
        <v>10766585</v>
      </c>
      <c r="B152" s="4" t="str">
        <f t="shared" si="6"/>
        <v>Jacinto Trenado, María José</v>
      </c>
      <c r="C152" t="s">
        <v>227</v>
      </c>
      <c r="D152" t="s">
        <v>224</v>
      </c>
      <c r="E152" s="4" t="str">
        <f t="shared" si="7"/>
        <v>María José Jacinto Trenado</v>
      </c>
      <c r="Q152" t="s">
        <v>48</v>
      </c>
      <c r="R152" s="2">
        <v>24471</v>
      </c>
      <c r="AA152">
        <f t="shared" ca="1" si="8"/>
        <v>58</v>
      </c>
    </row>
    <row r="153" spans="1:27" x14ac:dyDescent="0.25">
      <c r="A153">
        <v>10769133</v>
      </c>
      <c r="B153" s="4" t="str">
        <f t="shared" si="6"/>
        <v>Jelly , Kat</v>
      </c>
      <c r="C153" t="s">
        <v>510</v>
      </c>
      <c r="D153" t="s">
        <v>511</v>
      </c>
      <c r="E153" s="4" t="str">
        <f t="shared" si="7"/>
        <v xml:space="preserve">Kat Jelly </v>
      </c>
      <c r="K153" t="s">
        <v>449</v>
      </c>
      <c r="Q153" t="s">
        <v>48</v>
      </c>
      <c r="T153" t="s">
        <v>497</v>
      </c>
      <c r="X153" t="s">
        <v>499</v>
      </c>
      <c r="AA153" t="str">
        <f t="shared" ca="1" si="8"/>
        <v/>
      </c>
    </row>
    <row r="154" spans="1:27" x14ac:dyDescent="0.25">
      <c r="A154">
        <v>10765884</v>
      </c>
      <c r="B154" s="4" t="str">
        <f t="shared" si="6"/>
        <v>Jimenez Jimenez, Santiago</v>
      </c>
      <c r="C154" t="s">
        <v>124</v>
      </c>
      <c r="D154" t="s">
        <v>23</v>
      </c>
      <c r="E154" s="4" t="str">
        <f t="shared" si="7"/>
        <v>Santiago Jimenez Jimenez</v>
      </c>
      <c r="Q154" t="s">
        <v>20</v>
      </c>
      <c r="R154" s="2">
        <v>25318</v>
      </c>
      <c r="AA154">
        <f t="shared" ca="1" si="8"/>
        <v>55</v>
      </c>
    </row>
    <row r="155" spans="1:27" x14ac:dyDescent="0.25">
      <c r="A155">
        <v>10777821</v>
      </c>
      <c r="B155" s="4" t="str">
        <f t="shared" si="6"/>
        <v>Joglar Bravo, Adrián</v>
      </c>
      <c r="C155" t="s">
        <v>99</v>
      </c>
      <c r="D155" t="s">
        <v>100</v>
      </c>
      <c r="E155" s="4" t="str">
        <f t="shared" si="7"/>
        <v>Adrián Joglar Bravo</v>
      </c>
      <c r="Q155" t="s">
        <v>20</v>
      </c>
      <c r="R155" s="2">
        <v>32977</v>
      </c>
      <c r="AA155">
        <f t="shared" ca="1" si="8"/>
        <v>34</v>
      </c>
    </row>
    <row r="156" spans="1:27" x14ac:dyDescent="0.25">
      <c r="A156">
        <v>10767129</v>
      </c>
      <c r="B156" s="4" t="str">
        <f t="shared" si="6"/>
        <v>Lainez Jimenez, Virginia</v>
      </c>
      <c r="C156" t="s">
        <v>350</v>
      </c>
      <c r="D156" t="s">
        <v>351</v>
      </c>
      <c r="E156" s="4" t="str">
        <f t="shared" si="7"/>
        <v>Virginia Lainez Jimenez</v>
      </c>
      <c r="K156" t="s">
        <v>449</v>
      </c>
      <c r="Q156" t="s">
        <v>48</v>
      </c>
      <c r="T156" t="s">
        <v>497</v>
      </c>
      <c r="U156" t="s">
        <v>551</v>
      </c>
      <c r="X156" t="s">
        <v>452</v>
      </c>
      <c r="Y156" t="s">
        <v>452</v>
      </c>
      <c r="AA156" t="str">
        <f t="shared" ca="1" si="8"/>
        <v/>
      </c>
    </row>
    <row r="157" spans="1:27" x14ac:dyDescent="0.25">
      <c r="A157">
        <v>10778283</v>
      </c>
      <c r="B157" s="4" t="str">
        <f t="shared" si="6"/>
        <v>Leganes Sanchez, Antonio</v>
      </c>
      <c r="C157" t="s">
        <v>166</v>
      </c>
      <c r="D157" t="s">
        <v>167</v>
      </c>
      <c r="E157" s="4" t="str">
        <f t="shared" si="7"/>
        <v>Antonio Leganes Sanchez</v>
      </c>
      <c r="Q157" t="s">
        <v>20</v>
      </c>
      <c r="R157" s="2">
        <v>19888</v>
      </c>
      <c r="AA157">
        <f t="shared" ca="1" si="8"/>
        <v>70</v>
      </c>
    </row>
    <row r="158" spans="1:27" x14ac:dyDescent="0.25">
      <c r="A158">
        <v>13465308</v>
      </c>
      <c r="B158" s="4" t="str">
        <f t="shared" si="6"/>
        <v>Lillo Pellies, Sergio</v>
      </c>
      <c r="C158" t="s">
        <v>467</v>
      </c>
      <c r="D158" t="s">
        <v>76</v>
      </c>
      <c r="E158" s="4" t="str">
        <f t="shared" si="7"/>
        <v>Sergio Lillo Pellies</v>
      </c>
      <c r="K158" t="s">
        <v>473</v>
      </c>
      <c r="Q158" t="s">
        <v>20</v>
      </c>
      <c r="S158" t="s">
        <v>450</v>
      </c>
      <c r="T158" t="s">
        <v>451</v>
      </c>
      <c r="W158" t="s">
        <v>452</v>
      </c>
      <c r="X158" t="s">
        <v>452</v>
      </c>
      <c r="AA158" t="str">
        <f t="shared" ca="1" si="8"/>
        <v/>
      </c>
    </row>
    <row r="159" spans="1:27" x14ac:dyDescent="0.25">
      <c r="A159">
        <v>10768789</v>
      </c>
      <c r="B159" s="4" t="str">
        <f t="shared" si="6"/>
        <v>Linares Andrade, Joan Manuel</v>
      </c>
      <c r="C159" t="s">
        <v>187</v>
      </c>
      <c r="D159" t="s">
        <v>182</v>
      </c>
      <c r="E159" s="4" t="str">
        <f t="shared" si="7"/>
        <v>Joan Manuel Linares Andrade</v>
      </c>
      <c r="K159" t="s">
        <v>449</v>
      </c>
      <c r="Q159" t="s">
        <v>20</v>
      </c>
      <c r="R159" s="2">
        <v>26450</v>
      </c>
      <c r="S159" t="s">
        <v>450</v>
      </c>
      <c r="T159" t="s">
        <v>451</v>
      </c>
      <c r="W159" t="s">
        <v>452</v>
      </c>
      <c r="X159" t="s">
        <v>452</v>
      </c>
      <c r="AA159">
        <f t="shared" ca="1" si="8"/>
        <v>52</v>
      </c>
    </row>
    <row r="160" spans="1:27" x14ac:dyDescent="0.25">
      <c r="A160" t="s">
        <v>407</v>
      </c>
      <c r="B160" s="4" t="str">
        <f t="shared" si="6"/>
        <v>Lopez Cabrera, Lorena</v>
      </c>
      <c r="C160" t="s">
        <v>218</v>
      </c>
      <c r="D160" t="s">
        <v>219</v>
      </c>
      <c r="E160" s="4" t="str">
        <f t="shared" si="7"/>
        <v>Lorena Lopez Cabrera</v>
      </c>
      <c r="Q160" t="s">
        <v>48</v>
      </c>
      <c r="AA160" t="str">
        <f t="shared" ca="1" si="8"/>
        <v/>
      </c>
    </row>
    <row r="161" spans="1:27" x14ac:dyDescent="0.25">
      <c r="A161" t="s">
        <v>408</v>
      </c>
      <c r="B161" s="4" t="str">
        <f t="shared" si="6"/>
        <v>López García, Enrique</v>
      </c>
      <c r="C161" t="s">
        <v>175</v>
      </c>
      <c r="D161" t="s">
        <v>131</v>
      </c>
      <c r="E161" s="4" t="str">
        <f t="shared" si="7"/>
        <v>Enrique López García</v>
      </c>
      <c r="Q161" t="s">
        <v>20</v>
      </c>
      <c r="AA161" t="str">
        <f t="shared" ca="1" si="8"/>
        <v/>
      </c>
    </row>
    <row r="162" spans="1:27" x14ac:dyDescent="0.25">
      <c r="A162">
        <v>7404007</v>
      </c>
      <c r="B162" s="4" t="str">
        <f t="shared" si="6"/>
        <v>Lopez Gomez, Miguel</v>
      </c>
      <c r="C162" t="s">
        <v>54</v>
      </c>
      <c r="D162" t="s">
        <v>22</v>
      </c>
      <c r="E162" s="4" t="str">
        <f t="shared" si="7"/>
        <v>Miguel Lopez Gomez</v>
      </c>
      <c r="K162" t="s">
        <v>449</v>
      </c>
      <c r="Q162" t="s">
        <v>20</v>
      </c>
      <c r="R162" s="2">
        <v>34605</v>
      </c>
      <c r="S162" t="s">
        <v>450</v>
      </c>
      <c r="T162" t="s">
        <v>451</v>
      </c>
      <c r="U162" t="s">
        <v>551</v>
      </c>
      <c r="W162" t="s">
        <v>452</v>
      </c>
      <c r="X162" t="s">
        <v>452</v>
      </c>
      <c r="Y162" t="s">
        <v>499</v>
      </c>
      <c r="AA162">
        <f t="shared" ca="1" si="8"/>
        <v>30</v>
      </c>
    </row>
    <row r="163" spans="1:27" x14ac:dyDescent="0.25">
      <c r="A163">
        <v>10773126</v>
      </c>
      <c r="B163" s="4" t="str">
        <f t="shared" si="6"/>
        <v>Lorenzo, Santiago</v>
      </c>
      <c r="C163" t="s">
        <v>264</v>
      </c>
      <c r="D163" t="s">
        <v>23</v>
      </c>
      <c r="E163" s="4" t="str">
        <f t="shared" si="7"/>
        <v>Santiago Lorenzo</v>
      </c>
      <c r="Q163" t="s">
        <v>20</v>
      </c>
      <c r="R163" s="2">
        <v>28449</v>
      </c>
      <c r="AA163">
        <f t="shared" ca="1" si="8"/>
        <v>47</v>
      </c>
    </row>
    <row r="164" spans="1:27" x14ac:dyDescent="0.25">
      <c r="A164">
        <v>620163</v>
      </c>
      <c r="B164" s="4" t="str">
        <f t="shared" si="6"/>
        <v>Lozano Puerto, Ricardo</v>
      </c>
      <c r="C164" t="s">
        <v>190</v>
      </c>
      <c r="D164" t="s">
        <v>191</v>
      </c>
      <c r="E164" s="4" t="str">
        <f t="shared" si="7"/>
        <v>Ricardo Lozano Puerto</v>
      </c>
      <c r="Q164" t="s">
        <v>20</v>
      </c>
      <c r="R164" s="2">
        <v>23982</v>
      </c>
      <c r="AA164">
        <f t="shared" ca="1" si="8"/>
        <v>59</v>
      </c>
    </row>
    <row r="165" spans="1:27" x14ac:dyDescent="0.25">
      <c r="A165">
        <v>10772780</v>
      </c>
      <c r="B165" s="4" t="str">
        <f t="shared" si="6"/>
        <v>Luaces, Ignacio</v>
      </c>
      <c r="C165" t="s">
        <v>192</v>
      </c>
      <c r="D165" t="s">
        <v>193</v>
      </c>
      <c r="E165" s="4" t="str">
        <f t="shared" si="7"/>
        <v>Ignacio Luaces</v>
      </c>
      <c r="Q165" t="s">
        <v>20</v>
      </c>
      <c r="R165" s="2">
        <v>24294</v>
      </c>
      <c r="AA165">
        <f t="shared" ca="1" si="8"/>
        <v>58</v>
      </c>
    </row>
    <row r="166" spans="1:27" x14ac:dyDescent="0.25">
      <c r="A166">
        <v>13464954</v>
      </c>
      <c r="B166" s="4" t="str">
        <f t="shared" si="6"/>
        <v>Marcos López, Vicente</v>
      </c>
      <c r="C166" t="s">
        <v>457</v>
      </c>
      <c r="D166" t="s">
        <v>269</v>
      </c>
      <c r="E166" s="4" t="str">
        <f t="shared" si="7"/>
        <v>Vicente Marcos López</v>
      </c>
      <c r="K166" t="s">
        <v>473</v>
      </c>
      <c r="Q166" t="s">
        <v>20</v>
      </c>
      <c r="S166" t="s">
        <v>450</v>
      </c>
      <c r="T166" t="s">
        <v>451</v>
      </c>
      <c r="U166" t="s">
        <v>551</v>
      </c>
      <c r="W166" t="s">
        <v>452</v>
      </c>
      <c r="X166" t="s">
        <v>452</v>
      </c>
      <c r="Y166" t="s">
        <v>452</v>
      </c>
      <c r="AA166" t="str">
        <f t="shared" ca="1" si="8"/>
        <v/>
      </c>
    </row>
    <row r="167" spans="1:27" x14ac:dyDescent="0.25">
      <c r="A167" t="s">
        <v>409</v>
      </c>
      <c r="B167" s="4" t="str">
        <f t="shared" si="6"/>
        <v>Maria Parrilla, Jose</v>
      </c>
      <c r="C167" t="s">
        <v>309</v>
      </c>
      <c r="D167" t="s">
        <v>49</v>
      </c>
      <c r="E167" s="4" t="str">
        <f t="shared" si="7"/>
        <v>Jose Maria Parrilla</v>
      </c>
      <c r="Q167" t="s">
        <v>20</v>
      </c>
      <c r="AA167" t="str">
        <f t="shared" ca="1" si="8"/>
        <v/>
      </c>
    </row>
    <row r="168" spans="1:27" x14ac:dyDescent="0.25">
      <c r="A168">
        <v>10737734</v>
      </c>
      <c r="B168" s="4" t="str">
        <f t="shared" si="6"/>
        <v>Marin Alia Rebate, Jacobo</v>
      </c>
      <c r="C168" t="s">
        <v>74</v>
      </c>
      <c r="D168" t="s">
        <v>75</v>
      </c>
      <c r="E168" s="4" t="str">
        <f t="shared" si="7"/>
        <v>Jacobo Marin Alia Rebate</v>
      </c>
      <c r="Q168" t="s">
        <v>20</v>
      </c>
      <c r="R168" s="2">
        <v>27596</v>
      </c>
      <c r="AA168">
        <f t="shared" ca="1" si="8"/>
        <v>49</v>
      </c>
    </row>
    <row r="169" spans="1:27" x14ac:dyDescent="0.25">
      <c r="A169">
        <v>10766270</v>
      </c>
      <c r="B169" s="4" t="str">
        <f t="shared" si="6"/>
        <v>Martín Rodríguez, Rafael</v>
      </c>
      <c r="C169" t="s">
        <v>184</v>
      </c>
      <c r="D169" t="s">
        <v>185</v>
      </c>
      <c r="E169" s="4" t="str">
        <f t="shared" si="7"/>
        <v>Rafael Martín Rodríguez</v>
      </c>
      <c r="Q169" t="s">
        <v>20</v>
      </c>
      <c r="R169" s="2">
        <v>26837</v>
      </c>
      <c r="AA169">
        <f t="shared" ca="1" si="8"/>
        <v>51</v>
      </c>
    </row>
    <row r="170" spans="1:27" x14ac:dyDescent="0.25">
      <c r="A170" t="s">
        <v>410</v>
      </c>
      <c r="B170" s="4" t="str">
        <f t="shared" si="6"/>
        <v>Martinex Gonzalez, Luis</v>
      </c>
      <c r="C170" t="s">
        <v>235</v>
      </c>
      <c r="D170" t="s">
        <v>236</v>
      </c>
      <c r="E170" s="4" t="str">
        <f t="shared" si="7"/>
        <v>Luis Martinex Gonzalez</v>
      </c>
      <c r="Q170" t="s">
        <v>20</v>
      </c>
      <c r="AA170" t="str">
        <f t="shared" ca="1" si="8"/>
        <v/>
      </c>
    </row>
    <row r="171" spans="1:27" x14ac:dyDescent="0.25">
      <c r="A171">
        <v>10768474</v>
      </c>
      <c r="B171" s="4" t="str">
        <f t="shared" si="6"/>
        <v>Martínez Gallego, Sergio</v>
      </c>
      <c r="C171" t="s">
        <v>85</v>
      </c>
      <c r="D171" t="s">
        <v>76</v>
      </c>
      <c r="E171" s="4" t="str">
        <f t="shared" si="7"/>
        <v>Sergio Martínez Gallego</v>
      </c>
      <c r="Q171" t="s">
        <v>20</v>
      </c>
      <c r="R171" s="2">
        <v>28329</v>
      </c>
      <c r="AA171">
        <f t="shared" ca="1" si="8"/>
        <v>47</v>
      </c>
    </row>
    <row r="172" spans="1:27" x14ac:dyDescent="0.25">
      <c r="A172">
        <v>10768242</v>
      </c>
      <c r="B172" s="4" t="str">
        <f t="shared" si="6"/>
        <v>Martinez Gonzalez, Eva</v>
      </c>
      <c r="C172" t="s">
        <v>196</v>
      </c>
      <c r="D172" t="s">
        <v>197</v>
      </c>
      <c r="E172" s="4" t="str">
        <f t="shared" si="7"/>
        <v>Eva Martinez Gonzalez</v>
      </c>
      <c r="Q172" t="s">
        <v>48</v>
      </c>
      <c r="R172" s="2">
        <v>20731</v>
      </c>
      <c r="AA172">
        <f t="shared" ca="1" si="8"/>
        <v>68</v>
      </c>
    </row>
    <row r="173" spans="1:27" x14ac:dyDescent="0.25">
      <c r="A173">
        <v>10777532</v>
      </c>
      <c r="B173" s="4" t="str">
        <f t="shared" si="6"/>
        <v>Martinez Lopez, Paloma</v>
      </c>
      <c r="C173" t="s">
        <v>330</v>
      </c>
      <c r="D173" t="s">
        <v>199</v>
      </c>
      <c r="E173" s="4" t="str">
        <f t="shared" si="7"/>
        <v>Paloma Martinez Lopez</v>
      </c>
      <c r="Q173" t="s">
        <v>48</v>
      </c>
      <c r="R173" s="2">
        <v>31178</v>
      </c>
      <c r="AA173">
        <f t="shared" ca="1" si="8"/>
        <v>39</v>
      </c>
    </row>
    <row r="174" spans="1:27" x14ac:dyDescent="0.25">
      <c r="A174">
        <v>10770859</v>
      </c>
      <c r="B174" s="4" t="str">
        <f t="shared" si="6"/>
        <v>Martinez Moreno, Jose Alberto</v>
      </c>
      <c r="C174" t="s">
        <v>267</v>
      </c>
      <c r="D174" t="s">
        <v>250</v>
      </c>
      <c r="E174" s="4" t="str">
        <f t="shared" si="7"/>
        <v>Jose Alberto Martinez Moreno</v>
      </c>
      <c r="Q174" t="s">
        <v>20</v>
      </c>
      <c r="R174" s="2">
        <v>29014</v>
      </c>
      <c r="AA174">
        <f t="shared" ca="1" si="8"/>
        <v>45</v>
      </c>
    </row>
    <row r="175" spans="1:27" x14ac:dyDescent="0.25">
      <c r="A175">
        <v>10768010</v>
      </c>
      <c r="B175" s="4" t="str">
        <f t="shared" si="6"/>
        <v>Martínez Saiz, Concepcion</v>
      </c>
      <c r="C175" t="s">
        <v>324</v>
      </c>
      <c r="D175" t="s">
        <v>325</v>
      </c>
      <c r="E175" s="4" t="str">
        <f t="shared" si="7"/>
        <v>Concepcion Martínez Saiz</v>
      </c>
      <c r="Q175" t="s">
        <v>48</v>
      </c>
      <c r="R175" s="2">
        <v>22979</v>
      </c>
      <c r="AA175">
        <f t="shared" ca="1" si="8"/>
        <v>62</v>
      </c>
    </row>
    <row r="176" spans="1:27" x14ac:dyDescent="0.25">
      <c r="A176">
        <v>3039890</v>
      </c>
      <c r="B176" s="4" t="str">
        <f t="shared" si="6"/>
        <v>Martinez Santonja, Esteban</v>
      </c>
      <c r="C176" t="s">
        <v>469</v>
      </c>
      <c r="D176" t="s">
        <v>470</v>
      </c>
      <c r="E176" s="4" t="str">
        <f t="shared" si="7"/>
        <v>Esteban Martinez Santonja</v>
      </c>
      <c r="K176" t="s">
        <v>473</v>
      </c>
      <c r="Q176" t="s">
        <v>20</v>
      </c>
      <c r="S176" t="s">
        <v>450</v>
      </c>
      <c r="T176" t="s">
        <v>451</v>
      </c>
      <c r="W176" t="s">
        <v>452</v>
      </c>
      <c r="X176" t="s">
        <v>452</v>
      </c>
      <c r="AA176" t="str">
        <f t="shared" ca="1" si="8"/>
        <v/>
      </c>
    </row>
    <row r="177" spans="1:27" x14ac:dyDescent="0.25">
      <c r="A177">
        <v>10765355</v>
      </c>
      <c r="B177" s="4" t="str">
        <f t="shared" si="6"/>
        <v>Medina Díaz, Rubén</v>
      </c>
      <c r="C177" t="s">
        <v>77</v>
      </c>
      <c r="D177" t="s">
        <v>78</v>
      </c>
      <c r="E177" s="4" t="str">
        <f t="shared" si="7"/>
        <v>Rubén Medina Díaz</v>
      </c>
      <c r="Q177" t="s">
        <v>20</v>
      </c>
      <c r="R177" s="2">
        <v>31619</v>
      </c>
      <c r="AA177">
        <f t="shared" ca="1" si="8"/>
        <v>38</v>
      </c>
    </row>
    <row r="178" spans="1:27" x14ac:dyDescent="0.25">
      <c r="A178" t="s">
        <v>411</v>
      </c>
      <c r="B178" s="4" t="str">
        <f t="shared" si="6"/>
        <v>Mendez, Sabrina</v>
      </c>
      <c r="C178" t="s">
        <v>356</v>
      </c>
      <c r="D178" t="s">
        <v>357</v>
      </c>
      <c r="E178" s="4" t="str">
        <f t="shared" si="7"/>
        <v>Sabrina Mendez</v>
      </c>
      <c r="Q178" t="s">
        <v>48</v>
      </c>
      <c r="AA178" t="str">
        <f t="shared" ca="1" si="8"/>
        <v/>
      </c>
    </row>
    <row r="179" spans="1:27" x14ac:dyDescent="0.25">
      <c r="A179">
        <v>7238183</v>
      </c>
      <c r="B179" s="4" t="str">
        <f t="shared" si="6"/>
        <v>Mendez Dominguez, Sabrina</v>
      </c>
      <c r="C179" t="s">
        <v>475</v>
      </c>
      <c r="D179" t="s">
        <v>357</v>
      </c>
      <c r="E179" s="4" t="str">
        <f t="shared" si="7"/>
        <v>Sabrina Mendez Dominguez</v>
      </c>
      <c r="K179" t="s">
        <v>449</v>
      </c>
      <c r="Q179" t="s">
        <v>48</v>
      </c>
      <c r="S179" t="s">
        <v>498</v>
      </c>
      <c r="T179" t="s">
        <v>497</v>
      </c>
      <c r="U179" t="s">
        <v>551</v>
      </c>
      <c r="W179" t="s">
        <v>452</v>
      </c>
      <c r="X179" t="s">
        <v>452</v>
      </c>
      <c r="Y179" t="s">
        <v>452</v>
      </c>
      <c r="AA179" t="str">
        <f t="shared" ca="1" si="8"/>
        <v/>
      </c>
    </row>
    <row r="180" spans="1:27" x14ac:dyDescent="0.25">
      <c r="A180">
        <v>10611342</v>
      </c>
      <c r="B180" s="4" t="str">
        <f t="shared" si="6"/>
        <v>Mendola, Julian Francisco</v>
      </c>
      <c r="C180" t="s">
        <v>288</v>
      </c>
      <c r="D180" t="s">
        <v>251</v>
      </c>
      <c r="E180" s="4" t="str">
        <f t="shared" si="7"/>
        <v>Julian Francisco Mendola</v>
      </c>
      <c r="Q180" t="s">
        <v>20</v>
      </c>
      <c r="R180" s="2">
        <v>27314</v>
      </c>
      <c r="AA180">
        <f t="shared" ca="1" si="8"/>
        <v>50</v>
      </c>
    </row>
    <row r="181" spans="1:27" x14ac:dyDescent="0.25">
      <c r="A181" t="s">
        <v>412</v>
      </c>
      <c r="B181" s="4" t="str">
        <f t="shared" si="6"/>
        <v>Mendoza Mendoza, Ruth María</v>
      </c>
      <c r="C181" t="s">
        <v>358</v>
      </c>
      <c r="D181" t="s">
        <v>321</v>
      </c>
      <c r="E181" s="4" t="str">
        <f t="shared" si="7"/>
        <v>Ruth María Mendoza Mendoza</v>
      </c>
      <c r="Q181" t="s">
        <v>48</v>
      </c>
      <c r="AA181" t="str">
        <f t="shared" ca="1" si="8"/>
        <v/>
      </c>
    </row>
    <row r="182" spans="1:27" x14ac:dyDescent="0.25">
      <c r="A182">
        <v>16951726</v>
      </c>
      <c r="B182" s="4" t="str">
        <f t="shared" si="6"/>
        <v>Millon Soto, Celia</v>
      </c>
      <c r="C182" t="s">
        <v>483</v>
      </c>
      <c r="D182" t="s">
        <v>37</v>
      </c>
      <c r="E182" s="4" t="str">
        <f t="shared" si="7"/>
        <v>Celia Millon Soto</v>
      </c>
      <c r="K182" t="s">
        <v>472</v>
      </c>
      <c r="Q182" t="s">
        <v>48</v>
      </c>
      <c r="S182" t="s">
        <v>498</v>
      </c>
      <c r="T182" t="s">
        <v>497</v>
      </c>
      <c r="U182" t="s">
        <v>551</v>
      </c>
      <c r="W182" t="s">
        <v>499</v>
      </c>
      <c r="X182" t="s">
        <v>499</v>
      </c>
      <c r="Y182" t="s">
        <v>499</v>
      </c>
      <c r="AA182" t="str">
        <f t="shared" ca="1" si="8"/>
        <v/>
      </c>
    </row>
    <row r="183" spans="1:27" x14ac:dyDescent="0.25">
      <c r="A183">
        <v>5830585</v>
      </c>
      <c r="B183" s="4" t="str">
        <f t="shared" si="6"/>
        <v>Molero Lorenzo, Rebeca</v>
      </c>
      <c r="C183" t="s">
        <v>34</v>
      </c>
      <c r="D183" t="s">
        <v>35</v>
      </c>
      <c r="E183" s="4" t="str">
        <f t="shared" si="7"/>
        <v>Rebeca Molero Lorenzo</v>
      </c>
      <c r="F183" t="s">
        <v>19</v>
      </c>
      <c r="G183" t="s">
        <v>19</v>
      </c>
      <c r="H183" t="s">
        <v>19</v>
      </c>
      <c r="I183" t="s">
        <v>19</v>
      </c>
      <c r="J183" t="s">
        <v>19</v>
      </c>
      <c r="K183" t="s">
        <v>19</v>
      </c>
      <c r="L183" t="s">
        <v>19</v>
      </c>
      <c r="M183" t="s">
        <v>19</v>
      </c>
      <c r="N183" t="s">
        <v>19</v>
      </c>
      <c r="O183" t="s">
        <v>19</v>
      </c>
      <c r="P183" t="s">
        <v>19</v>
      </c>
      <c r="Q183" t="s">
        <v>48</v>
      </c>
      <c r="R183" s="2">
        <v>34365</v>
      </c>
      <c r="AA183">
        <f t="shared" ca="1" si="8"/>
        <v>30</v>
      </c>
    </row>
    <row r="184" spans="1:27" x14ac:dyDescent="0.25">
      <c r="A184">
        <v>10767252</v>
      </c>
      <c r="B184" s="4" t="str">
        <f t="shared" si="6"/>
        <v>Montañez Cordobes, Juan Manuel</v>
      </c>
      <c r="C184" t="s">
        <v>282</v>
      </c>
      <c r="D184" t="s">
        <v>181</v>
      </c>
      <c r="E184" s="4" t="str">
        <f t="shared" si="7"/>
        <v>Juan Manuel Montañez Cordobes</v>
      </c>
      <c r="Q184" t="s">
        <v>20</v>
      </c>
      <c r="R184" s="2">
        <v>30476</v>
      </c>
      <c r="AA184">
        <f t="shared" ca="1" si="8"/>
        <v>41</v>
      </c>
    </row>
    <row r="185" spans="1:27" x14ac:dyDescent="0.25">
      <c r="A185">
        <v>10169135</v>
      </c>
      <c r="B185" s="4" t="str">
        <f t="shared" si="6"/>
        <v>Montejo Gonzalez, Francisco</v>
      </c>
      <c r="C185" t="s">
        <v>106</v>
      </c>
      <c r="D185" t="s">
        <v>64</v>
      </c>
      <c r="E185" s="4" t="str">
        <f t="shared" si="7"/>
        <v>Francisco Montejo Gonzalez</v>
      </c>
      <c r="Q185" t="s">
        <v>20</v>
      </c>
      <c r="R185" s="2">
        <v>29633</v>
      </c>
      <c r="AA185">
        <f t="shared" ca="1" si="8"/>
        <v>43</v>
      </c>
    </row>
    <row r="186" spans="1:27" x14ac:dyDescent="0.25">
      <c r="A186">
        <v>16953235</v>
      </c>
      <c r="B186" s="4" t="str">
        <f t="shared" si="6"/>
        <v>Morales Herrera, Mamen</v>
      </c>
      <c r="C186" t="s">
        <v>520</v>
      </c>
      <c r="D186" t="s">
        <v>521</v>
      </c>
      <c r="E186" s="4" t="str">
        <f t="shared" si="7"/>
        <v>Mamen Morales Herrera</v>
      </c>
      <c r="K186" t="s">
        <v>472</v>
      </c>
      <c r="Q186" t="s">
        <v>48</v>
      </c>
      <c r="T186" t="s">
        <v>497</v>
      </c>
      <c r="U186" t="s">
        <v>551</v>
      </c>
      <c r="X186" t="s">
        <v>499</v>
      </c>
      <c r="Y186" t="s">
        <v>499</v>
      </c>
      <c r="AA186" t="str">
        <f t="shared" ca="1" si="8"/>
        <v/>
      </c>
    </row>
    <row r="187" spans="1:27" x14ac:dyDescent="0.25">
      <c r="A187">
        <v>10768482</v>
      </c>
      <c r="B187" s="4" t="str">
        <f t="shared" si="6"/>
        <v>Moreno Aguilar, Jesus</v>
      </c>
      <c r="C187" t="s">
        <v>83</v>
      </c>
      <c r="D187" t="s">
        <v>84</v>
      </c>
      <c r="E187" s="4" t="str">
        <f t="shared" si="7"/>
        <v>Jesus Moreno Aguilar</v>
      </c>
      <c r="Q187" t="s">
        <v>20</v>
      </c>
      <c r="R187" s="2">
        <v>29511</v>
      </c>
      <c r="AA187">
        <f t="shared" ca="1" si="8"/>
        <v>44</v>
      </c>
    </row>
    <row r="188" spans="1:27" x14ac:dyDescent="0.25">
      <c r="A188">
        <v>10770809</v>
      </c>
      <c r="B188" s="4" t="str">
        <f t="shared" si="6"/>
        <v>Morillas Poyato, Diego</v>
      </c>
      <c r="C188" t="s">
        <v>62</v>
      </c>
      <c r="D188" t="s">
        <v>63</v>
      </c>
      <c r="E188" s="4" t="str">
        <f t="shared" si="7"/>
        <v>Diego Morillas Poyato</v>
      </c>
      <c r="Q188" t="s">
        <v>20</v>
      </c>
      <c r="R188" s="2">
        <v>32535</v>
      </c>
      <c r="AA188">
        <f t="shared" ca="1" si="8"/>
        <v>35</v>
      </c>
    </row>
    <row r="189" spans="1:27" x14ac:dyDescent="0.25">
      <c r="A189">
        <v>9659246</v>
      </c>
      <c r="B189" s="4" t="str">
        <f t="shared" si="6"/>
        <v>Muñoz Maroto, Manuel</v>
      </c>
      <c r="C189" t="s">
        <v>120</v>
      </c>
      <c r="D189" t="s">
        <v>116</v>
      </c>
      <c r="E189" s="4" t="str">
        <f t="shared" si="7"/>
        <v>Manuel Muñoz Maroto</v>
      </c>
      <c r="Q189" t="s">
        <v>20</v>
      </c>
      <c r="R189" s="2">
        <v>36767</v>
      </c>
      <c r="AA189">
        <f t="shared" ca="1" si="8"/>
        <v>24</v>
      </c>
    </row>
    <row r="190" spans="1:27" x14ac:dyDescent="0.25">
      <c r="A190">
        <v>10772855</v>
      </c>
      <c r="B190" s="4" t="str">
        <f t="shared" si="6"/>
        <v>Muriel Gutierrez, Paloma</v>
      </c>
      <c r="C190" t="s">
        <v>198</v>
      </c>
      <c r="D190" t="s">
        <v>199</v>
      </c>
      <c r="E190" s="4" t="str">
        <f t="shared" si="7"/>
        <v>Paloma Muriel Gutierrez</v>
      </c>
      <c r="Q190" t="s">
        <v>48</v>
      </c>
      <c r="R190" s="2">
        <v>24934</v>
      </c>
      <c r="AA190">
        <f t="shared" ca="1" si="8"/>
        <v>56</v>
      </c>
    </row>
    <row r="191" spans="1:27" x14ac:dyDescent="0.25">
      <c r="A191">
        <v>10772722</v>
      </c>
      <c r="B191" s="4" t="str">
        <f t="shared" si="6"/>
        <v>Nan Kargahi, Manijeh</v>
      </c>
      <c r="C191" t="s">
        <v>212</v>
      </c>
      <c r="D191" t="s">
        <v>213</v>
      </c>
      <c r="E191" s="4" t="str">
        <f t="shared" si="7"/>
        <v>Manijeh Nan Kargahi</v>
      </c>
      <c r="Q191" t="s">
        <v>48</v>
      </c>
      <c r="R191" s="2">
        <v>25225</v>
      </c>
      <c r="AA191">
        <f t="shared" ca="1" si="8"/>
        <v>55</v>
      </c>
    </row>
    <row r="192" spans="1:27" x14ac:dyDescent="0.25">
      <c r="A192">
        <v>9431412</v>
      </c>
      <c r="B192" s="4" t="str">
        <f t="shared" si="6"/>
        <v>Narbona Mazuela, Alfonso Juan</v>
      </c>
      <c r="C192" t="s">
        <v>255</v>
      </c>
      <c r="D192" t="s">
        <v>249</v>
      </c>
      <c r="E192" s="4" t="str">
        <f t="shared" si="7"/>
        <v>Alfonso Juan Narbona Mazuela</v>
      </c>
      <c r="Q192" t="s">
        <v>20</v>
      </c>
      <c r="R192" s="2">
        <v>34001</v>
      </c>
      <c r="AA192">
        <f t="shared" ca="1" si="8"/>
        <v>31</v>
      </c>
    </row>
    <row r="193" spans="1:27" x14ac:dyDescent="0.25">
      <c r="A193">
        <v>9754385</v>
      </c>
      <c r="B193" s="4" t="str">
        <f t="shared" si="6"/>
        <v>Navas Diaz, Borja</v>
      </c>
      <c r="C193" t="s">
        <v>55</v>
      </c>
      <c r="D193" t="s">
        <v>56</v>
      </c>
      <c r="E193" s="4" t="str">
        <f t="shared" si="7"/>
        <v>Borja Navas Diaz</v>
      </c>
      <c r="Q193" t="s">
        <v>20</v>
      </c>
      <c r="R193" s="2">
        <v>33678</v>
      </c>
      <c r="AA193">
        <f t="shared" ca="1" si="8"/>
        <v>32</v>
      </c>
    </row>
    <row r="194" spans="1:27" x14ac:dyDescent="0.25">
      <c r="A194" t="s">
        <v>413</v>
      </c>
      <c r="B194" s="4" t="str">
        <f t="shared" ref="B194:B257" si="9">CONCATENATE(C194,", ", D194)</f>
        <v>Navas Rodriguez, German</v>
      </c>
      <c r="C194" t="s">
        <v>311</v>
      </c>
      <c r="D194" t="s">
        <v>312</v>
      </c>
      <c r="E194" s="4" t="str">
        <f t="shared" ref="E194:E257" si="10">CONCATENATE(D194," ",C194)</f>
        <v>German Navas Rodriguez</v>
      </c>
      <c r="Q194" t="s">
        <v>20</v>
      </c>
      <c r="AA194" t="str">
        <f t="shared" ca="1" si="8"/>
        <v/>
      </c>
    </row>
    <row r="195" spans="1:27" x14ac:dyDescent="0.25">
      <c r="A195">
        <v>10777425</v>
      </c>
      <c r="B195" s="4" t="str">
        <f t="shared" si="9"/>
        <v>Nederlandt, Laurent</v>
      </c>
      <c r="C195" t="s">
        <v>143</v>
      </c>
      <c r="D195" t="s">
        <v>144</v>
      </c>
      <c r="E195" s="4" t="str">
        <f t="shared" si="10"/>
        <v>Laurent Nederlandt</v>
      </c>
      <c r="Q195" t="s">
        <v>20</v>
      </c>
      <c r="R195" s="2">
        <v>26494</v>
      </c>
      <c r="AA195">
        <f t="shared" ref="AA195:AA258" ca="1" si="11">IF(ISBLANK(R195),"",((YEAR(NOW())-YEAR(R195))))</f>
        <v>52</v>
      </c>
    </row>
    <row r="196" spans="1:27" x14ac:dyDescent="0.25">
      <c r="A196">
        <v>10782789</v>
      </c>
      <c r="B196" s="4" t="str">
        <f t="shared" si="9"/>
        <v>Neill, Julie</v>
      </c>
      <c r="C196" t="s">
        <v>46</v>
      </c>
      <c r="D196" t="s">
        <v>47</v>
      </c>
      <c r="E196" s="4" t="str">
        <f t="shared" si="10"/>
        <v>Julie Neill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19</v>
      </c>
      <c r="N196" t="s">
        <v>19</v>
      </c>
      <c r="O196" t="s">
        <v>19</v>
      </c>
      <c r="P196" t="s">
        <v>19</v>
      </c>
      <c r="Q196" t="s">
        <v>48</v>
      </c>
      <c r="R196" s="2">
        <v>27767</v>
      </c>
      <c r="AA196">
        <f t="shared" ca="1" si="11"/>
        <v>48</v>
      </c>
    </row>
    <row r="197" spans="1:27" x14ac:dyDescent="0.25">
      <c r="A197" t="s">
        <v>414</v>
      </c>
      <c r="B197" s="4" t="str">
        <f t="shared" si="9"/>
        <v>Nieto Gallardo, Pablo</v>
      </c>
      <c r="C197" t="s">
        <v>246</v>
      </c>
      <c r="D197" t="s">
        <v>129</v>
      </c>
      <c r="E197" s="4" t="str">
        <f t="shared" si="10"/>
        <v>Pablo Nieto Gallardo</v>
      </c>
      <c r="Q197" t="s">
        <v>48</v>
      </c>
      <c r="AA197" t="str">
        <f t="shared" ca="1" si="11"/>
        <v/>
      </c>
    </row>
    <row r="198" spans="1:27" x14ac:dyDescent="0.25">
      <c r="A198">
        <v>10768060</v>
      </c>
      <c r="B198" s="4" t="str">
        <f t="shared" si="9"/>
        <v>Novales De Diago, Eneko</v>
      </c>
      <c r="C198" t="s">
        <v>540</v>
      </c>
      <c r="D198" t="s">
        <v>529</v>
      </c>
      <c r="E198" s="4" t="str">
        <f t="shared" si="10"/>
        <v>Eneko Novales De Diago</v>
      </c>
      <c r="K198" t="s">
        <v>449</v>
      </c>
      <c r="Q198" t="s">
        <v>20</v>
      </c>
      <c r="U198" t="s">
        <v>551</v>
      </c>
      <c r="Y198" t="s">
        <v>499</v>
      </c>
      <c r="AA198" t="str">
        <f t="shared" ca="1" si="11"/>
        <v/>
      </c>
    </row>
    <row r="199" spans="1:27" x14ac:dyDescent="0.25">
      <c r="A199" t="s">
        <v>415</v>
      </c>
      <c r="B199" s="4" t="str">
        <f t="shared" si="9"/>
        <v>Ocaña Martinez, Jose Manuel</v>
      </c>
      <c r="C199" t="s">
        <v>176</v>
      </c>
      <c r="D199" t="s">
        <v>171</v>
      </c>
      <c r="E199" s="4" t="str">
        <f t="shared" si="10"/>
        <v>Jose Manuel Ocaña Martinez</v>
      </c>
      <c r="Q199" t="s">
        <v>20</v>
      </c>
      <c r="AA199" t="str">
        <f t="shared" ca="1" si="11"/>
        <v/>
      </c>
    </row>
    <row r="200" spans="1:27" x14ac:dyDescent="0.25">
      <c r="A200" t="s">
        <v>416</v>
      </c>
      <c r="B200" s="4" t="str">
        <f t="shared" si="9"/>
        <v>Ojalvo Lozano, Beatriz</v>
      </c>
      <c r="C200" t="s">
        <v>221</v>
      </c>
      <c r="D200" t="s">
        <v>222</v>
      </c>
      <c r="E200" s="4" t="str">
        <f t="shared" si="10"/>
        <v>Beatriz Ojalvo Lozano</v>
      </c>
      <c r="Q200" t="s">
        <v>48</v>
      </c>
      <c r="AA200" t="str">
        <f t="shared" ca="1" si="11"/>
        <v/>
      </c>
    </row>
    <row r="201" spans="1:27" x14ac:dyDescent="0.25">
      <c r="A201" s="3" t="s">
        <v>442</v>
      </c>
      <c r="B201" s="4" t="str">
        <f t="shared" si="9"/>
        <v>Ojalvo Lozano, David</v>
      </c>
      <c r="C201" t="s">
        <v>221</v>
      </c>
      <c r="D201" t="s">
        <v>71</v>
      </c>
      <c r="E201" s="4" t="str">
        <f t="shared" si="10"/>
        <v>David Ojalvo Lozano</v>
      </c>
      <c r="AA201" t="str">
        <f t="shared" ca="1" si="11"/>
        <v/>
      </c>
    </row>
    <row r="202" spans="1:27" x14ac:dyDescent="0.25">
      <c r="A202">
        <v>11855303</v>
      </c>
      <c r="B202" s="4" t="str">
        <f t="shared" si="9"/>
        <v>Oliver Cruells, Ferran</v>
      </c>
      <c r="C202" t="s">
        <v>542</v>
      </c>
      <c r="D202" t="s">
        <v>531</v>
      </c>
      <c r="E202" s="4" t="str">
        <f t="shared" si="10"/>
        <v>Ferran Oliver Cruells</v>
      </c>
      <c r="K202" t="s">
        <v>471</v>
      </c>
      <c r="Q202" t="s">
        <v>20</v>
      </c>
      <c r="U202" t="s">
        <v>551</v>
      </c>
      <c r="Y202" t="s">
        <v>499</v>
      </c>
      <c r="AA202" t="str">
        <f t="shared" ca="1" si="11"/>
        <v/>
      </c>
    </row>
    <row r="203" spans="1:27" x14ac:dyDescent="0.25">
      <c r="A203">
        <v>16953227</v>
      </c>
      <c r="B203" s="4" t="str">
        <f t="shared" si="9"/>
        <v>Oliver De Torres, Jesús</v>
      </c>
      <c r="C203" t="s">
        <v>539</v>
      </c>
      <c r="D203" t="s">
        <v>161</v>
      </c>
      <c r="E203" s="4" t="str">
        <f t="shared" si="10"/>
        <v>Jesús Oliver De Torres</v>
      </c>
      <c r="K203" t="s">
        <v>472</v>
      </c>
      <c r="Q203" t="s">
        <v>20</v>
      </c>
      <c r="U203" t="s">
        <v>551</v>
      </c>
      <c r="Y203" t="s">
        <v>499</v>
      </c>
      <c r="AA203" t="str">
        <f t="shared" ca="1" si="11"/>
        <v/>
      </c>
    </row>
    <row r="204" spans="1:27" x14ac:dyDescent="0.25">
      <c r="A204">
        <v>13405065</v>
      </c>
      <c r="B204" s="4" t="str">
        <f t="shared" si="9"/>
        <v>Olmo , Laura</v>
      </c>
      <c r="C204" t="s">
        <v>516</v>
      </c>
      <c r="D204" t="s">
        <v>337</v>
      </c>
      <c r="E204" s="4" t="str">
        <f t="shared" si="10"/>
        <v xml:space="preserve">Laura Olmo </v>
      </c>
      <c r="K204" t="s">
        <v>449</v>
      </c>
      <c r="Q204" t="s">
        <v>48</v>
      </c>
      <c r="T204" t="s">
        <v>497</v>
      </c>
      <c r="X204" t="s">
        <v>499</v>
      </c>
      <c r="AA204" t="str">
        <f t="shared" ca="1" si="11"/>
        <v/>
      </c>
    </row>
    <row r="205" spans="1:27" x14ac:dyDescent="0.25">
      <c r="A205">
        <v>10767872</v>
      </c>
      <c r="B205" s="4" t="str">
        <f t="shared" si="9"/>
        <v>Ortiz Villoria, Lucas</v>
      </c>
      <c r="C205" t="s">
        <v>369</v>
      </c>
      <c r="D205" t="s">
        <v>370</v>
      </c>
      <c r="E205" s="4" t="str">
        <f t="shared" si="10"/>
        <v>Lucas Ortiz Villoria</v>
      </c>
      <c r="Q205" t="s">
        <v>20</v>
      </c>
      <c r="R205" s="2">
        <v>40335</v>
      </c>
      <c r="AA205">
        <f t="shared" ca="1" si="11"/>
        <v>14</v>
      </c>
    </row>
    <row r="206" spans="1:27" x14ac:dyDescent="0.25">
      <c r="A206">
        <v>10768466</v>
      </c>
      <c r="B206" s="4" t="str">
        <f t="shared" si="9"/>
        <v>Paiva Jardim, Marcello</v>
      </c>
      <c r="C206" t="s">
        <v>443</v>
      </c>
      <c r="D206" t="s">
        <v>444</v>
      </c>
      <c r="E206" s="4" t="str">
        <f t="shared" si="10"/>
        <v>Marcello Paiva Jardim</v>
      </c>
      <c r="K206" t="s">
        <v>449</v>
      </c>
      <c r="Q206" t="s">
        <v>20</v>
      </c>
      <c r="S206" t="s">
        <v>450</v>
      </c>
      <c r="T206" t="s">
        <v>451</v>
      </c>
      <c r="U206" t="s">
        <v>551</v>
      </c>
      <c r="W206" t="s">
        <v>452</v>
      </c>
      <c r="X206" t="s">
        <v>452</v>
      </c>
      <c r="Y206" t="s">
        <v>452</v>
      </c>
      <c r="AA206" t="str">
        <f t="shared" ca="1" si="11"/>
        <v/>
      </c>
    </row>
    <row r="207" spans="1:27" x14ac:dyDescent="0.25">
      <c r="A207" t="s">
        <v>417</v>
      </c>
      <c r="B207" s="4" t="str">
        <f t="shared" si="9"/>
        <v>Palomar Framit, Asier</v>
      </c>
      <c r="C207" t="s">
        <v>239</v>
      </c>
      <c r="D207" t="s">
        <v>240</v>
      </c>
      <c r="E207" s="4" t="str">
        <f t="shared" si="10"/>
        <v>Asier Palomar Framit</v>
      </c>
      <c r="Q207" t="s">
        <v>20</v>
      </c>
      <c r="AA207" t="str">
        <f t="shared" ca="1" si="11"/>
        <v/>
      </c>
    </row>
    <row r="208" spans="1:27" x14ac:dyDescent="0.25">
      <c r="A208">
        <v>10605866</v>
      </c>
      <c r="B208" s="4" t="str">
        <f t="shared" si="9"/>
        <v>Parrilla Garcia, José Maria</v>
      </c>
      <c r="C208" t="s">
        <v>112</v>
      </c>
      <c r="D208" t="s">
        <v>535</v>
      </c>
      <c r="E208" s="4" t="str">
        <f t="shared" si="10"/>
        <v>José Maria Parrilla Garcia</v>
      </c>
      <c r="K208" t="s">
        <v>449</v>
      </c>
      <c r="Q208" t="s">
        <v>20</v>
      </c>
      <c r="R208" s="2">
        <v>30220</v>
      </c>
      <c r="U208" t="s">
        <v>551</v>
      </c>
      <c r="Y208" t="s">
        <v>499</v>
      </c>
      <c r="AA208">
        <f t="shared" ca="1" si="11"/>
        <v>42</v>
      </c>
    </row>
    <row r="209" spans="1:27" x14ac:dyDescent="0.25">
      <c r="A209">
        <v>7291165</v>
      </c>
      <c r="B209" s="4" t="str">
        <f t="shared" si="9"/>
        <v>Parrilla Pulido, Emilio</v>
      </c>
      <c r="C209" t="s">
        <v>81</v>
      </c>
      <c r="D209" t="s">
        <v>82</v>
      </c>
      <c r="E209" s="4" t="str">
        <f t="shared" si="10"/>
        <v>Emilio Parrilla Pulido</v>
      </c>
      <c r="Q209" t="s">
        <v>20</v>
      </c>
      <c r="R209" s="2">
        <v>32612</v>
      </c>
      <c r="AA209">
        <f t="shared" ca="1" si="11"/>
        <v>35</v>
      </c>
    </row>
    <row r="210" spans="1:27" x14ac:dyDescent="0.25">
      <c r="A210">
        <v>10768606</v>
      </c>
      <c r="B210" s="4" t="str">
        <f t="shared" si="9"/>
        <v>Pasanau Torras, Oscar</v>
      </c>
      <c r="C210" t="s">
        <v>168</v>
      </c>
      <c r="D210" t="s">
        <v>136</v>
      </c>
      <c r="E210" s="4" t="str">
        <f t="shared" si="10"/>
        <v>Oscar Pasanau Torras</v>
      </c>
      <c r="Q210" t="s">
        <v>20</v>
      </c>
      <c r="R210" s="2">
        <v>23331</v>
      </c>
      <c r="AA210">
        <f t="shared" ca="1" si="11"/>
        <v>61</v>
      </c>
    </row>
    <row r="211" spans="1:27" x14ac:dyDescent="0.25">
      <c r="A211">
        <v>16937065</v>
      </c>
      <c r="B211" s="4" t="str">
        <f t="shared" si="9"/>
        <v>Pereira de Mattos, Domini Elias</v>
      </c>
      <c r="C211" t="s">
        <v>462</v>
      </c>
      <c r="D211" t="s">
        <v>463</v>
      </c>
      <c r="E211" s="4" t="str">
        <f t="shared" si="10"/>
        <v>Domini Elias Pereira de Mattos</v>
      </c>
      <c r="K211" t="s">
        <v>472</v>
      </c>
      <c r="Q211" t="s">
        <v>20</v>
      </c>
      <c r="S211" t="s">
        <v>450</v>
      </c>
      <c r="T211" t="s">
        <v>451</v>
      </c>
      <c r="U211" t="s">
        <v>551</v>
      </c>
      <c r="W211" t="s">
        <v>452</v>
      </c>
      <c r="X211" t="s">
        <v>452</v>
      </c>
      <c r="Y211" t="s">
        <v>452</v>
      </c>
      <c r="AA211" t="str">
        <f t="shared" ca="1" si="11"/>
        <v/>
      </c>
    </row>
    <row r="212" spans="1:27" x14ac:dyDescent="0.25">
      <c r="A212">
        <v>10767111</v>
      </c>
      <c r="B212" s="4" t="str">
        <f t="shared" si="9"/>
        <v>Perez Lainez, Candela</v>
      </c>
      <c r="C212" t="s">
        <v>328</v>
      </c>
      <c r="D212" t="s">
        <v>329</v>
      </c>
      <c r="E212" s="4" t="str">
        <f t="shared" si="10"/>
        <v>Candela Perez Lainez</v>
      </c>
      <c r="K212" t="s">
        <v>449</v>
      </c>
      <c r="Q212" t="s">
        <v>48</v>
      </c>
      <c r="R212" s="2">
        <v>40196</v>
      </c>
      <c r="T212" t="s">
        <v>497</v>
      </c>
      <c r="U212" t="s">
        <v>551</v>
      </c>
      <c r="X212" t="s">
        <v>452</v>
      </c>
      <c r="Y212" t="s">
        <v>452</v>
      </c>
      <c r="AA212">
        <f t="shared" ca="1" si="11"/>
        <v>14</v>
      </c>
    </row>
    <row r="213" spans="1:27" x14ac:dyDescent="0.25">
      <c r="A213">
        <v>10773621</v>
      </c>
      <c r="B213" s="4" t="str">
        <f t="shared" si="9"/>
        <v>Perez Rodriguez, Inés</v>
      </c>
      <c r="C213" t="s">
        <v>339</v>
      </c>
      <c r="D213" t="s">
        <v>340</v>
      </c>
      <c r="E213" s="4" t="str">
        <f t="shared" si="10"/>
        <v>Inés Perez Rodriguez</v>
      </c>
      <c r="Q213" t="s">
        <v>48</v>
      </c>
      <c r="R213" s="2">
        <v>33510</v>
      </c>
      <c r="AA213">
        <f t="shared" ca="1" si="11"/>
        <v>33</v>
      </c>
    </row>
    <row r="214" spans="1:27" x14ac:dyDescent="0.25">
      <c r="A214">
        <v>10767103</v>
      </c>
      <c r="B214" s="4" t="str">
        <f t="shared" si="9"/>
        <v>Perez Soto, Carlos Alberto</v>
      </c>
      <c r="C214" t="s">
        <v>366</v>
      </c>
      <c r="D214" t="s">
        <v>362</v>
      </c>
      <c r="E214" s="4" t="str">
        <f t="shared" si="10"/>
        <v>Carlos Alberto Perez Soto</v>
      </c>
      <c r="K214" t="s">
        <v>449</v>
      </c>
      <c r="Q214" t="s">
        <v>20</v>
      </c>
      <c r="R214" s="2">
        <v>28564</v>
      </c>
      <c r="S214" t="s">
        <v>450</v>
      </c>
      <c r="T214" t="s">
        <v>451</v>
      </c>
      <c r="U214" t="s">
        <v>551</v>
      </c>
      <c r="W214" t="s">
        <v>452</v>
      </c>
      <c r="X214" t="s">
        <v>452</v>
      </c>
      <c r="Y214" t="s">
        <v>452</v>
      </c>
      <c r="AA214">
        <f t="shared" ca="1" si="11"/>
        <v>46</v>
      </c>
    </row>
    <row r="215" spans="1:27" x14ac:dyDescent="0.25">
      <c r="A215" t="s">
        <v>418</v>
      </c>
      <c r="B215" s="4" t="str">
        <f t="shared" si="9"/>
        <v>Peris López, Mercedes</v>
      </c>
      <c r="C215" t="s">
        <v>244</v>
      </c>
      <c r="D215" t="s">
        <v>245</v>
      </c>
      <c r="E215" s="4" t="str">
        <f t="shared" si="10"/>
        <v>Mercedes Peris López</v>
      </c>
      <c r="Q215" t="s">
        <v>48</v>
      </c>
      <c r="AA215" t="str">
        <f t="shared" ca="1" si="11"/>
        <v/>
      </c>
    </row>
    <row r="216" spans="1:27" x14ac:dyDescent="0.25">
      <c r="A216" t="s">
        <v>419</v>
      </c>
      <c r="B216" s="4" t="str">
        <f t="shared" si="9"/>
        <v>Playa Serra, Mario</v>
      </c>
      <c r="C216" t="s">
        <v>238</v>
      </c>
      <c r="D216" t="s">
        <v>61</v>
      </c>
      <c r="E216" s="4" t="str">
        <f t="shared" si="10"/>
        <v>Mario Playa Serra</v>
      </c>
      <c r="Q216" t="s">
        <v>20</v>
      </c>
      <c r="AA216" t="str">
        <f t="shared" ca="1" si="11"/>
        <v/>
      </c>
    </row>
    <row r="217" spans="1:27" x14ac:dyDescent="0.25">
      <c r="A217">
        <v>10778499</v>
      </c>
      <c r="B217" s="4" t="str">
        <f t="shared" si="9"/>
        <v>Porras Muñoz, David</v>
      </c>
      <c r="C217" t="s">
        <v>272</v>
      </c>
      <c r="D217" t="s">
        <v>71</v>
      </c>
      <c r="E217" s="4" t="str">
        <f t="shared" si="10"/>
        <v>David Porras Muñoz</v>
      </c>
      <c r="Q217" t="s">
        <v>20</v>
      </c>
      <c r="R217" s="2">
        <v>30818</v>
      </c>
      <c r="AA217">
        <f t="shared" ca="1" si="11"/>
        <v>40</v>
      </c>
    </row>
    <row r="218" spans="1:27" x14ac:dyDescent="0.25">
      <c r="A218">
        <v>10766551</v>
      </c>
      <c r="B218" s="4" t="str">
        <f t="shared" si="9"/>
        <v>Prieto Jimenez, Rosa Maria</v>
      </c>
      <c r="C218" t="s">
        <v>211</v>
      </c>
      <c r="D218" t="s">
        <v>209</v>
      </c>
      <c r="E218" s="4" t="str">
        <f t="shared" si="10"/>
        <v>Rosa Maria Prieto Jimenez</v>
      </c>
      <c r="Q218" t="s">
        <v>48</v>
      </c>
      <c r="R218" s="2">
        <v>24272</v>
      </c>
      <c r="AA218">
        <f t="shared" ca="1" si="11"/>
        <v>58</v>
      </c>
    </row>
    <row r="219" spans="1:27" x14ac:dyDescent="0.25">
      <c r="A219">
        <v>10771328</v>
      </c>
      <c r="B219" s="4" t="str">
        <f t="shared" si="9"/>
        <v>Prieto Martinez, Maria Jose</v>
      </c>
      <c r="C219" t="s">
        <v>29</v>
      </c>
      <c r="D219" t="s">
        <v>26</v>
      </c>
      <c r="E219" s="4" t="str">
        <f t="shared" si="10"/>
        <v>Maria Jose Prieto Martinez</v>
      </c>
      <c r="F219" t="s">
        <v>19</v>
      </c>
      <c r="G219" t="s">
        <v>19</v>
      </c>
      <c r="H219" t="s">
        <v>19</v>
      </c>
      <c r="I219" t="s">
        <v>19</v>
      </c>
      <c r="J219" t="s">
        <v>19</v>
      </c>
      <c r="K219" t="s">
        <v>19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  <c r="Q219" t="s">
        <v>48</v>
      </c>
      <c r="R219" s="2">
        <v>30245</v>
      </c>
      <c r="AA219">
        <f t="shared" ca="1" si="11"/>
        <v>42</v>
      </c>
    </row>
    <row r="220" spans="1:27" x14ac:dyDescent="0.25">
      <c r="A220">
        <v>10768961</v>
      </c>
      <c r="B220" s="4" t="str">
        <f t="shared" si="9"/>
        <v>Prieto Perez, Álvaro</v>
      </c>
      <c r="C220" t="s">
        <v>117</v>
      </c>
      <c r="D220" t="s">
        <v>284</v>
      </c>
      <c r="E220" s="4" t="str">
        <f t="shared" si="10"/>
        <v>Álvaro Prieto Perez</v>
      </c>
      <c r="K220" t="s">
        <v>449</v>
      </c>
      <c r="Q220" t="s">
        <v>20</v>
      </c>
      <c r="R220" s="2">
        <v>29946</v>
      </c>
      <c r="S220" t="s">
        <v>450</v>
      </c>
      <c r="T220" t="s">
        <v>451</v>
      </c>
      <c r="U220" t="s">
        <v>551</v>
      </c>
      <c r="W220" t="s">
        <v>452</v>
      </c>
      <c r="X220" t="s">
        <v>452</v>
      </c>
      <c r="Y220" t="s">
        <v>452</v>
      </c>
      <c r="AA220">
        <f t="shared" ca="1" si="11"/>
        <v>43</v>
      </c>
    </row>
    <row r="221" spans="1:27" x14ac:dyDescent="0.25">
      <c r="A221">
        <v>10766296</v>
      </c>
      <c r="B221" s="4" t="str">
        <f t="shared" si="9"/>
        <v>Puebla Prada, Enrique</v>
      </c>
      <c r="C221" t="s">
        <v>291</v>
      </c>
      <c r="D221" t="s">
        <v>131</v>
      </c>
      <c r="E221" s="4" t="str">
        <f t="shared" si="10"/>
        <v>Enrique Puebla Prada</v>
      </c>
      <c r="K221" t="s">
        <v>449</v>
      </c>
      <c r="Q221" t="s">
        <v>20</v>
      </c>
      <c r="U221" t="s">
        <v>551</v>
      </c>
      <c r="Y221" t="s">
        <v>499</v>
      </c>
      <c r="AA221" t="str">
        <f t="shared" ca="1" si="11"/>
        <v/>
      </c>
    </row>
    <row r="222" spans="1:27" x14ac:dyDescent="0.25">
      <c r="A222" t="s">
        <v>420</v>
      </c>
      <c r="B222" s="4" t="str">
        <f t="shared" si="9"/>
        <v>Puebla Sánchez, Óscar</v>
      </c>
      <c r="C222" t="s">
        <v>304</v>
      </c>
      <c r="D222" t="s">
        <v>305</v>
      </c>
      <c r="E222" s="4" t="str">
        <f t="shared" si="10"/>
        <v>Óscar Puebla Sánchez</v>
      </c>
      <c r="Q222" t="s">
        <v>20</v>
      </c>
      <c r="AA222" t="str">
        <f t="shared" ca="1" si="11"/>
        <v/>
      </c>
    </row>
    <row r="223" spans="1:27" x14ac:dyDescent="0.25">
      <c r="A223">
        <v>8068282</v>
      </c>
      <c r="B223" s="4" t="str">
        <f t="shared" si="9"/>
        <v>Quintero Armas, Laudelino</v>
      </c>
      <c r="C223" t="s">
        <v>162</v>
      </c>
      <c r="D223" t="s">
        <v>163</v>
      </c>
      <c r="E223" s="4" t="str">
        <f t="shared" si="10"/>
        <v>Laudelino Quintero Armas</v>
      </c>
      <c r="Q223" t="s">
        <v>20</v>
      </c>
      <c r="R223" s="2">
        <v>18604</v>
      </c>
      <c r="AA223">
        <f t="shared" ca="1" si="11"/>
        <v>74</v>
      </c>
    </row>
    <row r="224" spans="1:27" x14ac:dyDescent="0.25">
      <c r="A224">
        <v>10326462</v>
      </c>
      <c r="B224" s="4" t="str">
        <f t="shared" si="9"/>
        <v>Ramirez Calvo, Monica</v>
      </c>
      <c r="C224" t="s">
        <v>200</v>
      </c>
      <c r="D224" t="s">
        <v>201</v>
      </c>
      <c r="E224" s="4" t="str">
        <f t="shared" si="10"/>
        <v>Monica Ramirez Calvo</v>
      </c>
      <c r="Q224" t="s">
        <v>48</v>
      </c>
      <c r="R224" s="2">
        <v>26341</v>
      </c>
      <c r="AA224">
        <f t="shared" ca="1" si="11"/>
        <v>52</v>
      </c>
    </row>
    <row r="225" spans="1:27" x14ac:dyDescent="0.25">
      <c r="A225">
        <v>10783042</v>
      </c>
      <c r="B225" s="4" t="str">
        <f t="shared" si="9"/>
        <v>Reimúndez, Javier</v>
      </c>
      <c r="C225" t="s">
        <v>110</v>
      </c>
      <c r="D225" t="s">
        <v>111</v>
      </c>
      <c r="E225" s="4" t="str">
        <f t="shared" si="10"/>
        <v>Javier Reimúndez</v>
      </c>
      <c r="Q225" t="s">
        <v>20</v>
      </c>
      <c r="R225" s="2">
        <v>36732</v>
      </c>
      <c r="AA225">
        <f t="shared" ca="1" si="11"/>
        <v>24</v>
      </c>
    </row>
    <row r="226" spans="1:27" x14ac:dyDescent="0.25">
      <c r="A226">
        <v>10547703</v>
      </c>
      <c r="B226" s="4" t="str">
        <f t="shared" si="9"/>
        <v>Revuelta Santamaria, Eduardo</v>
      </c>
      <c r="C226" t="s">
        <v>51</v>
      </c>
      <c r="D226" t="s">
        <v>52</v>
      </c>
      <c r="E226" s="4" t="str">
        <f t="shared" si="10"/>
        <v>Eduardo Revuelta Santamaria</v>
      </c>
      <c r="Q226" t="s">
        <v>20</v>
      </c>
      <c r="R226" s="2">
        <v>39688</v>
      </c>
      <c r="AA226">
        <f t="shared" ca="1" si="11"/>
        <v>16</v>
      </c>
    </row>
    <row r="227" spans="1:27" x14ac:dyDescent="0.25">
      <c r="A227" t="s">
        <v>421</v>
      </c>
      <c r="B227" s="4" t="str">
        <f t="shared" si="9"/>
        <v>Rey Lopez, Jaime</v>
      </c>
      <c r="C227" t="s">
        <v>318</v>
      </c>
      <c r="D227" t="s">
        <v>95</v>
      </c>
      <c r="E227" s="4" t="str">
        <f t="shared" si="10"/>
        <v>Jaime Rey Lopez</v>
      </c>
      <c r="Q227" t="s">
        <v>20</v>
      </c>
      <c r="AA227" t="str">
        <f t="shared" ca="1" si="11"/>
        <v/>
      </c>
    </row>
    <row r="228" spans="1:27" x14ac:dyDescent="0.25">
      <c r="A228">
        <v>10773100</v>
      </c>
      <c r="B228" s="4" t="str">
        <f t="shared" si="9"/>
        <v>Reyes, Sergio</v>
      </c>
      <c r="C228" t="s">
        <v>279</v>
      </c>
      <c r="D228" t="s">
        <v>76</v>
      </c>
      <c r="E228" s="4" t="str">
        <f t="shared" si="10"/>
        <v>Sergio Reyes</v>
      </c>
      <c r="Q228" t="s">
        <v>20</v>
      </c>
      <c r="R228" s="2">
        <v>33452</v>
      </c>
      <c r="AA228">
        <f t="shared" ca="1" si="11"/>
        <v>33</v>
      </c>
    </row>
    <row r="229" spans="1:27" x14ac:dyDescent="0.25">
      <c r="A229">
        <v>16307804</v>
      </c>
      <c r="B229" s="4" t="str">
        <f t="shared" si="9"/>
        <v>Rodrigo Hurtado Lorenzo, Miguel</v>
      </c>
      <c r="C229" t="s">
        <v>98</v>
      </c>
      <c r="D229" t="s">
        <v>22</v>
      </c>
      <c r="E229" s="4" t="str">
        <f t="shared" si="10"/>
        <v>Miguel Rodrigo Hurtado Lorenzo</v>
      </c>
      <c r="Q229" t="s">
        <v>20</v>
      </c>
      <c r="R229" s="2">
        <v>34202</v>
      </c>
      <c r="AA229">
        <f t="shared" ca="1" si="11"/>
        <v>31</v>
      </c>
    </row>
    <row r="230" spans="1:27" x14ac:dyDescent="0.25">
      <c r="A230">
        <v>10772590</v>
      </c>
      <c r="B230" s="4" t="str">
        <f t="shared" si="9"/>
        <v>Rodriguez, Elisa</v>
      </c>
      <c r="C230" t="s">
        <v>371</v>
      </c>
      <c r="D230" t="s">
        <v>372</v>
      </c>
      <c r="E230" s="4" t="str">
        <f t="shared" si="10"/>
        <v>Elisa Rodriguez</v>
      </c>
      <c r="Q230" t="s">
        <v>48</v>
      </c>
      <c r="R230" s="2">
        <v>27609</v>
      </c>
      <c r="AA230">
        <f t="shared" ca="1" si="11"/>
        <v>49</v>
      </c>
    </row>
    <row r="231" spans="1:27" x14ac:dyDescent="0.25">
      <c r="A231">
        <v>10771047</v>
      </c>
      <c r="B231" s="4" t="str">
        <f t="shared" si="9"/>
        <v>Rodriguez Cocchi, Gabriela Veronica</v>
      </c>
      <c r="C231" t="s">
        <v>322</v>
      </c>
      <c r="D231" t="s">
        <v>319</v>
      </c>
      <c r="E231" s="4" t="str">
        <f t="shared" si="10"/>
        <v>Gabriela Veronica Rodriguez Cocchi</v>
      </c>
      <c r="Q231" t="s">
        <v>48</v>
      </c>
      <c r="R231" s="2">
        <v>28205</v>
      </c>
      <c r="AA231">
        <f t="shared" ca="1" si="11"/>
        <v>47</v>
      </c>
    </row>
    <row r="232" spans="1:27" x14ac:dyDescent="0.25">
      <c r="A232">
        <v>10769282</v>
      </c>
      <c r="B232" s="4" t="str">
        <f t="shared" si="9"/>
        <v>Rodriguez Requejo, Fernando</v>
      </c>
      <c r="C232" t="s">
        <v>507</v>
      </c>
      <c r="D232" t="s">
        <v>189</v>
      </c>
      <c r="E232" s="4" t="str">
        <f t="shared" si="10"/>
        <v>Fernando Rodriguez Requejo</v>
      </c>
      <c r="Q232" t="s">
        <v>20</v>
      </c>
      <c r="S232" t="s">
        <v>450</v>
      </c>
      <c r="T232" t="s">
        <v>451</v>
      </c>
      <c r="W232" t="s">
        <v>452</v>
      </c>
      <c r="X232" t="s">
        <v>452</v>
      </c>
      <c r="AA232" t="str">
        <f t="shared" ca="1" si="11"/>
        <v/>
      </c>
    </row>
    <row r="233" spans="1:27" x14ac:dyDescent="0.25">
      <c r="A233" t="s">
        <v>422</v>
      </c>
      <c r="B233" s="4" t="str">
        <f t="shared" si="9"/>
        <v>Rodríguez Rojano, Cristina</v>
      </c>
      <c r="C233" t="s">
        <v>380</v>
      </c>
      <c r="D233" t="s">
        <v>360</v>
      </c>
      <c r="E233" s="4" t="str">
        <f t="shared" si="10"/>
        <v>Cristina Rodríguez Rojano</v>
      </c>
      <c r="Q233" t="s">
        <v>48</v>
      </c>
      <c r="AA233" t="str">
        <f t="shared" ca="1" si="11"/>
        <v/>
      </c>
    </row>
    <row r="234" spans="1:27" x14ac:dyDescent="0.25">
      <c r="A234">
        <v>10767327</v>
      </c>
      <c r="B234" s="4" t="str">
        <f t="shared" si="9"/>
        <v>Rodriguez Serna, Maria</v>
      </c>
      <c r="C234" t="s">
        <v>508</v>
      </c>
      <c r="D234" t="s">
        <v>486</v>
      </c>
      <c r="E234" s="4" t="str">
        <f t="shared" si="10"/>
        <v>Maria Rodriguez Serna</v>
      </c>
      <c r="K234" t="s">
        <v>449</v>
      </c>
      <c r="Q234" t="s">
        <v>48</v>
      </c>
      <c r="T234" t="s">
        <v>497</v>
      </c>
      <c r="U234" t="s">
        <v>551</v>
      </c>
      <c r="X234" t="s">
        <v>452</v>
      </c>
      <c r="Y234" t="s">
        <v>452</v>
      </c>
      <c r="AA234" t="str">
        <f t="shared" ca="1" si="11"/>
        <v/>
      </c>
    </row>
    <row r="235" spans="1:27" x14ac:dyDescent="0.25">
      <c r="A235">
        <v>10763903</v>
      </c>
      <c r="B235" s="4" t="str">
        <f t="shared" si="9"/>
        <v>Rodriguez-Palacan Garcia, Andres</v>
      </c>
      <c r="C235" t="s">
        <v>58</v>
      </c>
      <c r="D235" t="s">
        <v>59</v>
      </c>
      <c r="E235" s="4" t="str">
        <f t="shared" si="10"/>
        <v>Andres Rodriguez-Palacan Garcia</v>
      </c>
      <c r="Q235" t="s">
        <v>20</v>
      </c>
      <c r="R235" s="2">
        <v>35104</v>
      </c>
      <c r="AA235">
        <f t="shared" ca="1" si="11"/>
        <v>28</v>
      </c>
    </row>
    <row r="236" spans="1:27" x14ac:dyDescent="0.25">
      <c r="A236">
        <v>10772904</v>
      </c>
      <c r="B236" s="4" t="str">
        <f t="shared" si="9"/>
        <v>Rodriguez-Palanca Pliego, Miguel</v>
      </c>
      <c r="C236" t="s">
        <v>180</v>
      </c>
      <c r="D236" t="s">
        <v>22</v>
      </c>
      <c r="E236" s="4" t="str">
        <f t="shared" si="10"/>
        <v>Miguel Rodriguez-Palanca Pliego</v>
      </c>
      <c r="Q236" t="s">
        <v>20</v>
      </c>
      <c r="R236" s="2">
        <v>23934</v>
      </c>
      <c r="AA236">
        <f t="shared" ca="1" si="11"/>
        <v>59</v>
      </c>
    </row>
    <row r="237" spans="1:27" x14ac:dyDescent="0.25">
      <c r="A237">
        <v>10771782</v>
      </c>
      <c r="B237" s="4" t="str">
        <f t="shared" si="9"/>
        <v>Rojo Muñoz, Sergio</v>
      </c>
      <c r="C237" t="s">
        <v>292</v>
      </c>
      <c r="D237" t="s">
        <v>76</v>
      </c>
      <c r="E237" s="4" t="str">
        <f t="shared" si="10"/>
        <v>Sergio Rojo Muñoz</v>
      </c>
      <c r="Q237" t="s">
        <v>20</v>
      </c>
      <c r="R237" s="2">
        <v>32692</v>
      </c>
      <c r="AA237">
        <f t="shared" ca="1" si="11"/>
        <v>35</v>
      </c>
    </row>
    <row r="238" spans="1:27" x14ac:dyDescent="0.25">
      <c r="A238" t="s">
        <v>423</v>
      </c>
      <c r="B238" s="4" t="str">
        <f t="shared" si="9"/>
        <v>Romero Lopez, Beatriz</v>
      </c>
      <c r="C238" t="s">
        <v>377</v>
      </c>
      <c r="D238" t="s">
        <v>222</v>
      </c>
      <c r="E238" s="4" t="str">
        <f t="shared" si="10"/>
        <v>Beatriz Romero Lopez</v>
      </c>
      <c r="Q238" t="s">
        <v>48</v>
      </c>
      <c r="AA238" t="str">
        <f t="shared" ca="1" si="11"/>
        <v/>
      </c>
    </row>
    <row r="239" spans="1:27" x14ac:dyDescent="0.25">
      <c r="A239">
        <v>10778655</v>
      </c>
      <c r="B239" s="4" t="str">
        <f t="shared" si="9"/>
        <v>Rosagro Escámez, Alfonso</v>
      </c>
      <c r="C239" t="s">
        <v>101</v>
      </c>
      <c r="D239" t="s">
        <v>53</v>
      </c>
      <c r="E239" s="4" t="str">
        <f t="shared" si="10"/>
        <v>Alfonso Rosagro Escámez</v>
      </c>
      <c r="Q239" t="s">
        <v>20</v>
      </c>
      <c r="R239" s="2">
        <v>30679</v>
      </c>
      <c r="AA239">
        <f t="shared" ca="1" si="11"/>
        <v>41</v>
      </c>
    </row>
    <row r="240" spans="1:27" x14ac:dyDescent="0.25">
      <c r="A240">
        <v>11855155</v>
      </c>
      <c r="B240" s="4" t="str">
        <f t="shared" si="9"/>
        <v>Rovira Romero, Andres Alejandro</v>
      </c>
      <c r="C240" t="s">
        <v>543</v>
      </c>
      <c r="D240" t="s">
        <v>532</v>
      </c>
      <c r="E240" s="4" t="str">
        <f t="shared" si="10"/>
        <v>Andres Alejandro Rovira Romero</v>
      </c>
      <c r="K240" t="s">
        <v>471</v>
      </c>
      <c r="Q240" t="s">
        <v>20</v>
      </c>
      <c r="U240" t="s">
        <v>551</v>
      </c>
      <c r="Y240" t="s">
        <v>499</v>
      </c>
      <c r="AA240" t="str">
        <f t="shared" ca="1" si="11"/>
        <v/>
      </c>
    </row>
    <row r="241" spans="1:27" x14ac:dyDescent="0.25">
      <c r="A241">
        <v>10768565</v>
      </c>
      <c r="B241" s="4" t="str">
        <f t="shared" si="9"/>
        <v>Ruiz Calvo, Javier</v>
      </c>
      <c r="C241" t="s">
        <v>258</v>
      </c>
      <c r="D241" t="s">
        <v>111</v>
      </c>
      <c r="E241" s="4" t="str">
        <f t="shared" si="10"/>
        <v>Javier Ruiz Calvo</v>
      </c>
      <c r="K241" t="s">
        <v>449</v>
      </c>
      <c r="Q241" t="s">
        <v>20</v>
      </c>
      <c r="R241" s="2">
        <v>30209</v>
      </c>
      <c r="S241" t="s">
        <v>450</v>
      </c>
      <c r="T241" t="s">
        <v>451</v>
      </c>
      <c r="U241" t="s">
        <v>551</v>
      </c>
      <c r="W241" t="s">
        <v>452</v>
      </c>
      <c r="X241" t="s">
        <v>452</v>
      </c>
      <c r="Y241" t="s">
        <v>452</v>
      </c>
      <c r="AA241">
        <f t="shared" ca="1" si="11"/>
        <v>42</v>
      </c>
    </row>
    <row r="242" spans="1:27" x14ac:dyDescent="0.25">
      <c r="A242">
        <v>10765404</v>
      </c>
      <c r="B242" s="4" t="str">
        <f t="shared" si="9"/>
        <v>Ruiz Camara, Angel Luis</v>
      </c>
      <c r="C242" t="s">
        <v>21</v>
      </c>
      <c r="D242" t="s">
        <v>146</v>
      </c>
      <c r="E242" s="4" t="str">
        <f t="shared" si="10"/>
        <v>Angel Luis Ruiz Camara</v>
      </c>
      <c r="Q242" t="s">
        <v>20</v>
      </c>
      <c r="R242" s="2">
        <v>22735</v>
      </c>
      <c r="AA242">
        <f t="shared" ca="1" si="11"/>
        <v>62</v>
      </c>
    </row>
    <row r="243" spans="1:27" x14ac:dyDescent="0.25">
      <c r="A243">
        <v>10769092</v>
      </c>
      <c r="B243" s="4" t="str">
        <f t="shared" si="9"/>
        <v>Sainz , Marcos</v>
      </c>
      <c r="C243" t="s">
        <v>544</v>
      </c>
      <c r="D243" t="s">
        <v>69</v>
      </c>
      <c r="E243" s="4" t="str">
        <f t="shared" si="10"/>
        <v xml:space="preserve">Marcos Sainz </v>
      </c>
      <c r="K243" t="s">
        <v>449</v>
      </c>
      <c r="Q243" t="s">
        <v>20</v>
      </c>
      <c r="U243" t="s">
        <v>551</v>
      </c>
      <c r="Y243" t="s">
        <v>499</v>
      </c>
      <c r="AA243" t="str">
        <f t="shared" ca="1" si="11"/>
        <v/>
      </c>
    </row>
    <row r="244" spans="1:27" x14ac:dyDescent="0.25">
      <c r="A244" t="s">
        <v>424</v>
      </c>
      <c r="B244" s="4" t="str">
        <f t="shared" si="9"/>
        <v>Sánchez, Nerea</v>
      </c>
      <c r="C244" t="s">
        <v>346</v>
      </c>
      <c r="D244" t="s">
        <v>347</v>
      </c>
      <c r="E244" s="4" t="str">
        <f t="shared" si="10"/>
        <v>Nerea Sánchez</v>
      </c>
      <c r="Q244" t="s">
        <v>48</v>
      </c>
      <c r="AA244" t="str">
        <f t="shared" ca="1" si="11"/>
        <v/>
      </c>
    </row>
    <row r="245" spans="1:27" x14ac:dyDescent="0.25">
      <c r="A245">
        <v>10785585</v>
      </c>
      <c r="B245" s="4" t="str">
        <f t="shared" si="9"/>
        <v>Sanchez Borrella, Daniel</v>
      </c>
      <c r="C245" t="s">
        <v>287</v>
      </c>
      <c r="D245" t="s">
        <v>108</v>
      </c>
      <c r="E245" s="4" t="str">
        <f t="shared" si="10"/>
        <v>Daniel Sanchez Borrella</v>
      </c>
      <c r="Q245" t="s">
        <v>20</v>
      </c>
      <c r="R245" s="2">
        <v>31957</v>
      </c>
      <c r="AA245">
        <f t="shared" ca="1" si="11"/>
        <v>37</v>
      </c>
    </row>
    <row r="246" spans="1:27" x14ac:dyDescent="0.25">
      <c r="A246">
        <v>10428317</v>
      </c>
      <c r="B246" s="4" t="str">
        <f t="shared" si="9"/>
        <v>Sanchez Valverde, Oscar</v>
      </c>
      <c r="C246" t="s">
        <v>135</v>
      </c>
      <c r="D246" t="s">
        <v>136</v>
      </c>
      <c r="E246" s="4" t="str">
        <f t="shared" si="10"/>
        <v>Oscar Sanchez Valverde</v>
      </c>
      <c r="Q246" t="s">
        <v>20</v>
      </c>
      <c r="R246" s="2">
        <v>27002</v>
      </c>
      <c r="AA246">
        <f t="shared" ca="1" si="11"/>
        <v>51</v>
      </c>
    </row>
    <row r="247" spans="1:27" x14ac:dyDescent="0.25">
      <c r="A247">
        <v>10777491</v>
      </c>
      <c r="B247" s="4" t="str">
        <f t="shared" si="9"/>
        <v>Santiago Gonzalez Berjano, Tristán</v>
      </c>
      <c r="C247" t="s">
        <v>86</v>
      </c>
      <c r="D247" t="s">
        <v>87</v>
      </c>
      <c r="E247" s="4" t="str">
        <f t="shared" si="10"/>
        <v>Tristán Santiago Gonzalez Berjano</v>
      </c>
      <c r="Q247" t="s">
        <v>20</v>
      </c>
      <c r="R247" s="2">
        <v>28767</v>
      </c>
      <c r="AA247">
        <f t="shared" ca="1" si="11"/>
        <v>46</v>
      </c>
    </row>
    <row r="248" spans="1:27" x14ac:dyDescent="0.25">
      <c r="A248" t="s">
        <v>425</v>
      </c>
      <c r="B248" s="4" t="str">
        <f t="shared" si="9"/>
        <v>Sanz Diéguez, Cristina</v>
      </c>
      <c r="C248" t="s">
        <v>359</v>
      </c>
      <c r="D248" t="s">
        <v>360</v>
      </c>
      <c r="E248" s="4" t="str">
        <f t="shared" si="10"/>
        <v>Cristina Sanz Diéguez</v>
      </c>
      <c r="Q248" t="s">
        <v>48</v>
      </c>
      <c r="AA248" t="str">
        <f t="shared" ca="1" si="11"/>
        <v/>
      </c>
    </row>
    <row r="249" spans="1:27" x14ac:dyDescent="0.25">
      <c r="A249">
        <v>10771310</v>
      </c>
      <c r="B249" s="4" t="str">
        <f t="shared" si="9"/>
        <v>Sanz Engel, Juan Manuel</v>
      </c>
      <c r="C249" t="s">
        <v>186</v>
      </c>
      <c r="D249" t="s">
        <v>181</v>
      </c>
      <c r="E249" s="4" t="str">
        <f t="shared" si="10"/>
        <v>Juan Manuel Sanz Engel</v>
      </c>
      <c r="Q249" t="s">
        <v>20</v>
      </c>
      <c r="R249" s="2">
        <v>24225</v>
      </c>
      <c r="AA249">
        <f t="shared" ca="1" si="11"/>
        <v>58</v>
      </c>
    </row>
    <row r="250" spans="1:27" x14ac:dyDescent="0.25">
      <c r="A250">
        <v>7336482</v>
      </c>
      <c r="B250" s="4" t="str">
        <f t="shared" si="9"/>
        <v>Sanz Moriñigo, Manuel</v>
      </c>
      <c r="C250" t="s">
        <v>155</v>
      </c>
      <c r="D250" t="s">
        <v>116</v>
      </c>
      <c r="E250" s="4" t="str">
        <f t="shared" si="10"/>
        <v>Manuel Sanz Moriñigo</v>
      </c>
      <c r="Q250" t="s">
        <v>20</v>
      </c>
      <c r="R250" s="2">
        <v>23377</v>
      </c>
      <c r="AA250">
        <f t="shared" ca="1" si="11"/>
        <v>60</v>
      </c>
    </row>
    <row r="251" spans="1:27" x14ac:dyDescent="0.25">
      <c r="A251">
        <v>10766254</v>
      </c>
      <c r="B251" s="4" t="str">
        <f t="shared" si="9"/>
        <v>Sarabia Navajo, Raquel</v>
      </c>
      <c r="C251" t="s">
        <v>546</v>
      </c>
      <c r="D251" t="s">
        <v>533</v>
      </c>
      <c r="E251" s="4" t="str">
        <f t="shared" si="10"/>
        <v>Raquel Sarabia Navajo</v>
      </c>
      <c r="K251" t="s">
        <v>449</v>
      </c>
      <c r="Q251" t="s">
        <v>48</v>
      </c>
      <c r="U251" t="s">
        <v>551</v>
      </c>
      <c r="Y251" t="s">
        <v>499</v>
      </c>
      <c r="AA251" t="str">
        <f t="shared" ca="1" si="11"/>
        <v/>
      </c>
    </row>
    <row r="252" spans="1:27" x14ac:dyDescent="0.25">
      <c r="A252">
        <v>10766543</v>
      </c>
      <c r="B252" s="4" t="str">
        <f t="shared" si="9"/>
        <v>Sardiña Valero, Jose Mª</v>
      </c>
      <c r="C252" t="s">
        <v>123</v>
      </c>
      <c r="D252" t="s">
        <v>122</v>
      </c>
      <c r="E252" s="4" t="str">
        <f t="shared" si="10"/>
        <v>Jose Mª Sardiña Valero</v>
      </c>
      <c r="Q252" t="s">
        <v>20</v>
      </c>
      <c r="R252" s="2">
        <v>24135</v>
      </c>
      <c r="AA252">
        <f t="shared" ca="1" si="11"/>
        <v>58</v>
      </c>
    </row>
    <row r="253" spans="1:27" x14ac:dyDescent="0.25">
      <c r="A253">
        <v>10771378</v>
      </c>
      <c r="B253" s="4" t="str">
        <f t="shared" si="9"/>
        <v>Satrústegui Coca, Mario</v>
      </c>
      <c r="C253" t="s">
        <v>109</v>
      </c>
      <c r="D253" t="s">
        <v>61</v>
      </c>
      <c r="E253" s="4" t="str">
        <f t="shared" si="10"/>
        <v>Mario Satrústegui Coca</v>
      </c>
      <c r="Q253" t="s">
        <v>20</v>
      </c>
      <c r="R253" s="2">
        <v>38559</v>
      </c>
      <c r="AA253">
        <f t="shared" ca="1" si="11"/>
        <v>19</v>
      </c>
    </row>
    <row r="254" spans="1:27" x14ac:dyDescent="0.25">
      <c r="A254">
        <v>10771097</v>
      </c>
      <c r="B254" s="4" t="str">
        <f t="shared" si="9"/>
        <v>Satrústegui Escudero, Gabriel</v>
      </c>
      <c r="C254" t="s">
        <v>139</v>
      </c>
      <c r="D254" t="s">
        <v>140</v>
      </c>
      <c r="E254" s="4" t="str">
        <f t="shared" si="10"/>
        <v>Gabriel Satrústegui Escudero</v>
      </c>
      <c r="Q254" t="s">
        <v>20</v>
      </c>
      <c r="R254" s="2">
        <v>23276</v>
      </c>
      <c r="AA254">
        <f t="shared" ca="1" si="11"/>
        <v>61</v>
      </c>
    </row>
    <row r="255" spans="1:27" x14ac:dyDescent="0.25">
      <c r="A255">
        <v>10771609</v>
      </c>
      <c r="B255" s="4" t="str">
        <f t="shared" si="9"/>
        <v>Savva, Katlin</v>
      </c>
      <c r="C255" t="s">
        <v>326</v>
      </c>
      <c r="D255" t="s">
        <v>327</v>
      </c>
      <c r="E255" s="4" t="str">
        <f t="shared" si="10"/>
        <v>Katlin Savva</v>
      </c>
      <c r="Q255" t="s">
        <v>48</v>
      </c>
      <c r="R255" s="2">
        <v>32943</v>
      </c>
      <c r="AA255">
        <f t="shared" ca="1" si="11"/>
        <v>34</v>
      </c>
    </row>
    <row r="256" spans="1:27" x14ac:dyDescent="0.25">
      <c r="A256">
        <v>10778259</v>
      </c>
      <c r="B256" s="4" t="str">
        <f t="shared" si="9"/>
        <v>Sebastian Gonzalez, Daniel</v>
      </c>
      <c r="C256" t="s">
        <v>271</v>
      </c>
      <c r="D256" t="s">
        <v>108</v>
      </c>
      <c r="E256" s="4" t="str">
        <f t="shared" si="10"/>
        <v>Daniel Sebastian Gonzalez</v>
      </c>
      <c r="Q256" t="s">
        <v>20</v>
      </c>
      <c r="R256" s="2">
        <v>28640</v>
      </c>
      <c r="AA256">
        <f t="shared" ca="1" si="11"/>
        <v>46</v>
      </c>
    </row>
    <row r="257" spans="1:27" x14ac:dyDescent="0.25">
      <c r="A257">
        <v>10778192</v>
      </c>
      <c r="B257" s="4" t="str">
        <f t="shared" si="9"/>
        <v>Segade Calvo, Pablo</v>
      </c>
      <c r="C257" t="s">
        <v>276</v>
      </c>
      <c r="D257" t="s">
        <v>129</v>
      </c>
      <c r="E257" s="4" t="str">
        <f t="shared" si="10"/>
        <v>Pablo Segade Calvo</v>
      </c>
      <c r="Q257" t="s">
        <v>20</v>
      </c>
      <c r="R257" s="2">
        <v>39938</v>
      </c>
      <c r="AA257">
        <f t="shared" ca="1" si="11"/>
        <v>15</v>
      </c>
    </row>
    <row r="258" spans="1:27" x14ac:dyDescent="0.25">
      <c r="A258" t="s">
        <v>426</v>
      </c>
      <c r="B258" s="4" t="str">
        <f t="shared" ref="B258:B321" si="12">CONCATENATE(C258,", ", D258)</f>
        <v>Segovia, Oscar</v>
      </c>
      <c r="C258" t="s">
        <v>308</v>
      </c>
      <c r="D258" t="s">
        <v>136</v>
      </c>
      <c r="E258" s="4" t="str">
        <f t="shared" ref="E258:E321" si="13">CONCATENATE(D258," ",C258)</f>
        <v>Oscar Segovia</v>
      </c>
      <c r="Q258" t="s">
        <v>20</v>
      </c>
      <c r="AA258" t="str">
        <f t="shared" ca="1" si="11"/>
        <v/>
      </c>
    </row>
    <row r="259" spans="1:27" x14ac:dyDescent="0.25">
      <c r="A259">
        <v>1178913</v>
      </c>
      <c r="B259" s="4" t="str">
        <f t="shared" si="12"/>
        <v>Senciales del Moral, Araceli</v>
      </c>
      <c r="C259" t="s">
        <v>518</v>
      </c>
      <c r="D259" t="s">
        <v>519</v>
      </c>
      <c r="E259" s="4" t="str">
        <f t="shared" si="13"/>
        <v>Araceli Senciales del Moral</v>
      </c>
      <c r="K259" t="s">
        <v>472</v>
      </c>
      <c r="Q259" t="s">
        <v>48</v>
      </c>
      <c r="T259" t="s">
        <v>497</v>
      </c>
      <c r="X259" t="s">
        <v>499</v>
      </c>
      <c r="AA259" t="str">
        <f t="shared" ref="AA259:AA285" ca="1" si="14">IF(ISBLANK(R259),"",((YEAR(NOW())-YEAR(R259))))</f>
        <v/>
      </c>
    </row>
    <row r="260" spans="1:27" x14ac:dyDescent="0.25">
      <c r="A260">
        <v>10621466</v>
      </c>
      <c r="B260" s="4" t="str">
        <f t="shared" si="12"/>
        <v>Sereno Deudero, Pablo</v>
      </c>
      <c r="C260" t="s">
        <v>128</v>
      </c>
      <c r="D260" t="s">
        <v>129</v>
      </c>
      <c r="E260" s="4" t="str">
        <f t="shared" si="13"/>
        <v>Pablo Sereno Deudero</v>
      </c>
      <c r="Q260" t="s">
        <v>20</v>
      </c>
      <c r="R260" s="2">
        <v>26873</v>
      </c>
      <c r="AA260">
        <f t="shared" ca="1" si="14"/>
        <v>51</v>
      </c>
    </row>
    <row r="261" spans="1:27" x14ac:dyDescent="0.25">
      <c r="A261">
        <v>11855163</v>
      </c>
      <c r="B261" s="4" t="str">
        <f t="shared" si="12"/>
        <v>Serrano Lopez, Katherine Vanessa</v>
      </c>
      <c r="C261" t="s">
        <v>484</v>
      </c>
      <c r="D261" t="s">
        <v>485</v>
      </c>
      <c r="E261" s="4" t="str">
        <f t="shared" si="13"/>
        <v>Katherine Vanessa Serrano Lopez</v>
      </c>
      <c r="K261" t="s">
        <v>471</v>
      </c>
      <c r="Q261" t="s">
        <v>48</v>
      </c>
      <c r="S261" t="s">
        <v>498</v>
      </c>
      <c r="T261" t="s">
        <v>497</v>
      </c>
      <c r="U261" t="s">
        <v>551</v>
      </c>
      <c r="W261" t="s">
        <v>499</v>
      </c>
      <c r="X261" t="s">
        <v>499</v>
      </c>
      <c r="Y261" t="s">
        <v>499</v>
      </c>
      <c r="AA261" t="str">
        <f t="shared" ca="1" si="14"/>
        <v/>
      </c>
    </row>
    <row r="262" spans="1:27" x14ac:dyDescent="0.25">
      <c r="A262">
        <v>16913578</v>
      </c>
      <c r="B262" s="4" t="str">
        <f t="shared" si="12"/>
        <v>Serrano Ruano, Alexander</v>
      </c>
      <c r="C262" t="s">
        <v>503</v>
      </c>
      <c r="D262" t="s">
        <v>504</v>
      </c>
      <c r="E262" s="4" t="str">
        <f t="shared" si="13"/>
        <v>Alexander Serrano Ruano</v>
      </c>
      <c r="Q262" t="s">
        <v>20</v>
      </c>
      <c r="S262" t="s">
        <v>450</v>
      </c>
      <c r="T262" t="s">
        <v>451</v>
      </c>
      <c r="W262" t="s">
        <v>452</v>
      </c>
      <c r="X262" t="s">
        <v>452</v>
      </c>
      <c r="AA262" t="str">
        <f t="shared" ca="1" si="14"/>
        <v/>
      </c>
    </row>
    <row r="263" spans="1:27" x14ac:dyDescent="0.25">
      <c r="A263">
        <v>10774794</v>
      </c>
      <c r="B263" s="4" t="str">
        <f t="shared" si="12"/>
        <v>Silvestre Garcia, Sara</v>
      </c>
      <c r="C263" t="s">
        <v>42</v>
      </c>
      <c r="D263" t="s">
        <v>43</v>
      </c>
      <c r="E263" s="4" t="str">
        <f t="shared" si="13"/>
        <v>Sara Silvestre Garcia</v>
      </c>
      <c r="F263" t="s">
        <v>19</v>
      </c>
      <c r="G263" t="s">
        <v>19</v>
      </c>
      <c r="H263" t="s">
        <v>19</v>
      </c>
      <c r="I263" t="s">
        <v>19</v>
      </c>
      <c r="J263" t="s">
        <v>19</v>
      </c>
      <c r="K263" t="s">
        <v>19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  <c r="Q263" t="s">
        <v>48</v>
      </c>
      <c r="R263" s="2">
        <v>36849</v>
      </c>
      <c r="AA263">
        <f t="shared" ca="1" si="14"/>
        <v>24</v>
      </c>
    </row>
    <row r="264" spans="1:27" x14ac:dyDescent="0.25">
      <c r="A264" t="s">
        <v>427</v>
      </c>
      <c r="B264" s="4" t="str">
        <f t="shared" si="12"/>
        <v>Tinoco Avendaño, Ivonne</v>
      </c>
      <c r="C264" t="s">
        <v>354</v>
      </c>
      <c r="D264" t="s">
        <v>355</v>
      </c>
      <c r="E264" s="4" t="str">
        <f t="shared" si="13"/>
        <v>Ivonne Tinoco Avendaño</v>
      </c>
      <c r="Q264" t="s">
        <v>48</v>
      </c>
      <c r="AA264" t="str">
        <f t="shared" ca="1" si="14"/>
        <v/>
      </c>
    </row>
    <row r="265" spans="1:27" x14ac:dyDescent="0.25">
      <c r="A265">
        <v>10769216</v>
      </c>
      <c r="B265" s="4" t="str">
        <f t="shared" si="12"/>
        <v>Tornay Stinziano, Gustavo</v>
      </c>
      <c r="C265" t="s">
        <v>537</v>
      </c>
      <c r="D265" t="s">
        <v>266</v>
      </c>
      <c r="E265" s="4" t="str">
        <f t="shared" si="13"/>
        <v>Gustavo Tornay Stinziano</v>
      </c>
      <c r="K265" t="s">
        <v>550</v>
      </c>
      <c r="Q265" t="s">
        <v>20</v>
      </c>
      <c r="U265" t="s">
        <v>551</v>
      </c>
      <c r="Y265" t="s">
        <v>452</v>
      </c>
      <c r="AA265" t="str">
        <f t="shared" ca="1" si="14"/>
        <v/>
      </c>
    </row>
    <row r="266" spans="1:27" x14ac:dyDescent="0.25">
      <c r="A266" t="s">
        <v>428</v>
      </c>
      <c r="B266" s="4" t="str">
        <f t="shared" si="12"/>
        <v>Tornero Sendra, Carlos</v>
      </c>
      <c r="C266" t="s">
        <v>294</v>
      </c>
      <c r="D266" t="s">
        <v>24</v>
      </c>
      <c r="E266" s="4" t="str">
        <f t="shared" si="13"/>
        <v>Carlos Tornero Sendra</v>
      </c>
      <c r="Q266" t="s">
        <v>20</v>
      </c>
      <c r="AA266" t="str">
        <f t="shared" ca="1" si="14"/>
        <v/>
      </c>
    </row>
    <row r="267" spans="1:27" x14ac:dyDescent="0.25">
      <c r="A267">
        <v>10773655</v>
      </c>
      <c r="B267" s="4" t="str">
        <f t="shared" si="12"/>
        <v>Torres Pavon, Cristian</v>
      </c>
      <c r="C267" t="s">
        <v>262</v>
      </c>
      <c r="D267" t="s">
        <v>263</v>
      </c>
      <c r="E267" s="4" t="str">
        <f t="shared" si="13"/>
        <v>Cristian Torres Pavon</v>
      </c>
      <c r="Q267" t="s">
        <v>20</v>
      </c>
      <c r="R267" s="2">
        <v>33432</v>
      </c>
      <c r="AA267">
        <f t="shared" ca="1" si="14"/>
        <v>33</v>
      </c>
    </row>
    <row r="268" spans="1:27" x14ac:dyDescent="0.25">
      <c r="A268">
        <v>1733006</v>
      </c>
      <c r="B268" s="4" t="str">
        <f t="shared" si="12"/>
        <v>Torres Uriel, Felix</v>
      </c>
      <c r="C268" t="s">
        <v>132</v>
      </c>
      <c r="D268" t="s">
        <v>133</v>
      </c>
      <c r="E268" s="4" t="str">
        <f t="shared" si="13"/>
        <v>Felix Torres Uriel</v>
      </c>
      <c r="Q268" t="s">
        <v>20</v>
      </c>
      <c r="R268" s="2">
        <v>25953</v>
      </c>
      <c r="AA268">
        <f t="shared" ca="1" si="14"/>
        <v>53</v>
      </c>
    </row>
    <row r="269" spans="1:27" x14ac:dyDescent="0.25">
      <c r="A269">
        <v>10763375</v>
      </c>
      <c r="B269" s="4" t="str">
        <f t="shared" si="12"/>
        <v>Valencia Abad, Jesús</v>
      </c>
      <c r="C269" t="s">
        <v>160</v>
      </c>
      <c r="D269" t="s">
        <v>161</v>
      </c>
      <c r="E269" s="4" t="str">
        <f t="shared" si="13"/>
        <v>Jesús Valencia Abad</v>
      </c>
      <c r="Q269" t="s">
        <v>20</v>
      </c>
      <c r="R269" s="2">
        <v>20313</v>
      </c>
      <c r="AA269">
        <f t="shared" ca="1" si="14"/>
        <v>69</v>
      </c>
    </row>
    <row r="270" spans="1:27" x14ac:dyDescent="0.25">
      <c r="A270">
        <v>16953045</v>
      </c>
      <c r="B270" s="4" t="str">
        <f t="shared" si="12"/>
        <v>Varo Martínez, Vanessa</v>
      </c>
      <c r="C270" t="s">
        <v>490</v>
      </c>
      <c r="D270" t="s">
        <v>491</v>
      </c>
      <c r="E270" s="4" t="str">
        <f t="shared" si="13"/>
        <v>Vanessa Varo Martínez</v>
      </c>
      <c r="K270" t="s">
        <v>472</v>
      </c>
      <c r="Q270" t="s">
        <v>48</v>
      </c>
      <c r="S270" t="s">
        <v>498</v>
      </c>
      <c r="T270" t="s">
        <v>497</v>
      </c>
      <c r="U270" t="s">
        <v>551</v>
      </c>
      <c r="W270" t="s">
        <v>499</v>
      </c>
      <c r="X270" t="s">
        <v>499</v>
      </c>
      <c r="Y270" t="s">
        <v>499</v>
      </c>
      <c r="AA270" t="str">
        <f t="shared" ca="1" si="14"/>
        <v/>
      </c>
    </row>
    <row r="271" spans="1:27" x14ac:dyDescent="0.25">
      <c r="A271">
        <v>10768078</v>
      </c>
      <c r="B271" s="4" t="str">
        <f t="shared" si="12"/>
        <v>Vazquez Ranz, Karina</v>
      </c>
      <c r="C271" t="s">
        <v>479</v>
      </c>
      <c r="D271" t="s">
        <v>480</v>
      </c>
      <c r="E271" s="4" t="str">
        <f t="shared" si="13"/>
        <v>Karina Vazquez Ranz</v>
      </c>
      <c r="K271" t="s">
        <v>449</v>
      </c>
      <c r="Q271" t="s">
        <v>48</v>
      </c>
      <c r="S271" t="s">
        <v>498</v>
      </c>
      <c r="T271" t="s">
        <v>497</v>
      </c>
      <c r="U271" t="s">
        <v>551</v>
      </c>
      <c r="W271" t="s">
        <v>452</v>
      </c>
      <c r="Y271" t="s">
        <v>452</v>
      </c>
      <c r="AA271" t="str">
        <f t="shared" ca="1" si="14"/>
        <v/>
      </c>
    </row>
    <row r="272" spans="1:27" x14ac:dyDescent="0.25">
      <c r="A272">
        <v>10768929</v>
      </c>
      <c r="B272" s="4" t="str">
        <f t="shared" si="12"/>
        <v>Vega Gutierrez, Daniel</v>
      </c>
      <c r="C272" t="s">
        <v>466</v>
      </c>
      <c r="D272" t="s">
        <v>108</v>
      </c>
      <c r="E272" s="4" t="str">
        <f t="shared" si="13"/>
        <v>Daniel Vega Gutierrez</v>
      </c>
      <c r="K272" t="s">
        <v>449</v>
      </c>
      <c r="Q272" t="s">
        <v>20</v>
      </c>
      <c r="S272" t="s">
        <v>450</v>
      </c>
      <c r="T272" t="s">
        <v>451</v>
      </c>
      <c r="W272" t="s">
        <v>452</v>
      </c>
      <c r="AA272" t="str">
        <f t="shared" ca="1" si="14"/>
        <v/>
      </c>
    </row>
    <row r="273" spans="1:27" x14ac:dyDescent="0.25">
      <c r="A273">
        <v>10730522</v>
      </c>
      <c r="B273" s="4" t="str">
        <f t="shared" si="12"/>
        <v>Vicente, David</v>
      </c>
      <c r="C273" t="s">
        <v>269</v>
      </c>
      <c r="D273" t="s">
        <v>71</v>
      </c>
      <c r="E273" s="4" t="str">
        <f t="shared" si="13"/>
        <v>David Vicente</v>
      </c>
      <c r="Q273" t="s">
        <v>20</v>
      </c>
      <c r="R273" s="2">
        <v>27091</v>
      </c>
      <c r="AA273">
        <f t="shared" ca="1" si="14"/>
        <v>50</v>
      </c>
    </row>
    <row r="274" spans="1:27" x14ac:dyDescent="0.25">
      <c r="A274" t="s">
        <v>429</v>
      </c>
      <c r="B274" s="4" t="str">
        <f t="shared" si="12"/>
        <v>Vicente, Alvaro</v>
      </c>
      <c r="C274" t="s">
        <v>269</v>
      </c>
      <c r="D274" t="s">
        <v>118</v>
      </c>
      <c r="E274" s="4" t="str">
        <f t="shared" si="13"/>
        <v>Alvaro Vicente</v>
      </c>
      <c r="Q274" t="s">
        <v>20</v>
      </c>
      <c r="AA274" t="str">
        <f t="shared" ca="1" si="14"/>
        <v/>
      </c>
    </row>
    <row r="275" spans="1:27" x14ac:dyDescent="0.25">
      <c r="A275" t="s">
        <v>430</v>
      </c>
      <c r="B275" s="4" t="str">
        <f t="shared" si="12"/>
        <v>Villegas Bravo, Ana María</v>
      </c>
      <c r="C275" t="s">
        <v>223</v>
      </c>
      <c r="D275" t="s">
        <v>210</v>
      </c>
      <c r="E275" s="4" t="str">
        <f t="shared" si="13"/>
        <v>Ana María Villegas Bravo</v>
      </c>
      <c r="Q275" t="s">
        <v>48</v>
      </c>
      <c r="AA275" t="str">
        <f t="shared" ca="1" si="14"/>
        <v/>
      </c>
    </row>
    <row r="276" spans="1:27" x14ac:dyDescent="0.25">
      <c r="A276">
        <v>10782250</v>
      </c>
      <c r="B276" s="4" t="str">
        <f t="shared" si="12"/>
        <v>Villoria, Israel</v>
      </c>
      <c r="C276" t="s">
        <v>280</v>
      </c>
      <c r="D276" t="s">
        <v>281</v>
      </c>
      <c r="E276" s="4" t="str">
        <f t="shared" si="13"/>
        <v>Israel Villoria</v>
      </c>
      <c r="Q276" t="s">
        <v>20</v>
      </c>
      <c r="R276" s="2">
        <v>29760</v>
      </c>
      <c r="AA276">
        <f t="shared" ca="1" si="14"/>
        <v>43</v>
      </c>
    </row>
    <row r="277" spans="1:27" x14ac:dyDescent="0.25">
      <c r="A277" t="s">
        <v>431</v>
      </c>
      <c r="B277" s="4" t="str">
        <f t="shared" si="12"/>
        <v>Villoria Chacon, M Carmen</v>
      </c>
      <c r="C277" t="s">
        <v>378</v>
      </c>
      <c r="D277" t="s">
        <v>363</v>
      </c>
      <c r="E277" s="4" t="str">
        <f t="shared" si="13"/>
        <v>M Carmen Villoria Chacon</v>
      </c>
      <c r="Q277" t="s">
        <v>48</v>
      </c>
      <c r="AA277" t="str">
        <f t="shared" ca="1" si="14"/>
        <v/>
      </c>
    </row>
    <row r="278" spans="1:27" x14ac:dyDescent="0.25">
      <c r="A278">
        <v>10411693</v>
      </c>
      <c r="B278" s="4" t="str">
        <f t="shared" si="12"/>
        <v>Viñuela Rubio, Miguel</v>
      </c>
      <c r="C278" t="s">
        <v>134</v>
      </c>
      <c r="D278" t="s">
        <v>22</v>
      </c>
      <c r="E278" s="4" t="str">
        <f t="shared" si="13"/>
        <v>Miguel Viñuela Rubio</v>
      </c>
      <c r="Q278" t="s">
        <v>20</v>
      </c>
      <c r="R278" s="2">
        <v>27077</v>
      </c>
      <c r="AA278">
        <f t="shared" ca="1" si="14"/>
        <v>50</v>
      </c>
    </row>
    <row r="279" spans="1:27" x14ac:dyDescent="0.25">
      <c r="A279">
        <v>10536532</v>
      </c>
      <c r="B279" s="4" t="str">
        <f t="shared" si="12"/>
        <v>Viñuela Villalba, Miguel</v>
      </c>
      <c r="C279" t="s">
        <v>93</v>
      </c>
      <c r="D279" t="s">
        <v>22</v>
      </c>
      <c r="E279" s="4" t="str">
        <f t="shared" si="13"/>
        <v>Miguel Viñuela Villalba</v>
      </c>
      <c r="Q279" t="s">
        <v>20</v>
      </c>
      <c r="R279" s="2">
        <v>40588</v>
      </c>
      <c r="AA279">
        <f t="shared" ca="1" si="14"/>
        <v>13</v>
      </c>
    </row>
    <row r="280" spans="1:27" x14ac:dyDescent="0.25">
      <c r="A280" t="s">
        <v>432</v>
      </c>
      <c r="B280" s="4" t="str">
        <f t="shared" si="12"/>
        <v>Wilson, Charlie</v>
      </c>
      <c r="C280" t="s">
        <v>173</v>
      </c>
      <c r="D280" t="s">
        <v>174</v>
      </c>
      <c r="E280" s="4" t="str">
        <f t="shared" si="13"/>
        <v>Charlie Wilson</v>
      </c>
      <c r="Q280" t="s">
        <v>20</v>
      </c>
      <c r="AA280" t="str">
        <f t="shared" ca="1" si="14"/>
        <v/>
      </c>
    </row>
    <row r="281" spans="1:27" x14ac:dyDescent="0.25">
      <c r="A281">
        <v>16953251</v>
      </c>
      <c r="B281" s="4" t="str">
        <f t="shared" si="12"/>
        <v>Yanes Cabrera, Alicia</v>
      </c>
      <c r="C281" t="s">
        <v>517</v>
      </c>
      <c r="D281" t="s">
        <v>482</v>
      </c>
      <c r="E281" s="4" t="str">
        <f t="shared" si="13"/>
        <v>Alicia Yanes Cabrera</v>
      </c>
      <c r="K281" t="s">
        <v>472</v>
      </c>
      <c r="Q281" t="s">
        <v>48</v>
      </c>
      <c r="T281" t="s">
        <v>497</v>
      </c>
      <c r="X281" t="s">
        <v>499</v>
      </c>
      <c r="AA281" t="str">
        <f t="shared" ca="1" si="14"/>
        <v/>
      </c>
    </row>
    <row r="282" spans="1:27" x14ac:dyDescent="0.25">
      <c r="A282">
        <v>10498716</v>
      </c>
      <c r="B282" s="4" t="str">
        <f t="shared" si="12"/>
        <v>Ynclan Pajares, Alejandra</v>
      </c>
      <c r="C282" t="s">
        <v>30</v>
      </c>
      <c r="D282" t="s">
        <v>31</v>
      </c>
      <c r="E282" s="4" t="str">
        <f t="shared" si="13"/>
        <v>Alejandra Ynclan Pajares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 t="s">
        <v>48</v>
      </c>
      <c r="R282" s="2">
        <v>29925</v>
      </c>
      <c r="AA282">
        <f t="shared" ca="1" si="14"/>
        <v>43</v>
      </c>
    </row>
    <row r="283" spans="1:27" x14ac:dyDescent="0.25">
      <c r="A283">
        <v>10763672</v>
      </c>
      <c r="B283" s="4" t="str">
        <f t="shared" si="12"/>
        <v>Zamora Hernandez, Alberto</v>
      </c>
      <c r="C283" t="s">
        <v>260</v>
      </c>
      <c r="D283" t="s">
        <v>261</v>
      </c>
      <c r="E283" s="4" t="str">
        <f t="shared" si="13"/>
        <v>Alberto Zamora Hernandez</v>
      </c>
      <c r="Q283" t="s">
        <v>20</v>
      </c>
      <c r="R283" s="2">
        <v>29018</v>
      </c>
      <c r="AA283">
        <f t="shared" ca="1" si="14"/>
        <v>45</v>
      </c>
    </row>
    <row r="284" spans="1:27" x14ac:dyDescent="0.25">
      <c r="A284" t="s">
        <v>433</v>
      </c>
      <c r="B284" s="4" t="str">
        <f t="shared" si="12"/>
        <v>Zhang, Haoyang</v>
      </c>
      <c r="C284" t="s">
        <v>315</v>
      </c>
      <c r="D284" t="s">
        <v>316</v>
      </c>
      <c r="E284" s="4" t="str">
        <f t="shared" si="13"/>
        <v>Haoyang Zhang</v>
      </c>
      <c r="Q284" t="s">
        <v>20</v>
      </c>
      <c r="AA284" t="str">
        <f t="shared" ca="1" si="14"/>
        <v/>
      </c>
    </row>
    <row r="285" spans="1:27" x14ac:dyDescent="0.25">
      <c r="A285">
        <v>10769349</v>
      </c>
      <c r="B285" s="4" t="str">
        <f t="shared" si="12"/>
        <v>Ziarreta Fernandez, Nerea</v>
      </c>
      <c r="C285" t="s">
        <v>367</v>
      </c>
      <c r="D285" t="s">
        <v>347</v>
      </c>
      <c r="E285" s="4" t="str">
        <f t="shared" si="13"/>
        <v>Nerea Ziarreta Fernandez</v>
      </c>
      <c r="K285" t="s">
        <v>449</v>
      </c>
      <c r="Q285" t="s">
        <v>48</v>
      </c>
      <c r="R285" s="2">
        <v>32678</v>
      </c>
      <c r="U285" t="s">
        <v>551</v>
      </c>
      <c r="Y285" t="s">
        <v>499</v>
      </c>
      <c r="AA285">
        <f t="shared" ca="1" si="14"/>
        <v>35</v>
      </c>
    </row>
  </sheetData>
  <autoFilter ref="A1:AA1">
    <sortState ref="A2:AA288">
      <sortCondition ref="C1"/>
    </sortState>
  </autoFilter>
  <conditionalFormatting sqref="C164:C1048576 C1:C162">
    <cfRule type="duplicateValues" dxfId="24" priority="4"/>
  </conditionalFormatting>
  <conditionalFormatting sqref="A1:A1048576">
    <cfRule type="duplicateValues" dxfId="23" priority="3"/>
  </conditionalFormatting>
  <conditionalFormatting sqref="B1">
    <cfRule type="duplicateValues" dxfId="22" priority="2"/>
  </conditionalFormatting>
  <conditionalFormatting sqref="E1">
    <cfRule type="duplicateValues" dxfId="2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tabSelected="1" workbookViewId="0">
      <selection activeCell="E7" sqref="E7"/>
    </sheetView>
  </sheetViews>
  <sheetFormatPr baseColWidth="10" defaultRowHeight="15" x14ac:dyDescent="0.25"/>
  <cols>
    <col min="1" max="1" width="9" bestFit="1" customWidth="1"/>
    <col min="2" max="2" width="33.85546875" bestFit="1" customWidth="1"/>
    <col min="3" max="3" width="25.42578125" bestFit="1" customWidth="1"/>
    <col min="4" max="4" width="18.28515625" bestFit="1" customWidth="1"/>
    <col min="5" max="5" width="33.28515625" bestFit="1" customWidth="1"/>
    <col min="6" max="6" width="9.28515625" bestFit="1" customWidth="1"/>
    <col min="7" max="8" width="10.28515625" bestFit="1" customWidth="1"/>
    <col min="9" max="9" width="3.28515625" bestFit="1" customWidth="1"/>
    <col min="10" max="10" width="7.140625" bestFit="1" customWidth="1"/>
    <col min="11" max="11" width="14.140625" bestFit="1" customWidth="1"/>
    <col min="12" max="12" width="4.5703125" bestFit="1" customWidth="1"/>
    <col min="13" max="13" width="8.28515625" bestFit="1" customWidth="1"/>
    <col min="14" max="14" width="11.7109375" bestFit="1" customWidth="1"/>
    <col min="15" max="15" width="6.140625" bestFit="1" customWidth="1"/>
    <col min="16" max="16" width="5.85546875" bestFit="1" customWidth="1"/>
    <col min="17" max="17" width="7.7109375" bestFit="1" customWidth="1"/>
    <col min="18" max="18" width="10.7109375" style="2" bestFit="1" customWidth="1"/>
    <col min="19" max="19" width="14.5703125" bestFit="1" customWidth="1"/>
    <col min="20" max="20" width="11.85546875" bestFit="1" customWidth="1"/>
    <col min="21" max="21" width="11" bestFit="1" customWidth="1"/>
    <col min="22" max="22" width="5" bestFit="1" customWidth="1"/>
    <col min="23" max="23" width="15.42578125" bestFit="1" customWidth="1"/>
    <col min="24" max="24" width="12.7109375" bestFit="1" customWidth="1"/>
    <col min="25" max="25" width="11.85546875" bestFit="1" customWidth="1"/>
    <col min="26" max="26" width="10.140625" bestFit="1" customWidth="1"/>
    <col min="27" max="27" width="5.28515625" bestFit="1" customWidth="1"/>
  </cols>
  <sheetData>
    <row r="1" spans="1:27" x14ac:dyDescent="0.25">
      <c r="A1" s="1" t="s">
        <v>0</v>
      </c>
      <c r="B1" s="1" t="s">
        <v>435</v>
      </c>
      <c r="C1" s="1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5" t="s">
        <v>15</v>
      </c>
      <c r="S1" s="1" t="s">
        <v>445</v>
      </c>
      <c r="T1" s="1" t="s">
        <v>446</v>
      </c>
      <c r="U1" s="1" t="s">
        <v>527</v>
      </c>
      <c r="V1" s="1" t="s">
        <v>16</v>
      </c>
      <c r="W1" s="1" t="s">
        <v>447</v>
      </c>
      <c r="X1" s="1" t="s">
        <v>448</v>
      </c>
      <c r="Y1" s="1" t="s">
        <v>528</v>
      </c>
      <c r="Z1" s="1" t="s">
        <v>17</v>
      </c>
      <c r="AA1" s="1" t="s">
        <v>121</v>
      </c>
    </row>
    <row r="2" spans="1:27" x14ac:dyDescent="0.25">
      <c r="A2">
        <v>10768466</v>
      </c>
      <c r="B2" t="s">
        <v>552</v>
      </c>
      <c r="C2" t="s">
        <v>443</v>
      </c>
      <c r="D2" t="s">
        <v>444</v>
      </c>
      <c r="E2" t="s">
        <v>553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449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20</v>
      </c>
      <c r="R2" s="2" t="s">
        <v>19</v>
      </c>
      <c r="S2" t="s">
        <v>450</v>
      </c>
      <c r="T2" t="s">
        <v>451</v>
      </c>
      <c r="U2" t="s">
        <v>551</v>
      </c>
      <c r="V2" t="s">
        <v>19</v>
      </c>
      <c r="W2" t="s">
        <v>452</v>
      </c>
      <c r="X2" t="s">
        <v>452</v>
      </c>
      <c r="Y2" t="s">
        <v>452</v>
      </c>
      <c r="Z2" t="s">
        <v>19</v>
      </c>
      <c r="AA2" t="s">
        <v>19</v>
      </c>
    </row>
    <row r="3" spans="1:27" x14ac:dyDescent="0.25">
      <c r="A3">
        <v>10767319</v>
      </c>
      <c r="B3" t="s">
        <v>554</v>
      </c>
      <c r="C3" t="s">
        <v>453</v>
      </c>
      <c r="D3" t="s">
        <v>71</v>
      </c>
      <c r="E3" t="s">
        <v>555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449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20</v>
      </c>
      <c r="R3" s="2" t="s">
        <v>19</v>
      </c>
      <c r="S3" t="s">
        <v>450</v>
      </c>
      <c r="T3" t="s">
        <v>451</v>
      </c>
      <c r="U3" t="s">
        <v>551</v>
      </c>
      <c r="V3" t="s">
        <v>19</v>
      </c>
      <c r="W3" t="s">
        <v>452</v>
      </c>
      <c r="X3" t="s">
        <v>452</v>
      </c>
      <c r="Y3" t="s">
        <v>452</v>
      </c>
      <c r="Z3" t="s">
        <v>19</v>
      </c>
      <c r="AA3" t="s">
        <v>19</v>
      </c>
    </row>
    <row r="4" spans="1:27" x14ac:dyDescent="0.25">
      <c r="A4">
        <v>6836467</v>
      </c>
      <c r="B4" t="s">
        <v>556</v>
      </c>
      <c r="C4" t="s">
        <v>454</v>
      </c>
      <c r="D4" t="s">
        <v>455</v>
      </c>
      <c r="E4" t="s">
        <v>557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471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20</v>
      </c>
      <c r="R4" s="2" t="s">
        <v>19</v>
      </c>
      <c r="S4" t="s">
        <v>450</v>
      </c>
      <c r="T4" t="s">
        <v>451</v>
      </c>
      <c r="U4" t="s">
        <v>551</v>
      </c>
      <c r="V4" t="s">
        <v>19</v>
      </c>
      <c r="W4" t="s">
        <v>452</v>
      </c>
      <c r="X4" t="s">
        <v>452</v>
      </c>
      <c r="Y4" t="s">
        <v>452</v>
      </c>
      <c r="Z4" t="s">
        <v>19</v>
      </c>
      <c r="AA4" t="s">
        <v>19</v>
      </c>
    </row>
    <row r="5" spans="1:27" x14ac:dyDescent="0.25">
      <c r="A5">
        <v>16952360</v>
      </c>
      <c r="B5" t="s">
        <v>558</v>
      </c>
      <c r="C5" t="s">
        <v>456</v>
      </c>
      <c r="D5" t="s">
        <v>167</v>
      </c>
      <c r="E5" t="s">
        <v>559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472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20</v>
      </c>
      <c r="R5" s="2" t="s">
        <v>19</v>
      </c>
      <c r="S5" t="s">
        <v>450</v>
      </c>
      <c r="T5" t="s">
        <v>451</v>
      </c>
      <c r="U5" t="s">
        <v>19</v>
      </c>
      <c r="V5" t="s">
        <v>19</v>
      </c>
      <c r="W5" t="s">
        <v>452</v>
      </c>
      <c r="X5" t="s">
        <v>452</v>
      </c>
      <c r="Y5" t="s">
        <v>19</v>
      </c>
      <c r="Z5" t="s">
        <v>19</v>
      </c>
      <c r="AA5" t="s">
        <v>19</v>
      </c>
    </row>
    <row r="6" spans="1:27" x14ac:dyDescent="0.25">
      <c r="A6">
        <v>13464954</v>
      </c>
      <c r="B6" t="s">
        <v>560</v>
      </c>
      <c r="C6" t="s">
        <v>457</v>
      </c>
      <c r="D6" t="s">
        <v>269</v>
      </c>
      <c r="E6" t="s">
        <v>561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473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20</v>
      </c>
      <c r="R6" s="2" t="s">
        <v>19</v>
      </c>
      <c r="S6" t="s">
        <v>450</v>
      </c>
      <c r="T6" t="s">
        <v>451</v>
      </c>
      <c r="U6" t="s">
        <v>551</v>
      </c>
      <c r="V6" t="s">
        <v>19</v>
      </c>
      <c r="W6" t="s">
        <v>452</v>
      </c>
      <c r="X6" t="s">
        <v>452</v>
      </c>
      <c r="Y6" t="s">
        <v>452</v>
      </c>
      <c r="Z6" t="s">
        <v>19</v>
      </c>
      <c r="AA6" t="s">
        <v>19</v>
      </c>
    </row>
    <row r="7" spans="1:27" x14ac:dyDescent="0.25">
      <c r="A7">
        <v>16307820</v>
      </c>
      <c r="B7" t="s">
        <v>562</v>
      </c>
      <c r="C7" t="s">
        <v>458</v>
      </c>
      <c r="D7" t="s">
        <v>76</v>
      </c>
      <c r="E7" t="s">
        <v>563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474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20</v>
      </c>
      <c r="R7" s="2">
        <v>34517</v>
      </c>
      <c r="S7" t="s">
        <v>450</v>
      </c>
      <c r="T7" t="s">
        <v>451</v>
      </c>
      <c r="U7" t="s">
        <v>19</v>
      </c>
      <c r="V7" t="s">
        <v>19</v>
      </c>
      <c r="W7" t="s">
        <v>452</v>
      </c>
      <c r="X7" t="s">
        <v>452</v>
      </c>
      <c r="Y7" t="s">
        <v>19</v>
      </c>
      <c r="Z7" t="s">
        <v>19</v>
      </c>
      <c r="AA7">
        <v>30</v>
      </c>
    </row>
    <row r="8" spans="1:27" x14ac:dyDescent="0.25">
      <c r="A8">
        <v>16952980</v>
      </c>
      <c r="B8" t="s">
        <v>564</v>
      </c>
      <c r="C8" t="s">
        <v>459</v>
      </c>
      <c r="D8" t="s">
        <v>152</v>
      </c>
      <c r="E8" t="s">
        <v>565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472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20</v>
      </c>
      <c r="R8" s="2" t="s">
        <v>19</v>
      </c>
      <c r="S8" t="s">
        <v>450</v>
      </c>
      <c r="T8" t="s">
        <v>451</v>
      </c>
      <c r="U8" t="s">
        <v>19</v>
      </c>
      <c r="V8" t="s">
        <v>19</v>
      </c>
      <c r="W8" t="s">
        <v>452</v>
      </c>
      <c r="X8" t="s">
        <v>452</v>
      </c>
      <c r="Y8" t="s">
        <v>19</v>
      </c>
      <c r="Z8" t="s">
        <v>19</v>
      </c>
      <c r="AA8" t="s">
        <v>19</v>
      </c>
    </row>
    <row r="9" spans="1:27" x14ac:dyDescent="0.25">
      <c r="A9">
        <v>6723903</v>
      </c>
      <c r="B9" t="s">
        <v>566</v>
      </c>
      <c r="C9" t="s">
        <v>460</v>
      </c>
      <c r="D9" t="s">
        <v>461</v>
      </c>
      <c r="E9" t="s">
        <v>567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471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20</v>
      </c>
      <c r="R9" s="2" t="s">
        <v>19</v>
      </c>
      <c r="S9" t="s">
        <v>450</v>
      </c>
      <c r="T9" t="s">
        <v>451</v>
      </c>
      <c r="U9" t="s">
        <v>551</v>
      </c>
      <c r="V9" t="s">
        <v>19</v>
      </c>
      <c r="W9" t="s">
        <v>452</v>
      </c>
      <c r="X9" t="s">
        <v>452</v>
      </c>
      <c r="Y9" t="s">
        <v>452</v>
      </c>
      <c r="Z9" t="s">
        <v>19</v>
      </c>
      <c r="AA9" t="s">
        <v>19</v>
      </c>
    </row>
    <row r="10" spans="1:27" x14ac:dyDescent="0.25">
      <c r="A10">
        <v>16937065</v>
      </c>
      <c r="B10" t="s">
        <v>568</v>
      </c>
      <c r="C10" t="s">
        <v>462</v>
      </c>
      <c r="D10" t="s">
        <v>463</v>
      </c>
      <c r="E10" t="s">
        <v>569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472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20</v>
      </c>
      <c r="R10" s="2" t="s">
        <v>19</v>
      </c>
      <c r="S10" t="s">
        <v>450</v>
      </c>
      <c r="T10" t="s">
        <v>451</v>
      </c>
      <c r="U10" t="s">
        <v>551</v>
      </c>
      <c r="V10" t="s">
        <v>19</v>
      </c>
      <c r="W10" t="s">
        <v>452</v>
      </c>
      <c r="X10" t="s">
        <v>452</v>
      </c>
      <c r="Y10" t="s">
        <v>452</v>
      </c>
      <c r="Z10" t="s">
        <v>19</v>
      </c>
      <c r="AA10" t="s">
        <v>19</v>
      </c>
    </row>
    <row r="11" spans="1:27" x14ac:dyDescent="0.25">
      <c r="A11">
        <v>11855642</v>
      </c>
      <c r="B11" t="s">
        <v>570</v>
      </c>
      <c r="C11" t="s">
        <v>464</v>
      </c>
      <c r="D11" t="s">
        <v>465</v>
      </c>
      <c r="E11" t="s">
        <v>571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471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20</v>
      </c>
      <c r="R11" s="2" t="s">
        <v>19</v>
      </c>
      <c r="S11" t="s">
        <v>450</v>
      </c>
      <c r="T11" t="s">
        <v>451</v>
      </c>
      <c r="U11" t="s">
        <v>551</v>
      </c>
      <c r="V11" t="s">
        <v>19</v>
      </c>
      <c r="W11" t="s">
        <v>452</v>
      </c>
      <c r="X11" t="s">
        <v>452</v>
      </c>
      <c r="Y11" t="s">
        <v>452</v>
      </c>
      <c r="Z11" t="s">
        <v>19</v>
      </c>
      <c r="AA11" t="s">
        <v>19</v>
      </c>
    </row>
    <row r="12" spans="1:27" x14ac:dyDescent="0.25">
      <c r="A12">
        <v>10768565</v>
      </c>
      <c r="B12" t="s">
        <v>572</v>
      </c>
      <c r="C12" t="s">
        <v>258</v>
      </c>
      <c r="D12" t="s">
        <v>111</v>
      </c>
      <c r="E12" t="s">
        <v>573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449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20</v>
      </c>
      <c r="R12" s="2">
        <v>30209</v>
      </c>
      <c r="S12" t="s">
        <v>450</v>
      </c>
      <c r="T12" t="s">
        <v>451</v>
      </c>
      <c r="U12" t="s">
        <v>551</v>
      </c>
      <c r="V12" t="s">
        <v>19</v>
      </c>
      <c r="W12" t="s">
        <v>452</v>
      </c>
      <c r="X12" t="s">
        <v>452</v>
      </c>
      <c r="Y12" t="s">
        <v>452</v>
      </c>
      <c r="Z12" t="s">
        <v>19</v>
      </c>
      <c r="AA12">
        <v>42</v>
      </c>
    </row>
    <row r="13" spans="1:27" x14ac:dyDescent="0.25">
      <c r="A13">
        <v>10768929</v>
      </c>
      <c r="B13" t="s">
        <v>574</v>
      </c>
      <c r="C13" t="s">
        <v>466</v>
      </c>
      <c r="D13" t="s">
        <v>108</v>
      </c>
      <c r="E13" t="s">
        <v>575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449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20</v>
      </c>
      <c r="R13" s="2" t="s">
        <v>19</v>
      </c>
      <c r="S13" t="s">
        <v>450</v>
      </c>
      <c r="T13" t="s">
        <v>451</v>
      </c>
      <c r="U13" t="s">
        <v>19</v>
      </c>
      <c r="V13" t="s">
        <v>19</v>
      </c>
      <c r="W13" t="s">
        <v>452</v>
      </c>
      <c r="X13" t="s">
        <v>19</v>
      </c>
      <c r="Y13" t="s">
        <v>19</v>
      </c>
      <c r="Z13" t="s">
        <v>19</v>
      </c>
      <c r="AA13" t="s">
        <v>19</v>
      </c>
    </row>
    <row r="14" spans="1:27" x14ac:dyDescent="0.25">
      <c r="A14">
        <v>13465308</v>
      </c>
      <c r="B14" t="s">
        <v>576</v>
      </c>
      <c r="C14" t="s">
        <v>467</v>
      </c>
      <c r="D14" t="s">
        <v>76</v>
      </c>
      <c r="E14" t="s">
        <v>577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473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20</v>
      </c>
      <c r="R14" s="2" t="s">
        <v>19</v>
      </c>
      <c r="S14" t="s">
        <v>450</v>
      </c>
      <c r="T14" t="s">
        <v>451</v>
      </c>
      <c r="U14" t="s">
        <v>19</v>
      </c>
      <c r="V14" t="s">
        <v>19</v>
      </c>
      <c r="W14" t="s">
        <v>452</v>
      </c>
      <c r="X14" t="s">
        <v>452</v>
      </c>
      <c r="Y14" t="s">
        <v>19</v>
      </c>
      <c r="Z14" t="s">
        <v>19</v>
      </c>
      <c r="AA14" t="s">
        <v>19</v>
      </c>
    </row>
    <row r="15" spans="1:27" x14ac:dyDescent="0.25">
      <c r="A15">
        <v>10768523</v>
      </c>
      <c r="B15" t="s">
        <v>578</v>
      </c>
      <c r="C15" t="s">
        <v>468</v>
      </c>
      <c r="D15" t="s">
        <v>261</v>
      </c>
      <c r="E15" t="s">
        <v>579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449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20</v>
      </c>
      <c r="R15" s="2" t="s">
        <v>19</v>
      </c>
      <c r="S15" t="s">
        <v>450</v>
      </c>
      <c r="T15" t="s">
        <v>451</v>
      </c>
      <c r="U15" t="s">
        <v>19</v>
      </c>
      <c r="V15" t="s">
        <v>19</v>
      </c>
      <c r="W15" t="s">
        <v>452</v>
      </c>
      <c r="X15" t="s">
        <v>452</v>
      </c>
      <c r="Y15" t="s">
        <v>19</v>
      </c>
      <c r="Z15" t="s">
        <v>19</v>
      </c>
      <c r="AA15" t="s">
        <v>19</v>
      </c>
    </row>
    <row r="16" spans="1:27" x14ac:dyDescent="0.25">
      <c r="A16">
        <v>7404007</v>
      </c>
      <c r="B16" t="s">
        <v>580</v>
      </c>
      <c r="C16" t="s">
        <v>54</v>
      </c>
      <c r="D16" t="s">
        <v>22</v>
      </c>
      <c r="E16" t="s">
        <v>581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449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20</v>
      </c>
      <c r="R16" s="2">
        <v>34605</v>
      </c>
      <c r="S16" t="s">
        <v>450</v>
      </c>
      <c r="T16" t="s">
        <v>451</v>
      </c>
      <c r="U16" t="s">
        <v>551</v>
      </c>
      <c r="V16" t="s">
        <v>19</v>
      </c>
      <c r="W16" t="s">
        <v>452</v>
      </c>
      <c r="X16" t="s">
        <v>452</v>
      </c>
      <c r="Y16" t="s">
        <v>499</v>
      </c>
      <c r="Z16" t="s">
        <v>19</v>
      </c>
      <c r="AA16">
        <v>30</v>
      </c>
    </row>
    <row r="17" spans="1:27" x14ac:dyDescent="0.25">
      <c r="A17">
        <v>3039890</v>
      </c>
      <c r="B17" t="s">
        <v>582</v>
      </c>
      <c r="C17" t="s">
        <v>469</v>
      </c>
      <c r="D17" t="s">
        <v>470</v>
      </c>
      <c r="E17" t="s">
        <v>583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473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20</v>
      </c>
      <c r="R17" s="2" t="s">
        <v>19</v>
      </c>
      <c r="S17" t="s">
        <v>450</v>
      </c>
      <c r="T17" t="s">
        <v>451</v>
      </c>
      <c r="U17" t="s">
        <v>19</v>
      </c>
      <c r="V17" t="s">
        <v>19</v>
      </c>
      <c r="W17" t="s">
        <v>452</v>
      </c>
      <c r="X17" t="s">
        <v>452</v>
      </c>
      <c r="Y17" t="s">
        <v>19</v>
      </c>
      <c r="Z17" t="s">
        <v>19</v>
      </c>
      <c r="AA17" t="s">
        <v>19</v>
      </c>
    </row>
    <row r="18" spans="1:27" x14ac:dyDescent="0.25">
      <c r="A18">
        <v>7238183</v>
      </c>
      <c r="B18" t="s">
        <v>584</v>
      </c>
      <c r="C18" t="s">
        <v>475</v>
      </c>
      <c r="D18" t="s">
        <v>357</v>
      </c>
      <c r="E18" t="s">
        <v>585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449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48</v>
      </c>
      <c r="R18" s="2" t="s">
        <v>19</v>
      </c>
      <c r="S18" t="s">
        <v>498</v>
      </c>
      <c r="T18" t="s">
        <v>497</v>
      </c>
      <c r="U18" t="s">
        <v>551</v>
      </c>
      <c r="V18" t="s">
        <v>19</v>
      </c>
      <c r="W18" t="s">
        <v>452</v>
      </c>
      <c r="X18" t="s">
        <v>452</v>
      </c>
      <c r="Y18" t="s">
        <v>452</v>
      </c>
      <c r="Z18" t="s">
        <v>19</v>
      </c>
      <c r="AA18" t="s">
        <v>19</v>
      </c>
    </row>
    <row r="19" spans="1:27" x14ac:dyDescent="0.25">
      <c r="A19">
        <v>10769042</v>
      </c>
      <c r="B19" t="s">
        <v>586</v>
      </c>
      <c r="C19" t="s">
        <v>476</v>
      </c>
      <c r="D19" t="s">
        <v>347</v>
      </c>
      <c r="E19" t="s">
        <v>587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449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48</v>
      </c>
      <c r="R19" s="2" t="s">
        <v>19</v>
      </c>
      <c r="S19" t="s">
        <v>498</v>
      </c>
      <c r="T19" t="s">
        <v>497</v>
      </c>
      <c r="U19" t="s">
        <v>551</v>
      </c>
      <c r="V19" t="s">
        <v>19</v>
      </c>
      <c r="W19" t="s">
        <v>452</v>
      </c>
      <c r="X19" t="s">
        <v>452</v>
      </c>
      <c r="Y19" t="s">
        <v>452</v>
      </c>
      <c r="Z19" t="s">
        <v>19</v>
      </c>
      <c r="AA19" t="s">
        <v>19</v>
      </c>
    </row>
    <row r="20" spans="1:27" x14ac:dyDescent="0.25">
      <c r="A20">
        <v>8318942</v>
      </c>
      <c r="B20" t="s">
        <v>588</v>
      </c>
      <c r="C20" t="s">
        <v>477</v>
      </c>
      <c r="D20" t="s">
        <v>43</v>
      </c>
      <c r="E20" t="s">
        <v>589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449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48</v>
      </c>
      <c r="R20" s="2" t="s">
        <v>19</v>
      </c>
      <c r="S20" t="s">
        <v>498</v>
      </c>
      <c r="T20" t="s">
        <v>497</v>
      </c>
      <c r="U20" t="s">
        <v>551</v>
      </c>
      <c r="V20" t="s">
        <v>19</v>
      </c>
      <c r="W20" t="s">
        <v>452</v>
      </c>
      <c r="X20" t="s">
        <v>452</v>
      </c>
      <c r="Y20" t="s">
        <v>452</v>
      </c>
      <c r="Z20" t="s">
        <v>19</v>
      </c>
      <c r="AA20" t="s">
        <v>19</v>
      </c>
    </row>
    <row r="21" spans="1:27" x14ac:dyDescent="0.25">
      <c r="A21">
        <v>10768911</v>
      </c>
      <c r="B21" t="s">
        <v>590</v>
      </c>
      <c r="C21" t="s">
        <v>40</v>
      </c>
      <c r="D21" t="s">
        <v>41</v>
      </c>
      <c r="E21" t="s">
        <v>591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449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48</v>
      </c>
      <c r="R21" s="2">
        <v>32449</v>
      </c>
      <c r="S21" t="s">
        <v>498</v>
      </c>
      <c r="T21" t="s">
        <v>497</v>
      </c>
      <c r="U21" t="s">
        <v>551</v>
      </c>
      <c r="V21" t="s">
        <v>19</v>
      </c>
      <c r="W21" t="s">
        <v>452</v>
      </c>
      <c r="X21" t="s">
        <v>452</v>
      </c>
      <c r="Y21" t="s">
        <v>452</v>
      </c>
      <c r="Z21" t="s">
        <v>19</v>
      </c>
      <c r="AA21">
        <v>36</v>
      </c>
    </row>
    <row r="22" spans="1:27" x14ac:dyDescent="0.25">
      <c r="A22">
        <v>11855501</v>
      </c>
      <c r="B22" t="s">
        <v>592</v>
      </c>
      <c r="C22" t="s">
        <v>464</v>
      </c>
      <c r="D22" t="s">
        <v>478</v>
      </c>
      <c r="E22" t="s">
        <v>593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471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48</v>
      </c>
      <c r="R22" s="2" t="s">
        <v>19</v>
      </c>
      <c r="S22" t="s">
        <v>498</v>
      </c>
      <c r="T22" t="s">
        <v>497</v>
      </c>
      <c r="U22" t="s">
        <v>551</v>
      </c>
      <c r="V22" t="s">
        <v>19</v>
      </c>
      <c r="W22" t="s">
        <v>452</v>
      </c>
      <c r="X22" t="s">
        <v>452</v>
      </c>
      <c r="Y22" t="s">
        <v>452</v>
      </c>
      <c r="Z22" t="s">
        <v>19</v>
      </c>
      <c r="AA22" t="s">
        <v>19</v>
      </c>
    </row>
    <row r="23" spans="1:27" x14ac:dyDescent="0.25">
      <c r="A23">
        <v>10768078</v>
      </c>
      <c r="B23" t="s">
        <v>594</v>
      </c>
      <c r="C23" t="s">
        <v>479</v>
      </c>
      <c r="D23" t="s">
        <v>480</v>
      </c>
      <c r="E23" t="s">
        <v>595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449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48</v>
      </c>
      <c r="R23" s="2" t="s">
        <v>19</v>
      </c>
      <c r="S23" t="s">
        <v>498</v>
      </c>
      <c r="T23" t="s">
        <v>497</v>
      </c>
      <c r="U23" t="s">
        <v>551</v>
      </c>
      <c r="V23" t="s">
        <v>19</v>
      </c>
      <c r="W23" t="s">
        <v>452</v>
      </c>
      <c r="X23" t="s">
        <v>19</v>
      </c>
      <c r="Y23" t="s">
        <v>452</v>
      </c>
      <c r="Z23" t="s">
        <v>19</v>
      </c>
      <c r="AA23" t="s">
        <v>19</v>
      </c>
    </row>
    <row r="24" spans="1:27" x14ac:dyDescent="0.25">
      <c r="A24">
        <v>9573397</v>
      </c>
      <c r="B24" t="s">
        <v>596</v>
      </c>
      <c r="C24" t="s">
        <v>481</v>
      </c>
      <c r="D24" t="s">
        <v>482</v>
      </c>
      <c r="E24" t="s">
        <v>597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472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48</v>
      </c>
      <c r="R24" s="2" t="s">
        <v>19</v>
      </c>
      <c r="S24" t="s">
        <v>498</v>
      </c>
      <c r="T24" t="s">
        <v>497</v>
      </c>
      <c r="U24" t="s">
        <v>551</v>
      </c>
      <c r="V24" t="s">
        <v>19</v>
      </c>
      <c r="W24" t="s">
        <v>499</v>
      </c>
      <c r="X24" t="s">
        <v>499</v>
      </c>
      <c r="Y24" t="s">
        <v>499</v>
      </c>
      <c r="Z24" t="s">
        <v>19</v>
      </c>
      <c r="AA24" t="s">
        <v>19</v>
      </c>
    </row>
    <row r="25" spans="1:27" x14ac:dyDescent="0.25">
      <c r="A25">
        <v>16951726</v>
      </c>
      <c r="B25" t="s">
        <v>598</v>
      </c>
      <c r="C25" t="s">
        <v>483</v>
      </c>
      <c r="D25" t="s">
        <v>37</v>
      </c>
      <c r="E25" t="s">
        <v>599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472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48</v>
      </c>
      <c r="R25" s="2" t="s">
        <v>19</v>
      </c>
      <c r="S25" t="s">
        <v>498</v>
      </c>
      <c r="T25" t="s">
        <v>497</v>
      </c>
      <c r="U25" t="s">
        <v>551</v>
      </c>
      <c r="V25" t="s">
        <v>19</v>
      </c>
      <c r="W25" t="s">
        <v>499</v>
      </c>
      <c r="X25" t="s">
        <v>499</v>
      </c>
      <c r="Y25" t="s">
        <v>499</v>
      </c>
      <c r="Z25" t="s">
        <v>19</v>
      </c>
      <c r="AA25" t="s">
        <v>19</v>
      </c>
    </row>
    <row r="26" spans="1:27" x14ac:dyDescent="0.25">
      <c r="A26">
        <v>11855163</v>
      </c>
      <c r="B26" t="s">
        <v>600</v>
      </c>
      <c r="C26" t="s">
        <v>484</v>
      </c>
      <c r="D26" t="s">
        <v>485</v>
      </c>
      <c r="E26" t="s">
        <v>601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471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48</v>
      </c>
      <c r="R26" s="2" t="s">
        <v>19</v>
      </c>
      <c r="S26" t="s">
        <v>498</v>
      </c>
      <c r="T26" t="s">
        <v>497</v>
      </c>
      <c r="U26" t="s">
        <v>551</v>
      </c>
      <c r="V26" t="s">
        <v>19</v>
      </c>
      <c r="W26" t="s">
        <v>499</v>
      </c>
      <c r="X26" t="s">
        <v>499</v>
      </c>
      <c r="Y26" t="s">
        <v>499</v>
      </c>
      <c r="Z26" t="s">
        <v>19</v>
      </c>
      <c r="AA26" t="s">
        <v>19</v>
      </c>
    </row>
    <row r="27" spans="1:27" x14ac:dyDescent="0.25">
      <c r="A27">
        <v>10768804</v>
      </c>
      <c r="B27" t="s">
        <v>602</v>
      </c>
      <c r="C27" t="s">
        <v>365</v>
      </c>
      <c r="D27" t="s">
        <v>486</v>
      </c>
      <c r="E27" t="s">
        <v>603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449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48</v>
      </c>
      <c r="R27" s="2">
        <v>31433</v>
      </c>
      <c r="S27" t="s">
        <v>498</v>
      </c>
      <c r="T27" t="s">
        <v>497</v>
      </c>
      <c r="U27" t="s">
        <v>19</v>
      </c>
      <c r="V27" t="s">
        <v>19</v>
      </c>
      <c r="W27" t="s">
        <v>499</v>
      </c>
      <c r="X27" t="s">
        <v>19</v>
      </c>
      <c r="Y27" t="s">
        <v>19</v>
      </c>
      <c r="Z27" t="s">
        <v>19</v>
      </c>
      <c r="AA27">
        <v>38</v>
      </c>
    </row>
    <row r="28" spans="1:27" x14ac:dyDescent="0.25">
      <c r="A28">
        <v>10767418</v>
      </c>
      <c r="B28" t="s">
        <v>604</v>
      </c>
      <c r="C28" t="s">
        <v>487</v>
      </c>
      <c r="D28" t="s">
        <v>488</v>
      </c>
      <c r="E28" t="s">
        <v>605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449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48</v>
      </c>
      <c r="R28" s="2" t="s">
        <v>19</v>
      </c>
      <c r="S28" t="s">
        <v>498</v>
      </c>
      <c r="T28" t="s">
        <v>497</v>
      </c>
      <c r="U28" t="s">
        <v>551</v>
      </c>
      <c r="V28" t="s">
        <v>19</v>
      </c>
      <c r="W28" t="s">
        <v>499</v>
      </c>
      <c r="X28" t="s">
        <v>499</v>
      </c>
      <c r="Y28" t="s">
        <v>499</v>
      </c>
      <c r="Z28" t="s">
        <v>19</v>
      </c>
      <c r="AA28" t="s">
        <v>19</v>
      </c>
    </row>
    <row r="29" spans="1:27" x14ac:dyDescent="0.25">
      <c r="A29">
        <v>10058320</v>
      </c>
      <c r="B29" t="s">
        <v>606</v>
      </c>
      <c r="C29" t="s">
        <v>27</v>
      </c>
      <c r="D29" t="s">
        <v>28</v>
      </c>
      <c r="E29" t="s">
        <v>607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449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48</v>
      </c>
      <c r="R29" s="2">
        <v>35899</v>
      </c>
      <c r="S29" t="s">
        <v>498</v>
      </c>
      <c r="T29" t="s">
        <v>497</v>
      </c>
      <c r="U29" t="s">
        <v>19</v>
      </c>
      <c r="V29" t="s">
        <v>19</v>
      </c>
      <c r="W29" t="s">
        <v>499</v>
      </c>
      <c r="X29" t="s">
        <v>19</v>
      </c>
      <c r="Y29" t="s">
        <v>19</v>
      </c>
      <c r="Z29" t="s">
        <v>19</v>
      </c>
      <c r="AA29">
        <v>26</v>
      </c>
    </row>
    <row r="30" spans="1:27" x14ac:dyDescent="0.25">
      <c r="A30">
        <v>10767161</v>
      </c>
      <c r="B30" t="s">
        <v>608</v>
      </c>
      <c r="C30" t="s">
        <v>489</v>
      </c>
      <c r="D30" t="s">
        <v>201</v>
      </c>
      <c r="E30" t="s">
        <v>609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449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48</v>
      </c>
      <c r="R30" s="2" t="s">
        <v>19</v>
      </c>
      <c r="S30" t="s">
        <v>19</v>
      </c>
      <c r="T30" t="s">
        <v>19</v>
      </c>
      <c r="U30" t="s">
        <v>551</v>
      </c>
      <c r="V30" t="s">
        <v>19</v>
      </c>
      <c r="W30" t="s">
        <v>19</v>
      </c>
      <c r="X30" t="s">
        <v>19</v>
      </c>
      <c r="Y30" t="s">
        <v>499</v>
      </c>
      <c r="Z30" t="s">
        <v>19</v>
      </c>
      <c r="AA30" t="s">
        <v>19</v>
      </c>
    </row>
    <row r="31" spans="1:27" x14ac:dyDescent="0.25">
      <c r="A31">
        <v>16953045</v>
      </c>
      <c r="B31" t="s">
        <v>610</v>
      </c>
      <c r="C31" t="s">
        <v>490</v>
      </c>
      <c r="D31" t="s">
        <v>491</v>
      </c>
      <c r="E31" t="s">
        <v>611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472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48</v>
      </c>
      <c r="R31" s="2" t="s">
        <v>19</v>
      </c>
      <c r="S31" t="s">
        <v>498</v>
      </c>
      <c r="T31" t="s">
        <v>497</v>
      </c>
      <c r="U31" t="s">
        <v>551</v>
      </c>
      <c r="V31" t="s">
        <v>19</v>
      </c>
      <c r="W31" t="s">
        <v>499</v>
      </c>
      <c r="X31" t="s">
        <v>499</v>
      </c>
      <c r="Y31" t="s">
        <v>499</v>
      </c>
      <c r="Z31" t="s">
        <v>19</v>
      </c>
      <c r="AA31" t="s">
        <v>19</v>
      </c>
    </row>
    <row r="32" spans="1:27" x14ac:dyDescent="0.25">
      <c r="A32">
        <v>11087344</v>
      </c>
      <c r="B32" t="s">
        <v>612</v>
      </c>
      <c r="C32" t="s">
        <v>492</v>
      </c>
      <c r="D32" t="s">
        <v>493</v>
      </c>
      <c r="E32" t="s">
        <v>613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471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48</v>
      </c>
      <c r="R32" s="2" t="s">
        <v>19</v>
      </c>
      <c r="S32" t="s">
        <v>498</v>
      </c>
      <c r="T32" t="s">
        <v>19</v>
      </c>
      <c r="U32" t="s">
        <v>19</v>
      </c>
      <c r="V32" t="s">
        <v>19</v>
      </c>
      <c r="W32" t="s">
        <v>500</v>
      </c>
      <c r="X32" t="s">
        <v>19</v>
      </c>
      <c r="Y32" t="s">
        <v>19</v>
      </c>
      <c r="Z32" t="s">
        <v>19</v>
      </c>
      <c r="AA32" t="s">
        <v>19</v>
      </c>
    </row>
    <row r="33" spans="1:27" x14ac:dyDescent="0.25">
      <c r="A33">
        <v>11855626</v>
      </c>
      <c r="B33" t="s">
        <v>614</v>
      </c>
      <c r="C33" t="s">
        <v>494</v>
      </c>
      <c r="D33" t="s">
        <v>39</v>
      </c>
      <c r="E33" t="s">
        <v>615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471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48</v>
      </c>
      <c r="R33" s="2" t="s">
        <v>19</v>
      </c>
      <c r="S33" t="s">
        <v>498</v>
      </c>
      <c r="T33" t="s">
        <v>497</v>
      </c>
      <c r="U33" t="s">
        <v>19</v>
      </c>
      <c r="V33" t="s">
        <v>19</v>
      </c>
      <c r="W33" t="s">
        <v>500</v>
      </c>
      <c r="X33" t="s">
        <v>19</v>
      </c>
      <c r="Y33" t="s">
        <v>19</v>
      </c>
      <c r="Z33" t="s">
        <v>19</v>
      </c>
      <c r="AA33" t="s">
        <v>19</v>
      </c>
    </row>
    <row r="34" spans="1:27" x14ac:dyDescent="0.25">
      <c r="A34">
        <v>11856046</v>
      </c>
      <c r="B34" t="s">
        <v>616</v>
      </c>
      <c r="C34" t="s">
        <v>495</v>
      </c>
      <c r="D34" t="s">
        <v>230</v>
      </c>
      <c r="E34" t="s">
        <v>617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471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48</v>
      </c>
      <c r="R34" s="2" t="s">
        <v>19</v>
      </c>
      <c r="S34" t="s">
        <v>498</v>
      </c>
      <c r="T34" t="s">
        <v>497</v>
      </c>
      <c r="U34" t="s">
        <v>19</v>
      </c>
      <c r="V34" t="s">
        <v>19</v>
      </c>
      <c r="W34" t="s">
        <v>500</v>
      </c>
      <c r="X34" t="s">
        <v>19</v>
      </c>
      <c r="Y34" t="s">
        <v>19</v>
      </c>
      <c r="Z34" t="s">
        <v>19</v>
      </c>
      <c r="AA34" t="s">
        <v>19</v>
      </c>
    </row>
    <row r="35" spans="1:27" x14ac:dyDescent="0.25">
      <c r="A35">
        <v>11855288</v>
      </c>
      <c r="B35" t="s">
        <v>618</v>
      </c>
      <c r="C35" t="s">
        <v>496</v>
      </c>
      <c r="D35" t="s">
        <v>337</v>
      </c>
      <c r="E35" t="s">
        <v>619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471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48</v>
      </c>
      <c r="R35" s="2" t="s">
        <v>19</v>
      </c>
      <c r="S35" t="s">
        <v>498</v>
      </c>
      <c r="T35" t="s">
        <v>497</v>
      </c>
      <c r="U35" t="s">
        <v>19</v>
      </c>
      <c r="V35" t="s">
        <v>19</v>
      </c>
      <c r="W35" t="s">
        <v>500</v>
      </c>
      <c r="X35" t="s">
        <v>19</v>
      </c>
      <c r="Y35" t="s">
        <v>19</v>
      </c>
      <c r="Z35" t="s">
        <v>19</v>
      </c>
      <c r="AA35" t="s">
        <v>19</v>
      </c>
    </row>
    <row r="36" spans="1:27" x14ac:dyDescent="0.25">
      <c r="A36">
        <v>16953342</v>
      </c>
      <c r="B36" t="s">
        <v>620</v>
      </c>
      <c r="C36" t="s">
        <v>536</v>
      </c>
      <c r="D36" t="s">
        <v>111</v>
      </c>
      <c r="E36" t="s">
        <v>621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472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20</v>
      </c>
      <c r="R36" s="2" t="s">
        <v>19</v>
      </c>
      <c r="S36" t="s">
        <v>450</v>
      </c>
      <c r="T36" t="s">
        <v>451</v>
      </c>
      <c r="U36" t="s">
        <v>551</v>
      </c>
      <c r="V36" t="s">
        <v>19</v>
      </c>
      <c r="W36" t="s">
        <v>452</v>
      </c>
      <c r="X36" t="s">
        <v>452</v>
      </c>
      <c r="Y36" t="s">
        <v>452</v>
      </c>
      <c r="Z36" t="s">
        <v>19</v>
      </c>
      <c r="AA36" t="s">
        <v>19</v>
      </c>
    </row>
    <row r="37" spans="1:27" x14ac:dyDescent="0.25">
      <c r="A37">
        <v>10768961</v>
      </c>
      <c r="B37" t="s">
        <v>622</v>
      </c>
      <c r="C37" t="s">
        <v>117</v>
      </c>
      <c r="D37" t="s">
        <v>284</v>
      </c>
      <c r="E37" t="s">
        <v>623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449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20</v>
      </c>
      <c r="R37" s="2">
        <v>29946</v>
      </c>
      <c r="S37" t="s">
        <v>450</v>
      </c>
      <c r="T37" t="s">
        <v>451</v>
      </c>
      <c r="U37" t="s">
        <v>551</v>
      </c>
      <c r="V37" t="s">
        <v>19</v>
      </c>
      <c r="W37" t="s">
        <v>452</v>
      </c>
      <c r="X37" t="s">
        <v>452</v>
      </c>
      <c r="Y37" t="s">
        <v>452</v>
      </c>
      <c r="Z37" t="s">
        <v>19</v>
      </c>
      <c r="AA37">
        <v>43</v>
      </c>
    </row>
    <row r="38" spans="1:27" x14ac:dyDescent="0.25">
      <c r="A38">
        <v>10768185</v>
      </c>
      <c r="B38" t="s">
        <v>624</v>
      </c>
      <c r="C38" t="s">
        <v>501</v>
      </c>
      <c r="D38" t="s">
        <v>502</v>
      </c>
      <c r="E38" t="s">
        <v>625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20</v>
      </c>
      <c r="R38" s="2" t="s">
        <v>19</v>
      </c>
      <c r="S38" t="s">
        <v>450</v>
      </c>
      <c r="T38" t="s">
        <v>451</v>
      </c>
      <c r="U38" t="s">
        <v>551</v>
      </c>
      <c r="V38" t="s">
        <v>19</v>
      </c>
      <c r="W38" t="s">
        <v>452</v>
      </c>
      <c r="X38" t="s">
        <v>452</v>
      </c>
      <c r="Y38" t="s">
        <v>452</v>
      </c>
      <c r="Z38" t="s">
        <v>19</v>
      </c>
      <c r="AA38" t="s">
        <v>19</v>
      </c>
    </row>
    <row r="39" spans="1:27" x14ac:dyDescent="0.25">
      <c r="A39">
        <v>10767103</v>
      </c>
      <c r="B39" t="s">
        <v>626</v>
      </c>
      <c r="C39" t="s">
        <v>366</v>
      </c>
      <c r="D39" t="s">
        <v>362</v>
      </c>
      <c r="E39" t="s">
        <v>627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449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20</v>
      </c>
      <c r="R39" s="2">
        <v>28564</v>
      </c>
      <c r="S39" t="s">
        <v>450</v>
      </c>
      <c r="T39" t="s">
        <v>451</v>
      </c>
      <c r="U39" t="s">
        <v>551</v>
      </c>
      <c r="V39" t="s">
        <v>19</v>
      </c>
      <c r="W39" t="s">
        <v>452</v>
      </c>
      <c r="X39" t="s">
        <v>452</v>
      </c>
      <c r="Y39" t="s">
        <v>452</v>
      </c>
      <c r="Z39" t="s">
        <v>19</v>
      </c>
      <c r="AA39">
        <v>46</v>
      </c>
    </row>
    <row r="40" spans="1:27" x14ac:dyDescent="0.25">
      <c r="A40">
        <v>16913578</v>
      </c>
      <c r="B40" t="s">
        <v>628</v>
      </c>
      <c r="C40" t="s">
        <v>503</v>
      </c>
      <c r="D40" t="s">
        <v>504</v>
      </c>
      <c r="E40" t="s">
        <v>629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20</v>
      </c>
      <c r="R40" s="2" t="s">
        <v>19</v>
      </c>
      <c r="S40" t="s">
        <v>450</v>
      </c>
      <c r="T40" t="s">
        <v>451</v>
      </c>
      <c r="U40" t="s">
        <v>19</v>
      </c>
      <c r="V40" t="s">
        <v>19</v>
      </c>
      <c r="W40" t="s">
        <v>452</v>
      </c>
      <c r="X40" t="s">
        <v>452</v>
      </c>
      <c r="Y40" t="s">
        <v>19</v>
      </c>
      <c r="Z40" t="s">
        <v>19</v>
      </c>
      <c r="AA40" t="s">
        <v>19</v>
      </c>
    </row>
    <row r="41" spans="1:27" x14ac:dyDescent="0.25">
      <c r="A41">
        <v>10768789</v>
      </c>
      <c r="B41" t="s">
        <v>630</v>
      </c>
      <c r="C41" t="s">
        <v>187</v>
      </c>
      <c r="D41" t="s">
        <v>182</v>
      </c>
      <c r="E41" t="s">
        <v>631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449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20</v>
      </c>
      <c r="R41" s="2">
        <v>26450</v>
      </c>
      <c r="S41" t="s">
        <v>450</v>
      </c>
      <c r="T41" t="s">
        <v>451</v>
      </c>
      <c r="U41" t="s">
        <v>19</v>
      </c>
      <c r="V41" t="s">
        <v>19</v>
      </c>
      <c r="W41" t="s">
        <v>452</v>
      </c>
      <c r="X41" t="s">
        <v>452</v>
      </c>
      <c r="Y41" t="s">
        <v>19</v>
      </c>
      <c r="Z41" t="s">
        <v>19</v>
      </c>
      <c r="AA41">
        <v>52</v>
      </c>
    </row>
    <row r="42" spans="1:27" x14ac:dyDescent="0.25">
      <c r="A42">
        <v>10769232</v>
      </c>
      <c r="B42" t="s">
        <v>632</v>
      </c>
      <c r="C42" t="s">
        <v>505</v>
      </c>
      <c r="D42" t="s">
        <v>19</v>
      </c>
      <c r="E42" t="s">
        <v>633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20</v>
      </c>
      <c r="R42" s="2" t="s">
        <v>19</v>
      </c>
      <c r="S42" t="s">
        <v>450</v>
      </c>
      <c r="T42" t="s">
        <v>451</v>
      </c>
      <c r="U42" t="s">
        <v>19</v>
      </c>
      <c r="V42" t="s">
        <v>19</v>
      </c>
      <c r="W42" t="s">
        <v>452</v>
      </c>
      <c r="X42" t="s">
        <v>452</v>
      </c>
      <c r="Y42" t="s">
        <v>19</v>
      </c>
      <c r="Z42" t="s">
        <v>19</v>
      </c>
      <c r="AA42" t="s">
        <v>19</v>
      </c>
    </row>
    <row r="43" spans="1:27" x14ac:dyDescent="0.25">
      <c r="A43">
        <v>16307672</v>
      </c>
      <c r="B43" t="s">
        <v>634</v>
      </c>
      <c r="C43" t="s">
        <v>506</v>
      </c>
      <c r="D43" t="s">
        <v>300</v>
      </c>
      <c r="E43" t="s">
        <v>635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20</v>
      </c>
      <c r="R43" s="2" t="s">
        <v>19</v>
      </c>
      <c r="S43" t="s">
        <v>450</v>
      </c>
      <c r="T43" t="s">
        <v>451</v>
      </c>
      <c r="U43" t="s">
        <v>19</v>
      </c>
      <c r="V43" t="s">
        <v>19</v>
      </c>
      <c r="W43" t="s">
        <v>452</v>
      </c>
      <c r="X43" t="s">
        <v>452</v>
      </c>
      <c r="Y43" t="s">
        <v>19</v>
      </c>
      <c r="Z43" t="s">
        <v>19</v>
      </c>
      <c r="AA43" t="s">
        <v>19</v>
      </c>
    </row>
    <row r="44" spans="1:27" x14ac:dyDescent="0.25">
      <c r="A44">
        <v>10769282</v>
      </c>
      <c r="B44" t="s">
        <v>636</v>
      </c>
      <c r="C44" t="s">
        <v>507</v>
      </c>
      <c r="D44" t="s">
        <v>189</v>
      </c>
      <c r="E44" t="s">
        <v>637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20</v>
      </c>
      <c r="R44" s="2" t="s">
        <v>19</v>
      </c>
      <c r="S44" t="s">
        <v>450</v>
      </c>
      <c r="T44" t="s">
        <v>451</v>
      </c>
      <c r="U44" t="s">
        <v>19</v>
      </c>
      <c r="V44" t="s">
        <v>19</v>
      </c>
      <c r="W44" t="s">
        <v>452</v>
      </c>
      <c r="X44" t="s">
        <v>452</v>
      </c>
      <c r="Y44" t="s">
        <v>19</v>
      </c>
      <c r="Z44" t="s">
        <v>19</v>
      </c>
      <c r="AA44" t="s">
        <v>19</v>
      </c>
    </row>
    <row r="45" spans="1:27" x14ac:dyDescent="0.25">
      <c r="A45">
        <v>10767327</v>
      </c>
      <c r="B45" t="s">
        <v>638</v>
      </c>
      <c r="C45" t="s">
        <v>508</v>
      </c>
      <c r="D45" t="s">
        <v>486</v>
      </c>
      <c r="E45" t="s">
        <v>639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449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48</v>
      </c>
      <c r="R45" s="2" t="s">
        <v>19</v>
      </c>
      <c r="S45" t="s">
        <v>19</v>
      </c>
      <c r="T45" t="s">
        <v>497</v>
      </c>
      <c r="U45" t="s">
        <v>551</v>
      </c>
      <c r="V45" t="s">
        <v>19</v>
      </c>
      <c r="W45" t="s">
        <v>19</v>
      </c>
      <c r="X45" t="s">
        <v>452</v>
      </c>
      <c r="Y45" t="s">
        <v>452</v>
      </c>
      <c r="Z45" t="s">
        <v>19</v>
      </c>
      <c r="AA45" t="s">
        <v>19</v>
      </c>
    </row>
    <row r="46" spans="1:27" x14ac:dyDescent="0.25">
      <c r="A46">
        <v>11855882</v>
      </c>
      <c r="B46" t="s">
        <v>612</v>
      </c>
      <c r="C46" t="s">
        <v>492</v>
      </c>
      <c r="D46" t="s">
        <v>493</v>
      </c>
      <c r="E46" t="s">
        <v>613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471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48</v>
      </c>
      <c r="R46" s="2" t="s">
        <v>19</v>
      </c>
      <c r="S46" t="s">
        <v>19</v>
      </c>
      <c r="T46" t="s">
        <v>497</v>
      </c>
      <c r="U46" t="s">
        <v>551</v>
      </c>
      <c r="V46" t="s">
        <v>19</v>
      </c>
      <c r="W46" t="s">
        <v>19</v>
      </c>
      <c r="X46" t="s">
        <v>452</v>
      </c>
      <c r="Y46" t="s">
        <v>452</v>
      </c>
      <c r="Z46" t="s">
        <v>19</v>
      </c>
      <c r="AA46" t="s">
        <v>19</v>
      </c>
    </row>
    <row r="47" spans="1:27" x14ac:dyDescent="0.25">
      <c r="A47">
        <v>10530089</v>
      </c>
      <c r="B47" t="s">
        <v>640</v>
      </c>
      <c r="C47" t="s">
        <v>509</v>
      </c>
      <c r="D47" t="s">
        <v>374</v>
      </c>
      <c r="E47" t="s">
        <v>641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449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48</v>
      </c>
      <c r="R47" s="2" t="s">
        <v>19</v>
      </c>
      <c r="S47" t="s">
        <v>19</v>
      </c>
      <c r="T47" t="s">
        <v>497</v>
      </c>
      <c r="U47" t="s">
        <v>551</v>
      </c>
      <c r="V47" t="s">
        <v>19</v>
      </c>
      <c r="W47" t="s">
        <v>19</v>
      </c>
      <c r="X47" t="s">
        <v>452</v>
      </c>
      <c r="Y47" t="s">
        <v>452</v>
      </c>
      <c r="Z47" t="s">
        <v>19</v>
      </c>
      <c r="AA47" t="s">
        <v>19</v>
      </c>
    </row>
    <row r="48" spans="1:27" x14ac:dyDescent="0.25">
      <c r="A48">
        <v>10767111</v>
      </c>
      <c r="B48" t="s">
        <v>642</v>
      </c>
      <c r="C48" t="s">
        <v>328</v>
      </c>
      <c r="D48" t="s">
        <v>329</v>
      </c>
      <c r="E48" t="s">
        <v>643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449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48</v>
      </c>
      <c r="R48" s="2">
        <v>40196</v>
      </c>
      <c r="S48" t="s">
        <v>19</v>
      </c>
      <c r="T48" t="s">
        <v>497</v>
      </c>
      <c r="U48" t="s">
        <v>551</v>
      </c>
      <c r="V48" t="s">
        <v>19</v>
      </c>
      <c r="W48" t="s">
        <v>19</v>
      </c>
      <c r="X48" t="s">
        <v>452</v>
      </c>
      <c r="Y48" t="s">
        <v>452</v>
      </c>
      <c r="Z48" t="s">
        <v>19</v>
      </c>
      <c r="AA48">
        <v>14</v>
      </c>
    </row>
    <row r="49" spans="1:27" x14ac:dyDescent="0.25">
      <c r="A49">
        <v>10767129</v>
      </c>
      <c r="B49" t="s">
        <v>644</v>
      </c>
      <c r="C49" t="s">
        <v>350</v>
      </c>
      <c r="D49" t="s">
        <v>351</v>
      </c>
      <c r="E49" t="s">
        <v>645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449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48</v>
      </c>
      <c r="R49" s="2" t="s">
        <v>19</v>
      </c>
      <c r="S49" t="s">
        <v>19</v>
      </c>
      <c r="T49" t="s">
        <v>497</v>
      </c>
      <c r="U49" t="s">
        <v>551</v>
      </c>
      <c r="V49" t="s">
        <v>19</v>
      </c>
      <c r="W49" t="s">
        <v>19</v>
      </c>
      <c r="X49" t="s">
        <v>452</v>
      </c>
      <c r="Y49" t="s">
        <v>452</v>
      </c>
      <c r="Z49" t="s">
        <v>19</v>
      </c>
      <c r="AA49" t="s">
        <v>19</v>
      </c>
    </row>
    <row r="50" spans="1:27" x14ac:dyDescent="0.25">
      <c r="A50">
        <v>10769133</v>
      </c>
      <c r="B50" t="s">
        <v>646</v>
      </c>
      <c r="C50" t="s">
        <v>510</v>
      </c>
      <c r="D50" t="s">
        <v>511</v>
      </c>
      <c r="E50" t="s">
        <v>647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449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48</v>
      </c>
      <c r="R50" s="2" t="s">
        <v>19</v>
      </c>
      <c r="S50" t="s">
        <v>19</v>
      </c>
      <c r="T50" t="s">
        <v>497</v>
      </c>
      <c r="U50" t="s">
        <v>19</v>
      </c>
      <c r="V50" t="s">
        <v>19</v>
      </c>
      <c r="W50" t="s">
        <v>19</v>
      </c>
      <c r="X50" t="s">
        <v>499</v>
      </c>
      <c r="Y50" t="s">
        <v>19</v>
      </c>
      <c r="Z50" t="s">
        <v>19</v>
      </c>
      <c r="AA50" t="s">
        <v>19</v>
      </c>
    </row>
    <row r="51" spans="1:27" x14ac:dyDescent="0.25">
      <c r="A51">
        <v>16952906</v>
      </c>
      <c r="B51" t="s">
        <v>648</v>
      </c>
      <c r="C51" t="s">
        <v>512</v>
      </c>
      <c r="D51" t="s">
        <v>513</v>
      </c>
      <c r="E51" t="s">
        <v>649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472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48</v>
      </c>
      <c r="R51" s="2" t="s">
        <v>19</v>
      </c>
      <c r="S51" t="s">
        <v>19</v>
      </c>
      <c r="T51" t="s">
        <v>497</v>
      </c>
      <c r="U51" t="s">
        <v>551</v>
      </c>
      <c r="V51" t="s">
        <v>19</v>
      </c>
      <c r="W51" t="s">
        <v>19</v>
      </c>
      <c r="X51" t="s">
        <v>499</v>
      </c>
      <c r="Y51" t="s">
        <v>499</v>
      </c>
      <c r="Z51" t="s">
        <v>19</v>
      </c>
      <c r="AA51" t="s">
        <v>19</v>
      </c>
    </row>
    <row r="52" spans="1:27" x14ac:dyDescent="0.25">
      <c r="A52">
        <v>4412475</v>
      </c>
      <c r="B52" t="s">
        <v>650</v>
      </c>
      <c r="C52" t="s">
        <v>514</v>
      </c>
      <c r="D52" t="s">
        <v>515</v>
      </c>
      <c r="E52" t="s">
        <v>651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472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48</v>
      </c>
      <c r="R52" s="2" t="s">
        <v>19</v>
      </c>
      <c r="S52" t="s">
        <v>19</v>
      </c>
      <c r="T52" t="s">
        <v>497</v>
      </c>
      <c r="U52" t="s">
        <v>19</v>
      </c>
      <c r="V52" t="s">
        <v>19</v>
      </c>
      <c r="W52" t="s">
        <v>19</v>
      </c>
      <c r="X52" t="s">
        <v>499</v>
      </c>
      <c r="Y52" t="s">
        <v>19</v>
      </c>
      <c r="Z52" t="s">
        <v>19</v>
      </c>
      <c r="AA52" t="s">
        <v>19</v>
      </c>
    </row>
    <row r="53" spans="1:27" x14ac:dyDescent="0.25">
      <c r="A53">
        <v>13405065</v>
      </c>
      <c r="B53" t="s">
        <v>652</v>
      </c>
      <c r="C53" t="s">
        <v>516</v>
      </c>
      <c r="D53" t="s">
        <v>337</v>
      </c>
      <c r="E53" t="s">
        <v>653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449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48</v>
      </c>
      <c r="R53" s="2" t="s">
        <v>19</v>
      </c>
      <c r="S53" t="s">
        <v>19</v>
      </c>
      <c r="T53" t="s">
        <v>497</v>
      </c>
      <c r="U53" t="s">
        <v>19</v>
      </c>
      <c r="V53" t="s">
        <v>19</v>
      </c>
      <c r="W53" t="s">
        <v>19</v>
      </c>
      <c r="X53" t="s">
        <v>499</v>
      </c>
      <c r="Y53" t="s">
        <v>19</v>
      </c>
      <c r="Z53" t="s">
        <v>19</v>
      </c>
      <c r="AA53" t="s">
        <v>19</v>
      </c>
    </row>
    <row r="54" spans="1:27" x14ac:dyDescent="0.25">
      <c r="A54">
        <v>16953251</v>
      </c>
      <c r="B54" t="s">
        <v>654</v>
      </c>
      <c r="C54" t="s">
        <v>517</v>
      </c>
      <c r="D54" t="s">
        <v>482</v>
      </c>
      <c r="E54" t="s">
        <v>655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472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48</v>
      </c>
      <c r="R54" s="2" t="s">
        <v>19</v>
      </c>
      <c r="S54" t="s">
        <v>19</v>
      </c>
      <c r="T54" t="s">
        <v>497</v>
      </c>
      <c r="U54" t="s">
        <v>19</v>
      </c>
      <c r="V54" t="s">
        <v>19</v>
      </c>
      <c r="W54" t="s">
        <v>19</v>
      </c>
      <c r="X54" t="s">
        <v>499</v>
      </c>
      <c r="Y54" t="s">
        <v>19</v>
      </c>
      <c r="Z54" t="s">
        <v>19</v>
      </c>
      <c r="AA54" t="s">
        <v>19</v>
      </c>
    </row>
    <row r="55" spans="1:27" x14ac:dyDescent="0.25">
      <c r="A55">
        <v>1178913</v>
      </c>
      <c r="B55" t="s">
        <v>656</v>
      </c>
      <c r="C55" t="s">
        <v>518</v>
      </c>
      <c r="D55" t="s">
        <v>519</v>
      </c>
      <c r="E55" t="s">
        <v>657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472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48</v>
      </c>
      <c r="R55" s="2" t="s">
        <v>19</v>
      </c>
      <c r="S55" t="s">
        <v>19</v>
      </c>
      <c r="T55" t="s">
        <v>497</v>
      </c>
      <c r="U55" t="s">
        <v>19</v>
      </c>
      <c r="V55" t="s">
        <v>19</v>
      </c>
      <c r="W55" t="s">
        <v>19</v>
      </c>
      <c r="X55" t="s">
        <v>499</v>
      </c>
      <c r="Y55" t="s">
        <v>19</v>
      </c>
      <c r="Z55" t="s">
        <v>19</v>
      </c>
      <c r="AA55" t="s">
        <v>19</v>
      </c>
    </row>
    <row r="56" spans="1:27" x14ac:dyDescent="0.25">
      <c r="A56">
        <v>16953235</v>
      </c>
      <c r="B56" t="s">
        <v>658</v>
      </c>
      <c r="C56" t="s">
        <v>520</v>
      </c>
      <c r="D56" t="s">
        <v>521</v>
      </c>
      <c r="E56" t="s">
        <v>659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472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48</v>
      </c>
      <c r="R56" s="2" t="s">
        <v>19</v>
      </c>
      <c r="S56" t="s">
        <v>19</v>
      </c>
      <c r="T56" t="s">
        <v>497</v>
      </c>
      <c r="U56" t="s">
        <v>551</v>
      </c>
      <c r="V56" t="s">
        <v>19</v>
      </c>
      <c r="W56" t="s">
        <v>19</v>
      </c>
      <c r="X56" t="s">
        <v>499</v>
      </c>
      <c r="Y56" t="s">
        <v>499</v>
      </c>
      <c r="Z56" t="s">
        <v>19</v>
      </c>
      <c r="AA56" t="s">
        <v>19</v>
      </c>
    </row>
    <row r="57" spans="1:27" x14ac:dyDescent="0.25">
      <c r="A57">
        <v>10766197</v>
      </c>
      <c r="B57" t="s">
        <v>660</v>
      </c>
      <c r="C57" t="s">
        <v>204</v>
      </c>
      <c r="D57" t="s">
        <v>194</v>
      </c>
      <c r="E57" t="s">
        <v>661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449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48</v>
      </c>
      <c r="R57" s="2">
        <v>25910</v>
      </c>
      <c r="S57" t="s">
        <v>19</v>
      </c>
      <c r="T57" t="s">
        <v>497</v>
      </c>
      <c r="U57" t="s">
        <v>19</v>
      </c>
      <c r="V57" t="s">
        <v>19</v>
      </c>
      <c r="W57" t="s">
        <v>19</v>
      </c>
      <c r="X57" t="s">
        <v>499</v>
      </c>
      <c r="Y57" t="s">
        <v>19</v>
      </c>
      <c r="Z57" t="s">
        <v>19</v>
      </c>
      <c r="AA57">
        <v>54</v>
      </c>
    </row>
    <row r="58" spans="1:27" x14ac:dyDescent="0.25">
      <c r="A58">
        <v>11857763</v>
      </c>
      <c r="B58" t="s">
        <v>662</v>
      </c>
      <c r="C58" t="s">
        <v>522</v>
      </c>
      <c r="D58" t="s">
        <v>523</v>
      </c>
      <c r="E58" t="s">
        <v>663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471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 t="s">
        <v>48</v>
      </c>
      <c r="R58" s="2" t="s">
        <v>19</v>
      </c>
      <c r="S58" t="s">
        <v>19</v>
      </c>
      <c r="T58" t="s">
        <v>497</v>
      </c>
      <c r="U58" t="s">
        <v>551</v>
      </c>
      <c r="V58" t="s">
        <v>19</v>
      </c>
      <c r="W58" t="s">
        <v>19</v>
      </c>
      <c r="X58" t="s">
        <v>499</v>
      </c>
      <c r="Y58" t="s">
        <v>499</v>
      </c>
      <c r="Z58" t="s">
        <v>19</v>
      </c>
      <c r="AA58" t="s">
        <v>19</v>
      </c>
    </row>
    <row r="59" spans="1:27" x14ac:dyDescent="0.25">
      <c r="A59">
        <v>16952261</v>
      </c>
      <c r="B59" t="s">
        <v>664</v>
      </c>
      <c r="C59" t="s">
        <v>524</v>
      </c>
      <c r="D59" t="s">
        <v>374</v>
      </c>
      <c r="E59" t="s">
        <v>665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472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48</v>
      </c>
      <c r="R59" s="2" t="s">
        <v>19</v>
      </c>
      <c r="S59" t="s">
        <v>19</v>
      </c>
      <c r="T59" t="s">
        <v>497</v>
      </c>
      <c r="U59" t="s">
        <v>19</v>
      </c>
      <c r="V59" t="s">
        <v>19</v>
      </c>
      <c r="W59" t="s">
        <v>19</v>
      </c>
      <c r="X59" t="s">
        <v>499</v>
      </c>
      <c r="Y59" t="s">
        <v>19</v>
      </c>
      <c r="Z59" t="s">
        <v>19</v>
      </c>
      <c r="AA59" t="s">
        <v>19</v>
      </c>
    </row>
    <row r="60" spans="1:27" x14ac:dyDescent="0.25">
      <c r="A60">
        <v>10766189</v>
      </c>
      <c r="B60" t="s">
        <v>666</v>
      </c>
      <c r="C60" t="s">
        <v>338</v>
      </c>
      <c r="D60" t="s">
        <v>320</v>
      </c>
      <c r="E60" t="s">
        <v>667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449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48</v>
      </c>
      <c r="R60" s="2">
        <v>36408</v>
      </c>
      <c r="S60" t="s">
        <v>19</v>
      </c>
      <c r="T60" t="s">
        <v>497</v>
      </c>
      <c r="U60" t="s">
        <v>551</v>
      </c>
      <c r="V60" t="s">
        <v>19</v>
      </c>
      <c r="W60" t="s">
        <v>19</v>
      </c>
      <c r="X60" t="s">
        <v>499</v>
      </c>
      <c r="Y60" t="s">
        <v>499</v>
      </c>
      <c r="Z60" t="s">
        <v>19</v>
      </c>
      <c r="AA60">
        <v>25</v>
      </c>
    </row>
    <row r="61" spans="1:27" x14ac:dyDescent="0.25">
      <c r="A61">
        <v>16952964</v>
      </c>
      <c r="B61" t="s">
        <v>668</v>
      </c>
      <c r="C61" t="s">
        <v>525</v>
      </c>
      <c r="D61" t="s">
        <v>526</v>
      </c>
      <c r="E61" t="s">
        <v>669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472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48</v>
      </c>
      <c r="R61" s="2" t="s">
        <v>19</v>
      </c>
      <c r="S61" t="s">
        <v>19</v>
      </c>
      <c r="T61" t="s">
        <v>497</v>
      </c>
      <c r="U61" t="s">
        <v>19</v>
      </c>
      <c r="V61" t="s">
        <v>19</v>
      </c>
      <c r="W61" t="s">
        <v>19</v>
      </c>
      <c r="X61" t="s">
        <v>499</v>
      </c>
      <c r="Y61" t="s">
        <v>19</v>
      </c>
      <c r="Z61" t="s">
        <v>19</v>
      </c>
      <c r="AA61" t="s">
        <v>19</v>
      </c>
    </row>
    <row r="62" spans="1:27" x14ac:dyDescent="0.25">
      <c r="A62">
        <v>10769216</v>
      </c>
      <c r="B62" t="s">
        <v>670</v>
      </c>
      <c r="C62" t="s">
        <v>537</v>
      </c>
      <c r="D62" t="s">
        <v>266</v>
      </c>
      <c r="E62" t="s">
        <v>671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550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20</v>
      </c>
      <c r="R62" s="2" t="s">
        <v>19</v>
      </c>
      <c r="S62" t="s">
        <v>19</v>
      </c>
      <c r="T62" t="s">
        <v>19</v>
      </c>
      <c r="U62" t="s">
        <v>551</v>
      </c>
      <c r="V62" t="s">
        <v>19</v>
      </c>
      <c r="W62" t="s">
        <v>19</v>
      </c>
      <c r="X62" t="s">
        <v>19</v>
      </c>
      <c r="Y62" t="s">
        <v>452</v>
      </c>
      <c r="Z62" t="s">
        <v>19</v>
      </c>
      <c r="AA62" t="s">
        <v>19</v>
      </c>
    </row>
    <row r="63" spans="1:27" x14ac:dyDescent="0.25">
      <c r="A63">
        <v>16952378</v>
      </c>
      <c r="B63" t="s">
        <v>672</v>
      </c>
      <c r="C63" t="s">
        <v>538</v>
      </c>
      <c r="D63" t="s">
        <v>92</v>
      </c>
      <c r="E63" t="s">
        <v>673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472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20</v>
      </c>
      <c r="R63" s="2" t="s">
        <v>19</v>
      </c>
      <c r="S63" t="s">
        <v>19</v>
      </c>
      <c r="T63" t="s">
        <v>19</v>
      </c>
      <c r="U63" t="s">
        <v>551</v>
      </c>
      <c r="V63" t="s">
        <v>19</v>
      </c>
      <c r="W63" t="s">
        <v>19</v>
      </c>
      <c r="X63" t="s">
        <v>19</v>
      </c>
      <c r="Y63" t="s">
        <v>499</v>
      </c>
      <c r="Z63" t="s">
        <v>19</v>
      </c>
      <c r="AA63" t="s">
        <v>19</v>
      </c>
    </row>
    <row r="64" spans="1:27" x14ac:dyDescent="0.25">
      <c r="A64">
        <v>16953227</v>
      </c>
      <c r="B64" t="s">
        <v>674</v>
      </c>
      <c r="C64" t="s">
        <v>539</v>
      </c>
      <c r="D64" t="s">
        <v>161</v>
      </c>
      <c r="E64" t="s">
        <v>675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472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20</v>
      </c>
      <c r="R64" s="2" t="s">
        <v>19</v>
      </c>
      <c r="S64" t="s">
        <v>19</v>
      </c>
      <c r="T64" t="s">
        <v>19</v>
      </c>
      <c r="U64" t="s">
        <v>551</v>
      </c>
      <c r="V64" t="s">
        <v>19</v>
      </c>
      <c r="W64" t="s">
        <v>19</v>
      </c>
      <c r="X64" t="s">
        <v>19</v>
      </c>
      <c r="Y64" t="s">
        <v>499</v>
      </c>
      <c r="Z64" t="s">
        <v>19</v>
      </c>
      <c r="AA64" t="s">
        <v>19</v>
      </c>
    </row>
    <row r="65" spans="1:27" x14ac:dyDescent="0.25">
      <c r="A65">
        <v>10768060</v>
      </c>
      <c r="B65" t="s">
        <v>676</v>
      </c>
      <c r="C65" t="s">
        <v>540</v>
      </c>
      <c r="D65" t="s">
        <v>529</v>
      </c>
      <c r="E65" t="s">
        <v>677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449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20</v>
      </c>
      <c r="R65" s="2" t="s">
        <v>19</v>
      </c>
      <c r="S65" t="s">
        <v>19</v>
      </c>
      <c r="T65" t="s">
        <v>19</v>
      </c>
      <c r="U65" t="s">
        <v>551</v>
      </c>
      <c r="V65" t="s">
        <v>19</v>
      </c>
      <c r="W65" t="s">
        <v>19</v>
      </c>
      <c r="X65" t="s">
        <v>19</v>
      </c>
      <c r="Y65" t="s">
        <v>499</v>
      </c>
      <c r="Z65" t="s">
        <v>19</v>
      </c>
      <c r="AA65" t="s">
        <v>19</v>
      </c>
    </row>
    <row r="66" spans="1:27" x14ac:dyDescent="0.25">
      <c r="A66">
        <v>10767153</v>
      </c>
      <c r="B66" t="s">
        <v>678</v>
      </c>
      <c r="C66" t="s">
        <v>289</v>
      </c>
      <c r="D66" t="s">
        <v>252</v>
      </c>
      <c r="E66" t="s">
        <v>679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449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20</v>
      </c>
      <c r="R66" s="2">
        <v>31848</v>
      </c>
      <c r="S66" t="s">
        <v>19</v>
      </c>
      <c r="T66" t="s">
        <v>19</v>
      </c>
      <c r="U66" t="s">
        <v>551</v>
      </c>
      <c r="V66" t="s">
        <v>19</v>
      </c>
      <c r="W66" t="s">
        <v>19</v>
      </c>
      <c r="X66" t="s">
        <v>19</v>
      </c>
      <c r="Y66" t="s">
        <v>499</v>
      </c>
      <c r="Z66" t="s">
        <v>19</v>
      </c>
      <c r="AA66">
        <v>37</v>
      </c>
    </row>
    <row r="67" spans="1:27" x14ac:dyDescent="0.25">
      <c r="A67">
        <v>16952881</v>
      </c>
      <c r="B67" t="s">
        <v>680</v>
      </c>
      <c r="C67" t="s">
        <v>541</v>
      </c>
      <c r="D67" t="s">
        <v>530</v>
      </c>
      <c r="E67" t="s">
        <v>681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472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20</v>
      </c>
      <c r="R67" s="2" t="s">
        <v>19</v>
      </c>
      <c r="S67" t="s">
        <v>19</v>
      </c>
      <c r="T67" t="s">
        <v>19</v>
      </c>
      <c r="U67" t="s">
        <v>551</v>
      </c>
      <c r="V67" t="s">
        <v>19</v>
      </c>
      <c r="W67" t="s">
        <v>19</v>
      </c>
      <c r="X67" t="s">
        <v>19</v>
      </c>
      <c r="Y67" t="s">
        <v>499</v>
      </c>
      <c r="Z67" t="s">
        <v>19</v>
      </c>
      <c r="AA67" t="s">
        <v>19</v>
      </c>
    </row>
    <row r="68" spans="1:27" x14ac:dyDescent="0.25">
      <c r="A68">
        <v>11855303</v>
      </c>
      <c r="B68" t="s">
        <v>682</v>
      </c>
      <c r="C68" t="s">
        <v>542</v>
      </c>
      <c r="D68" t="s">
        <v>531</v>
      </c>
      <c r="E68" t="s">
        <v>683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471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20</v>
      </c>
      <c r="R68" s="2" t="s">
        <v>19</v>
      </c>
      <c r="S68" t="s">
        <v>19</v>
      </c>
      <c r="T68" t="s">
        <v>19</v>
      </c>
      <c r="U68" t="s">
        <v>551</v>
      </c>
      <c r="V68" t="s">
        <v>19</v>
      </c>
      <c r="W68" t="s">
        <v>19</v>
      </c>
      <c r="X68" t="s">
        <v>19</v>
      </c>
      <c r="Y68" t="s">
        <v>499</v>
      </c>
      <c r="Z68" t="s">
        <v>19</v>
      </c>
      <c r="AA68" t="s">
        <v>19</v>
      </c>
    </row>
    <row r="69" spans="1:27" x14ac:dyDescent="0.25">
      <c r="A69">
        <v>11855155</v>
      </c>
      <c r="B69" t="s">
        <v>684</v>
      </c>
      <c r="C69" t="s">
        <v>543</v>
      </c>
      <c r="D69" t="s">
        <v>532</v>
      </c>
      <c r="E69" t="s">
        <v>685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471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20</v>
      </c>
      <c r="R69" s="2" t="s">
        <v>19</v>
      </c>
      <c r="S69" t="s">
        <v>19</v>
      </c>
      <c r="T69" t="s">
        <v>19</v>
      </c>
      <c r="U69" t="s">
        <v>551</v>
      </c>
      <c r="V69" t="s">
        <v>19</v>
      </c>
      <c r="W69" t="s">
        <v>19</v>
      </c>
      <c r="X69" t="s">
        <v>19</v>
      </c>
      <c r="Y69" t="s">
        <v>499</v>
      </c>
      <c r="Z69" t="s">
        <v>19</v>
      </c>
      <c r="AA69" t="s">
        <v>19</v>
      </c>
    </row>
    <row r="70" spans="1:27" x14ac:dyDescent="0.25">
      <c r="A70">
        <v>10769092</v>
      </c>
      <c r="B70" t="s">
        <v>686</v>
      </c>
      <c r="C70" t="s">
        <v>544</v>
      </c>
      <c r="D70" t="s">
        <v>69</v>
      </c>
      <c r="E70" t="s">
        <v>687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449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20</v>
      </c>
      <c r="R70" s="2" t="s">
        <v>19</v>
      </c>
      <c r="S70" t="s">
        <v>19</v>
      </c>
      <c r="T70" t="s">
        <v>19</v>
      </c>
      <c r="U70" t="s">
        <v>551</v>
      </c>
      <c r="V70" t="s">
        <v>19</v>
      </c>
      <c r="W70" t="s">
        <v>19</v>
      </c>
      <c r="X70" t="s">
        <v>19</v>
      </c>
      <c r="Y70" t="s">
        <v>499</v>
      </c>
      <c r="Z70" t="s">
        <v>19</v>
      </c>
      <c r="AA70" t="s">
        <v>19</v>
      </c>
    </row>
    <row r="71" spans="1:27" x14ac:dyDescent="0.25">
      <c r="A71">
        <v>10766303</v>
      </c>
      <c r="B71" t="s">
        <v>688</v>
      </c>
      <c r="C71" t="s">
        <v>545</v>
      </c>
      <c r="D71" t="s">
        <v>50</v>
      </c>
      <c r="E71" t="s">
        <v>689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449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20</v>
      </c>
      <c r="R71" s="2" t="s">
        <v>19</v>
      </c>
      <c r="S71" t="s">
        <v>19</v>
      </c>
      <c r="T71" t="s">
        <v>19</v>
      </c>
      <c r="U71" t="s">
        <v>551</v>
      </c>
      <c r="V71" t="s">
        <v>19</v>
      </c>
      <c r="W71" t="s">
        <v>19</v>
      </c>
      <c r="X71" t="s">
        <v>19</v>
      </c>
      <c r="Y71" t="s">
        <v>499</v>
      </c>
      <c r="Z71" t="s">
        <v>19</v>
      </c>
      <c r="AA71" t="s">
        <v>19</v>
      </c>
    </row>
    <row r="72" spans="1:27" x14ac:dyDescent="0.25">
      <c r="A72">
        <v>10769349</v>
      </c>
      <c r="B72" t="s">
        <v>690</v>
      </c>
      <c r="C72" t="s">
        <v>367</v>
      </c>
      <c r="D72" t="s">
        <v>347</v>
      </c>
      <c r="E72" t="s">
        <v>691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449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48</v>
      </c>
      <c r="R72" s="2">
        <v>32678</v>
      </c>
      <c r="S72" t="s">
        <v>19</v>
      </c>
      <c r="T72" t="s">
        <v>19</v>
      </c>
      <c r="U72" t="s">
        <v>551</v>
      </c>
      <c r="V72" t="s">
        <v>19</v>
      </c>
      <c r="W72" t="s">
        <v>19</v>
      </c>
      <c r="X72" t="s">
        <v>19</v>
      </c>
      <c r="Y72" t="s">
        <v>499</v>
      </c>
      <c r="Z72" t="s">
        <v>19</v>
      </c>
      <c r="AA72">
        <v>35</v>
      </c>
    </row>
    <row r="73" spans="1:27" x14ac:dyDescent="0.25">
      <c r="A73">
        <v>10766254</v>
      </c>
      <c r="B73" t="s">
        <v>692</v>
      </c>
      <c r="C73" t="s">
        <v>546</v>
      </c>
      <c r="D73" t="s">
        <v>533</v>
      </c>
      <c r="E73" t="s">
        <v>693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449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48</v>
      </c>
      <c r="R73" s="2" t="s">
        <v>19</v>
      </c>
      <c r="S73" t="s">
        <v>19</v>
      </c>
      <c r="T73" t="s">
        <v>19</v>
      </c>
      <c r="U73" t="s">
        <v>551</v>
      </c>
      <c r="V73" t="s">
        <v>19</v>
      </c>
      <c r="W73" t="s">
        <v>19</v>
      </c>
      <c r="X73" t="s">
        <v>19</v>
      </c>
      <c r="Y73" t="s">
        <v>499</v>
      </c>
      <c r="Z73" t="s">
        <v>19</v>
      </c>
      <c r="AA73" t="s">
        <v>19</v>
      </c>
    </row>
    <row r="74" spans="1:27" x14ac:dyDescent="0.25">
      <c r="A74">
        <v>10766296</v>
      </c>
      <c r="B74" t="s">
        <v>694</v>
      </c>
      <c r="C74" t="s">
        <v>291</v>
      </c>
      <c r="D74" t="s">
        <v>131</v>
      </c>
      <c r="E74" t="s">
        <v>695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449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20</v>
      </c>
      <c r="R74" s="2" t="s">
        <v>19</v>
      </c>
      <c r="S74" t="s">
        <v>19</v>
      </c>
      <c r="T74" t="s">
        <v>19</v>
      </c>
      <c r="U74" t="s">
        <v>551</v>
      </c>
      <c r="V74" t="s">
        <v>19</v>
      </c>
      <c r="W74" t="s">
        <v>19</v>
      </c>
      <c r="X74" t="s">
        <v>19</v>
      </c>
      <c r="Y74" t="s">
        <v>499</v>
      </c>
      <c r="Z74" t="s">
        <v>19</v>
      </c>
      <c r="AA74" t="s">
        <v>19</v>
      </c>
    </row>
    <row r="75" spans="1:27" x14ac:dyDescent="0.25">
      <c r="A75">
        <v>16953053</v>
      </c>
      <c r="B75" t="s">
        <v>696</v>
      </c>
      <c r="C75" t="s">
        <v>547</v>
      </c>
      <c r="D75" t="s">
        <v>534</v>
      </c>
      <c r="E75" t="s">
        <v>697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472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20</v>
      </c>
      <c r="R75" s="2" t="s">
        <v>19</v>
      </c>
      <c r="S75" t="s">
        <v>19</v>
      </c>
      <c r="T75" t="s">
        <v>19</v>
      </c>
      <c r="U75" t="s">
        <v>551</v>
      </c>
      <c r="V75" t="s">
        <v>19</v>
      </c>
      <c r="W75" t="s">
        <v>19</v>
      </c>
      <c r="X75" t="s">
        <v>19</v>
      </c>
      <c r="Y75" t="s">
        <v>499</v>
      </c>
      <c r="Z75" t="s">
        <v>19</v>
      </c>
      <c r="AA75" t="s">
        <v>19</v>
      </c>
    </row>
    <row r="76" spans="1:27" x14ac:dyDescent="0.25">
      <c r="A76">
        <v>10765983</v>
      </c>
      <c r="B76" t="s">
        <v>698</v>
      </c>
      <c r="C76" t="s">
        <v>314</v>
      </c>
      <c r="D76" t="s">
        <v>252</v>
      </c>
      <c r="E76" t="s">
        <v>699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449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20</v>
      </c>
      <c r="R76" s="2" t="s">
        <v>19</v>
      </c>
      <c r="S76" t="s">
        <v>19</v>
      </c>
      <c r="T76" t="s">
        <v>19</v>
      </c>
      <c r="U76" t="s">
        <v>551</v>
      </c>
      <c r="V76" t="s">
        <v>19</v>
      </c>
      <c r="W76" t="s">
        <v>19</v>
      </c>
      <c r="X76" t="s">
        <v>19</v>
      </c>
      <c r="Y76" t="s">
        <v>499</v>
      </c>
      <c r="Z76" t="s">
        <v>19</v>
      </c>
      <c r="AA76" t="s">
        <v>19</v>
      </c>
    </row>
    <row r="77" spans="1:27" x14ac:dyDescent="0.25">
      <c r="A77">
        <v>16953061</v>
      </c>
      <c r="B77" t="s">
        <v>700</v>
      </c>
      <c r="C77" t="s">
        <v>548</v>
      </c>
      <c r="D77" t="s">
        <v>167</v>
      </c>
      <c r="E77" t="s">
        <v>701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472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20</v>
      </c>
      <c r="R77" s="2" t="s">
        <v>19</v>
      </c>
      <c r="S77" t="s">
        <v>19</v>
      </c>
      <c r="T77" t="s">
        <v>19</v>
      </c>
      <c r="U77" t="s">
        <v>551</v>
      </c>
      <c r="V77" t="s">
        <v>19</v>
      </c>
      <c r="W77" t="s">
        <v>19</v>
      </c>
      <c r="X77" t="s">
        <v>19</v>
      </c>
      <c r="Y77" t="s">
        <v>499</v>
      </c>
      <c r="Z77" t="s">
        <v>19</v>
      </c>
      <c r="AA77" t="s">
        <v>19</v>
      </c>
    </row>
    <row r="78" spans="1:27" x14ac:dyDescent="0.25">
      <c r="A78">
        <v>10605866</v>
      </c>
      <c r="B78" t="s">
        <v>702</v>
      </c>
      <c r="C78" t="s">
        <v>112</v>
      </c>
      <c r="D78" t="s">
        <v>535</v>
      </c>
      <c r="E78" t="s">
        <v>703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449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20</v>
      </c>
      <c r="R78" s="2">
        <v>30220</v>
      </c>
      <c r="S78" t="s">
        <v>19</v>
      </c>
      <c r="T78" t="s">
        <v>19</v>
      </c>
      <c r="U78" t="s">
        <v>551</v>
      </c>
      <c r="V78" t="s">
        <v>19</v>
      </c>
      <c r="W78" t="s">
        <v>19</v>
      </c>
      <c r="X78" t="s">
        <v>19</v>
      </c>
      <c r="Y78" t="s">
        <v>499</v>
      </c>
      <c r="Z78" t="s">
        <v>19</v>
      </c>
      <c r="AA78">
        <v>42</v>
      </c>
    </row>
    <row r="79" spans="1:27" x14ac:dyDescent="0.25">
      <c r="A79">
        <v>10574079</v>
      </c>
      <c r="B79" t="s">
        <v>704</v>
      </c>
      <c r="C79" t="s">
        <v>549</v>
      </c>
      <c r="D79" t="s">
        <v>360</v>
      </c>
      <c r="E79" t="s">
        <v>705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449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48</v>
      </c>
      <c r="R79" s="2" t="s">
        <v>19</v>
      </c>
      <c r="S79" t="s">
        <v>19</v>
      </c>
      <c r="T79" t="s">
        <v>19</v>
      </c>
      <c r="U79" t="s">
        <v>551</v>
      </c>
      <c r="V79" t="s">
        <v>19</v>
      </c>
      <c r="W79" t="s">
        <v>19</v>
      </c>
      <c r="X79" t="s">
        <v>19</v>
      </c>
      <c r="Y79" t="s">
        <v>499</v>
      </c>
      <c r="Z79" t="s">
        <v>19</v>
      </c>
      <c r="AA79" t="s">
        <v>19</v>
      </c>
    </row>
    <row r="80" spans="1:27" x14ac:dyDescent="0.25">
      <c r="A80">
        <v>10574095</v>
      </c>
      <c r="B80" t="s">
        <v>706</v>
      </c>
      <c r="C80" t="s">
        <v>333</v>
      </c>
      <c r="D80" t="s">
        <v>222</v>
      </c>
      <c r="E80" t="s">
        <v>707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  <c r="Q80" t="s">
        <v>48</v>
      </c>
      <c r="R80" s="2">
        <v>35388</v>
      </c>
      <c r="S80" t="s">
        <v>19</v>
      </c>
      <c r="T80" t="s">
        <v>19</v>
      </c>
      <c r="U80" t="s">
        <v>19</v>
      </c>
      <c r="V80" t="s">
        <v>19</v>
      </c>
      <c r="W80" t="s">
        <v>19</v>
      </c>
      <c r="X80" t="s">
        <v>19</v>
      </c>
      <c r="Y80" t="s">
        <v>19</v>
      </c>
      <c r="Z80" t="s">
        <v>19</v>
      </c>
      <c r="AA80">
        <v>28</v>
      </c>
    </row>
  </sheetData>
  <conditionalFormatting sqref="C1">
    <cfRule type="duplicateValues" dxfId="20" priority="11"/>
  </conditionalFormatting>
  <conditionalFormatting sqref="A1">
    <cfRule type="duplicateValues" dxfId="19" priority="10"/>
  </conditionalFormatting>
  <conditionalFormatting sqref="B1">
    <cfRule type="duplicateValues" dxfId="18" priority="9"/>
  </conditionalFormatting>
  <conditionalFormatting sqref="E1">
    <cfRule type="duplicateValues" dxfId="17" priority="8"/>
  </conditionalFormatting>
  <conditionalFormatting sqref="A36:A60">
    <cfRule type="duplicateValues" dxfId="16" priority="7"/>
  </conditionalFormatting>
  <conditionalFormatting sqref="A2:A60">
    <cfRule type="duplicateValues" dxfId="15" priority="6"/>
  </conditionalFormatting>
  <conditionalFormatting sqref="A61:A80">
    <cfRule type="duplicateValues" dxfId="14" priority="5"/>
  </conditionalFormatting>
  <conditionalFormatting sqref="A61:A80">
    <cfRule type="duplicateValues" dxfId="13" priority="4"/>
  </conditionalFormatting>
  <conditionalFormatting sqref="A2:A80">
    <cfRule type="duplicateValues" dxfId="12" priority="3"/>
  </conditionalFormatting>
  <conditionalFormatting sqref="A2:A80">
    <cfRule type="duplicateValues" dxfId="1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topLeftCell="D1" workbookViewId="0">
      <selection activeCell="K10" sqref="K10"/>
    </sheetView>
  </sheetViews>
  <sheetFormatPr baseColWidth="10" defaultRowHeight="15" x14ac:dyDescent="0.25"/>
  <cols>
    <col min="1" max="1" width="9" bestFit="1" customWidth="1"/>
    <col min="2" max="2" width="33.85546875" bestFit="1" customWidth="1"/>
    <col min="3" max="3" width="25.42578125" bestFit="1" customWidth="1"/>
    <col min="4" max="4" width="18.28515625" bestFit="1" customWidth="1"/>
    <col min="5" max="5" width="33.28515625" bestFit="1" customWidth="1"/>
    <col min="6" max="6" width="9.28515625" bestFit="1" customWidth="1"/>
    <col min="7" max="8" width="10.28515625" bestFit="1" customWidth="1"/>
    <col min="9" max="9" width="3.28515625" bestFit="1" customWidth="1"/>
    <col min="10" max="10" width="7.140625" bestFit="1" customWidth="1"/>
    <col min="11" max="11" width="14.140625" bestFit="1" customWidth="1"/>
    <col min="12" max="12" width="4.5703125" bestFit="1" customWidth="1"/>
    <col min="13" max="13" width="8.28515625" bestFit="1" customWidth="1"/>
    <col min="14" max="14" width="11.7109375" bestFit="1" customWidth="1"/>
    <col min="15" max="15" width="6.140625" bestFit="1" customWidth="1"/>
    <col min="16" max="16" width="5.85546875" bestFit="1" customWidth="1"/>
    <col min="17" max="17" width="7.7109375" bestFit="1" customWidth="1"/>
    <col min="18" max="18" width="10.7109375" style="2" bestFit="1" customWidth="1"/>
    <col min="19" max="19" width="14.5703125" bestFit="1" customWidth="1"/>
    <col min="20" max="20" width="11.85546875" bestFit="1" customWidth="1"/>
    <col min="21" max="21" width="11" bestFit="1" customWidth="1"/>
    <col min="22" max="22" width="5" bestFit="1" customWidth="1"/>
    <col min="23" max="23" width="15.42578125" bestFit="1" customWidth="1"/>
    <col min="24" max="24" width="12.7109375" bestFit="1" customWidth="1"/>
    <col min="25" max="25" width="11.85546875" bestFit="1" customWidth="1"/>
    <col min="26" max="26" width="10.140625" bestFit="1" customWidth="1"/>
    <col min="27" max="27" width="5.28515625" bestFit="1" customWidth="1"/>
  </cols>
  <sheetData>
    <row r="1" spans="1:27" x14ac:dyDescent="0.25">
      <c r="A1" s="1" t="s">
        <v>0</v>
      </c>
      <c r="B1" s="1" t="s">
        <v>435</v>
      </c>
      <c r="C1" s="1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5" t="s">
        <v>15</v>
      </c>
      <c r="S1" s="1" t="s">
        <v>445</v>
      </c>
      <c r="T1" s="1" t="s">
        <v>446</v>
      </c>
      <c r="U1" s="1" t="s">
        <v>527</v>
      </c>
      <c r="V1" s="1" t="s">
        <v>16</v>
      </c>
      <c r="W1" s="1" t="s">
        <v>447</v>
      </c>
      <c r="X1" s="1" t="s">
        <v>448</v>
      </c>
      <c r="Y1" s="1" t="s">
        <v>528</v>
      </c>
      <c r="Z1" s="1" t="s">
        <v>17</v>
      </c>
      <c r="AA1" s="1" t="s">
        <v>121</v>
      </c>
    </row>
    <row r="2" spans="1:27" x14ac:dyDescent="0.25">
      <c r="A2">
        <v>10768466</v>
      </c>
      <c r="B2" t="str">
        <f>IF(VLOOKUP($A2,Sheet1!$A:$AA,MATCH(B$1,Sheet1!$A$1:$AA$1,0),FALSE)=0,"",VLOOKUP($A2,Sheet1!$A:$AA,MATCH(B$1,Sheet1!$A$1:$AA$1,0),FALSE))</f>
        <v>Paiva Jardim, Marcello</v>
      </c>
      <c r="C2" t="str">
        <f>IF(VLOOKUP($A2,Sheet1!$A:$AA,MATCH(C$1,Sheet1!$A$1:$AA$1,0),FALSE)=0,"",VLOOKUP($A2,Sheet1!$A:$AA,MATCH(C$1,Sheet1!$A$1:$AA$1,0),FALSE))</f>
        <v>Paiva Jardim</v>
      </c>
      <c r="D2" t="str">
        <f>IF(VLOOKUP($A2,Sheet1!$A:$AA,MATCH(D$1,Sheet1!$A$1:$AA$1,0),FALSE)=0,"",VLOOKUP($A2,Sheet1!$A:$AA,MATCH(D$1,Sheet1!$A$1:$AA$1,0),FALSE))</f>
        <v>Marcello</v>
      </c>
      <c r="E2" t="str">
        <f>IF(VLOOKUP($A2,Sheet1!$A:$AA,MATCH(E$1,Sheet1!$A$1:$AA$1,0),FALSE)=0,"",VLOOKUP($A2,Sheet1!$A:$AA,MATCH(E$1,Sheet1!$A$1:$AA$1,0),FALSE))</f>
        <v>Marcello Paiva Jardim</v>
      </c>
      <c r="F2" t="str">
        <f>IF(VLOOKUP($A2,Sheet1!$A:$AA,MATCH(F$1,Sheet1!$A$1:$AA$1,0),FALSE)=0,"",VLOOKUP($A2,Sheet1!$A:$AA,MATCH(F$1,Sheet1!$A$1:$AA$1,0),FALSE))</f>
        <v/>
      </c>
      <c r="G2" t="str">
        <f>IF(VLOOKUP($A2,Sheet1!$A:$AA,MATCH(G$1,Sheet1!$A$1:$AA$1,0),FALSE)=0,"",VLOOKUP($A2,Sheet1!$A:$AA,MATCH(G$1,Sheet1!$A$1:$AA$1,0),FALSE))</f>
        <v/>
      </c>
      <c r="H2" t="str">
        <f>IF(VLOOKUP($A2,Sheet1!$A:$AA,MATCH(H$1,Sheet1!$A$1:$AA$1,0),FALSE)=0,"",VLOOKUP($A2,Sheet1!$A:$AA,MATCH(H$1,Sheet1!$A$1:$AA$1,0),FALSE))</f>
        <v/>
      </c>
      <c r="I2" t="str">
        <f>IF(VLOOKUP($A2,Sheet1!$A:$AA,MATCH(I$1,Sheet1!$A$1:$AA$1,0),FALSE)=0,"",VLOOKUP($A2,Sheet1!$A:$AA,MATCH(I$1,Sheet1!$A$1:$AA$1,0),FALSE))</f>
        <v/>
      </c>
      <c r="J2" t="str">
        <f>IF(VLOOKUP($A2,Sheet1!$A:$AA,MATCH(J$1,Sheet1!$A$1:$AA$1,0),FALSE)=0,"",VLOOKUP($A2,Sheet1!$A:$AA,MATCH(J$1,Sheet1!$A$1:$AA$1,0),FALSE))</f>
        <v/>
      </c>
      <c r="K2" t="str">
        <f>IF(VLOOKUP($A2,Sheet1!$A:$AA,MATCH(K$1,Sheet1!$A$1:$AA$1,0),FALSE)=0,"",VLOOKUP($A2,Sheet1!$A:$AA,MATCH(K$1,Sheet1!$A$1:$AA$1,0),FALSE))</f>
        <v>MADRID</v>
      </c>
      <c r="L2" t="str">
        <f>IF(VLOOKUP($A2,Sheet1!$A:$AA,MATCH(L$1,Sheet1!$A$1:$AA$1,0),FALSE)=0,"",VLOOKUP($A2,Sheet1!$A:$AA,MATCH(L$1,Sheet1!$A$1:$AA$1,0),FALSE))</f>
        <v/>
      </c>
      <c r="M2" t="str">
        <f>IF(VLOOKUP($A2,Sheet1!$A:$AA,MATCH(M$1,Sheet1!$A$1:$AA$1,0),FALSE)=0,"",VLOOKUP($A2,Sheet1!$A:$AA,MATCH(M$1,Sheet1!$A$1:$AA$1,0),FALSE))</f>
        <v/>
      </c>
      <c r="N2" t="str">
        <f>IF(VLOOKUP($A2,Sheet1!$A:$AA,MATCH(N$1,Sheet1!$A$1:$AA$1,0),FALSE)=0,"",VLOOKUP($A2,Sheet1!$A:$AA,MATCH(N$1,Sheet1!$A$1:$AA$1,0),FALSE))</f>
        <v/>
      </c>
      <c r="O2" t="str">
        <f>IF(VLOOKUP($A2,Sheet1!$A:$AA,MATCH(O$1,Sheet1!$A$1:$AA$1,0),FALSE)=0,"",VLOOKUP($A2,Sheet1!$A:$AA,MATCH(O$1,Sheet1!$A$1:$AA$1,0),FALSE))</f>
        <v/>
      </c>
      <c r="P2" t="str">
        <f>IF(VLOOKUP($A2,Sheet1!$A:$AA,MATCH(P$1,Sheet1!$A$1:$AA$1,0),FALSE)=0,"",VLOOKUP($A2,Sheet1!$A:$AA,MATCH(P$1,Sheet1!$A$1:$AA$1,0),FALSE))</f>
        <v/>
      </c>
      <c r="Q2" t="str">
        <f>IF(VLOOKUP($A2,Sheet1!$A:$AA,MATCH(Q$1,Sheet1!$A$1:$AA$1,0),FALSE)=0,"",VLOOKUP($A2,Sheet1!$A:$AA,MATCH(Q$1,Sheet1!$A$1:$AA$1,0),FALSE))</f>
        <v>M</v>
      </c>
      <c r="R2" s="2" t="str">
        <f>IF(VLOOKUP($A2,Sheet1!$A:$AA,MATCH(R$1,Sheet1!$A$1:$AA$1,0),FALSE)=0,"",VLOOKUP($A2,Sheet1!$A:$AA,MATCH(R$1,Sheet1!$A$1:$AA$1,0),FALSE))</f>
        <v/>
      </c>
      <c r="S2" t="str">
        <f>IF(VLOOKUP($A2,Sheet1!$A:$AA,MATCH(S$1,Sheet1!$A$1:$AA$1,0),FALSE)=0,"",VLOOKUP($A2,Sheet1!$A:$AA,MATCH(S$1,Sheet1!$A$1:$AA$1,0),FALSE))</f>
        <v>IM</v>
      </c>
      <c r="T2" t="str">
        <f>IF(VLOOKUP($A2,Sheet1!$A:$AA,MATCH(T$1,Sheet1!$A$1:$AA$1,0),FALSE)=0,"",VLOOKUP($A2,Sheet1!$A:$AA,MATCH(T$1,Sheet1!$A$1:$AA$1,0),FALSE))</f>
        <v>DM</v>
      </c>
      <c r="U2" t="str">
        <f>IF(VLOOKUP($A2,Sheet1!$A:$AA,MATCH(U$1,Sheet1!$A$1:$AA$1,0),FALSE)=0,"",VLOOKUP($A2,Sheet1!$A:$AA,MATCH(U$1,Sheet1!$A$1:$AA$1,0),FALSE))</f>
        <v>DX</v>
      </c>
      <c r="V2" t="str">
        <f>IF(VLOOKUP($A2,Sheet1!$A:$AA,MATCH(V$1,Sheet1!$A$1:$AA$1,0),FALSE)=0,"",VLOOKUP($A2,Sheet1!$A:$AA,MATCH(V$1,Sheet1!$A$1:$AA$1,0),FALSE))</f>
        <v/>
      </c>
      <c r="W2" t="str">
        <f>IF(VLOOKUP($A2,Sheet1!$A:$AA,MATCH(W$1,Sheet1!$A$1:$AA$1,0),FALSE)=0,"",VLOOKUP($A2,Sheet1!$A:$AA,MATCH(W$1,Sheet1!$A$1:$AA$1,0),FALSE))</f>
        <v>5.0</v>
      </c>
      <c r="X2" t="str">
        <f>IF(VLOOKUP($A2,Sheet1!$A:$AA,MATCH(X$1,Sheet1!$A$1:$AA$1,0),FALSE)=0,"",VLOOKUP($A2,Sheet1!$A:$AA,MATCH(X$1,Sheet1!$A$1:$AA$1,0),FALSE))</f>
        <v>5.0</v>
      </c>
      <c r="Y2" t="str">
        <f>IF(VLOOKUP($A2,Sheet1!$A:$AA,MATCH(Y$1,Sheet1!$A$1:$AA$1,0),FALSE)=0,"",VLOOKUP($A2,Sheet1!$A:$AA,MATCH(Y$1,Sheet1!$A$1:$AA$1,0),FALSE))</f>
        <v>5.0</v>
      </c>
      <c r="Z2" t="str">
        <f>IF(VLOOKUP($A2,Sheet1!$A:$AA,MATCH(Z$1,Sheet1!$A$1:$AA$1,0),FALSE)=0,"",VLOOKUP($A2,Sheet1!$A:$AA,MATCH(Z$1,Sheet1!$A$1:$AA$1,0),FALSE))</f>
        <v/>
      </c>
      <c r="AA2" t="str">
        <f ca="1">IF(VLOOKUP($A2,Sheet1!$A:$AA,MATCH(AA$1,Sheet1!$A$1:$AA$1,0),FALSE)=0,"",VLOOKUP($A2,Sheet1!$A:$AA,MATCH(AA$1,Sheet1!$A$1:$AA$1,0),FALSE))</f>
        <v/>
      </c>
    </row>
    <row r="3" spans="1:27" x14ac:dyDescent="0.25">
      <c r="A3">
        <v>10767319</v>
      </c>
      <c r="B3" t="str">
        <f>IF(VLOOKUP($A3,Sheet1!$A:$AA,MATCH(B$1,Sheet1!$A$1:$AA$1,0),FALSE)=0,"",VLOOKUP($A3,Sheet1!$A:$AA,MATCH(B$1,Sheet1!$A$1:$AA$1,0),FALSE))</f>
        <v>Illescas Cases, David</v>
      </c>
      <c r="C3" t="str">
        <f>IF(VLOOKUP($A3,Sheet1!$A:$AA,MATCH(C$1,Sheet1!$A$1:$AA$1,0),FALSE)=0,"",VLOOKUP($A3,Sheet1!$A:$AA,MATCH(C$1,Sheet1!$A$1:$AA$1,0),FALSE))</f>
        <v>Illescas Cases</v>
      </c>
      <c r="D3" t="str">
        <f>IF(VLOOKUP($A3,Sheet1!$A:$AA,MATCH(D$1,Sheet1!$A$1:$AA$1,0),FALSE)=0,"",VLOOKUP($A3,Sheet1!$A:$AA,MATCH(D$1,Sheet1!$A$1:$AA$1,0),FALSE))</f>
        <v>David</v>
      </c>
      <c r="E3" t="str">
        <f>IF(VLOOKUP($A3,Sheet1!$A:$AA,MATCH(E$1,Sheet1!$A$1:$AA$1,0),FALSE)=0,"",VLOOKUP($A3,Sheet1!$A:$AA,MATCH(E$1,Sheet1!$A$1:$AA$1,0),FALSE))</f>
        <v>David Illescas Cases</v>
      </c>
      <c r="F3" t="str">
        <f>IF(VLOOKUP($A3,Sheet1!$A:$AA,MATCH(F$1,Sheet1!$A$1:$AA$1,0),FALSE)=0,"",VLOOKUP($A3,Sheet1!$A:$AA,MATCH(F$1,Sheet1!$A$1:$AA$1,0),FALSE))</f>
        <v/>
      </c>
      <c r="G3" t="str">
        <f>IF(VLOOKUP($A3,Sheet1!$A:$AA,MATCH(G$1,Sheet1!$A$1:$AA$1,0),FALSE)=0,"",VLOOKUP($A3,Sheet1!$A:$AA,MATCH(G$1,Sheet1!$A$1:$AA$1,0),FALSE))</f>
        <v/>
      </c>
      <c r="H3" t="str">
        <f>IF(VLOOKUP($A3,Sheet1!$A:$AA,MATCH(H$1,Sheet1!$A$1:$AA$1,0),FALSE)=0,"",VLOOKUP($A3,Sheet1!$A:$AA,MATCH(H$1,Sheet1!$A$1:$AA$1,0),FALSE))</f>
        <v/>
      </c>
      <c r="I3" t="str">
        <f>IF(VLOOKUP($A3,Sheet1!$A:$AA,MATCH(I$1,Sheet1!$A$1:$AA$1,0),FALSE)=0,"",VLOOKUP($A3,Sheet1!$A:$AA,MATCH(I$1,Sheet1!$A$1:$AA$1,0),FALSE))</f>
        <v/>
      </c>
      <c r="J3" t="str">
        <f>IF(VLOOKUP($A3,Sheet1!$A:$AA,MATCH(J$1,Sheet1!$A$1:$AA$1,0),FALSE)=0,"",VLOOKUP($A3,Sheet1!$A:$AA,MATCH(J$1,Sheet1!$A$1:$AA$1,0),FALSE))</f>
        <v/>
      </c>
      <c r="K3" t="str">
        <f>IF(VLOOKUP($A3,Sheet1!$A:$AA,MATCH(K$1,Sheet1!$A$1:$AA$1,0),FALSE)=0,"",VLOOKUP($A3,Sheet1!$A:$AA,MATCH(K$1,Sheet1!$A$1:$AA$1,0),FALSE))</f>
        <v>MADRID</v>
      </c>
      <c r="L3" t="str">
        <f>IF(VLOOKUP($A3,Sheet1!$A:$AA,MATCH(L$1,Sheet1!$A$1:$AA$1,0),FALSE)=0,"",VLOOKUP($A3,Sheet1!$A:$AA,MATCH(L$1,Sheet1!$A$1:$AA$1,0),FALSE))</f>
        <v/>
      </c>
      <c r="M3" t="str">
        <f>IF(VLOOKUP($A3,Sheet1!$A:$AA,MATCH(M$1,Sheet1!$A$1:$AA$1,0),FALSE)=0,"",VLOOKUP($A3,Sheet1!$A:$AA,MATCH(M$1,Sheet1!$A$1:$AA$1,0),FALSE))</f>
        <v/>
      </c>
      <c r="N3" t="str">
        <f>IF(VLOOKUP($A3,Sheet1!$A:$AA,MATCH(N$1,Sheet1!$A$1:$AA$1,0),FALSE)=0,"",VLOOKUP($A3,Sheet1!$A:$AA,MATCH(N$1,Sheet1!$A$1:$AA$1,0),FALSE))</f>
        <v/>
      </c>
      <c r="O3" t="str">
        <f>IF(VLOOKUP($A3,Sheet1!$A:$AA,MATCH(O$1,Sheet1!$A$1:$AA$1,0),FALSE)=0,"",VLOOKUP($A3,Sheet1!$A:$AA,MATCH(O$1,Sheet1!$A$1:$AA$1,0),FALSE))</f>
        <v/>
      </c>
      <c r="P3" t="str">
        <f>IF(VLOOKUP($A3,Sheet1!$A:$AA,MATCH(P$1,Sheet1!$A$1:$AA$1,0),FALSE)=0,"",VLOOKUP($A3,Sheet1!$A:$AA,MATCH(P$1,Sheet1!$A$1:$AA$1,0),FALSE))</f>
        <v/>
      </c>
      <c r="Q3" t="str">
        <f>IF(VLOOKUP($A3,Sheet1!$A:$AA,MATCH(Q$1,Sheet1!$A$1:$AA$1,0),FALSE)=0,"",VLOOKUP($A3,Sheet1!$A:$AA,MATCH(Q$1,Sheet1!$A$1:$AA$1,0),FALSE))</f>
        <v>M</v>
      </c>
      <c r="R3" s="2" t="str">
        <f>IF(VLOOKUP($A3,Sheet1!$A:$AA,MATCH(R$1,Sheet1!$A$1:$AA$1,0),FALSE)=0,"",VLOOKUP($A3,Sheet1!$A:$AA,MATCH(R$1,Sheet1!$A$1:$AA$1,0),FALSE))</f>
        <v/>
      </c>
      <c r="S3" t="str">
        <f>IF(VLOOKUP($A3,Sheet1!$A:$AA,MATCH(S$1,Sheet1!$A$1:$AA$1,0),FALSE)=0,"",VLOOKUP($A3,Sheet1!$A:$AA,MATCH(S$1,Sheet1!$A$1:$AA$1,0),FALSE))</f>
        <v>IM</v>
      </c>
      <c r="T3" t="str">
        <f>IF(VLOOKUP($A3,Sheet1!$A:$AA,MATCH(T$1,Sheet1!$A$1:$AA$1,0),FALSE)=0,"",VLOOKUP($A3,Sheet1!$A:$AA,MATCH(T$1,Sheet1!$A$1:$AA$1,0),FALSE))</f>
        <v>DM</v>
      </c>
      <c r="U3" t="str">
        <f>IF(VLOOKUP($A3,Sheet1!$A:$AA,MATCH(U$1,Sheet1!$A$1:$AA$1,0),FALSE)=0,"",VLOOKUP($A3,Sheet1!$A:$AA,MATCH(U$1,Sheet1!$A$1:$AA$1,0),FALSE))</f>
        <v>DX</v>
      </c>
      <c r="V3" t="str">
        <f>IF(VLOOKUP($A3,Sheet1!$A:$AA,MATCH(V$1,Sheet1!$A$1:$AA$1,0),FALSE)=0,"",VLOOKUP($A3,Sheet1!$A:$AA,MATCH(V$1,Sheet1!$A$1:$AA$1,0),FALSE))</f>
        <v/>
      </c>
      <c r="W3" t="str">
        <f>IF(VLOOKUP($A3,Sheet1!$A:$AA,MATCH(W$1,Sheet1!$A$1:$AA$1,0),FALSE)=0,"",VLOOKUP($A3,Sheet1!$A:$AA,MATCH(W$1,Sheet1!$A$1:$AA$1,0),FALSE))</f>
        <v>5.0</v>
      </c>
      <c r="X3" t="str">
        <f>IF(VLOOKUP($A3,Sheet1!$A:$AA,MATCH(X$1,Sheet1!$A$1:$AA$1,0),FALSE)=0,"",VLOOKUP($A3,Sheet1!$A:$AA,MATCH(X$1,Sheet1!$A$1:$AA$1,0),FALSE))</f>
        <v>5.0</v>
      </c>
      <c r="Y3" t="str">
        <f>IF(VLOOKUP($A3,Sheet1!$A:$AA,MATCH(Y$1,Sheet1!$A$1:$AA$1,0),FALSE)=0,"",VLOOKUP($A3,Sheet1!$A:$AA,MATCH(Y$1,Sheet1!$A$1:$AA$1,0),FALSE))</f>
        <v>5.0</v>
      </c>
      <c r="Z3" t="str">
        <f>IF(VLOOKUP($A3,Sheet1!$A:$AA,MATCH(Z$1,Sheet1!$A$1:$AA$1,0),FALSE)=0,"",VLOOKUP($A3,Sheet1!$A:$AA,MATCH(Z$1,Sheet1!$A$1:$AA$1,0),FALSE))</f>
        <v/>
      </c>
      <c r="AA3" t="str">
        <f ca="1">IF(VLOOKUP($A3,Sheet1!$A:$AA,MATCH(AA$1,Sheet1!$A$1:$AA$1,0),FALSE)=0,"",VLOOKUP($A3,Sheet1!$A:$AA,MATCH(AA$1,Sheet1!$A$1:$AA$1,0),FALSE))</f>
        <v/>
      </c>
    </row>
    <row r="4" spans="1:27" x14ac:dyDescent="0.25">
      <c r="A4">
        <v>6836467</v>
      </c>
      <c r="B4" t="str">
        <f>IF(VLOOKUP($A4,Sheet1!$A:$AA,MATCH(B$1,Sheet1!$A$1:$AA$1,0),FALSE)=0,"",VLOOKUP($A4,Sheet1!$A:$AA,MATCH(B$1,Sheet1!$A$1:$AA$1,0),FALSE))</f>
        <v>Canyadell Fabregas, Pep</v>
      </c>
      <c r="C4" t="str">
        <f>IF(VLOOKUP($A4,Sheet1!$A:$AA,MATCH(C$1,Sheet1!$A$1:$AA$1,0),FALSE)=0,"",VLOOKUP($A4,Sheet1!$A:$AA,MATCH(C$1,Sheet1!$A$1:$AA$1,0),FALSE))</f>
        <v>Canyadell Fabregas</v>
      </c>
      <c r="D4" t="str">
        <f>IF(VLOOKUP($A4,Sheet1!$A:$AA,MATCH(D$1,Sheet1!$A$1:$AA$1,0),FALSE)=0,"",VLOOKUP($A4,Sheet1!$A:$AA,MATCH(D$1,Sheet1!$A$1:$AA$1,0),FALSE))</f>
        <v>Pep</v>
      </c>
      <c r="E4" t="str">
        <f>IF(VLOOKUP($A4,Sheet1!$A:$AA,MATCH(E$1,Sheet1!$A$1:$AA$1,0),FALSE)=0,"",VLOOKUP($A4,Sheet1!$A:$AA,MATCH(E$1,Sheet1!$A$1:$AA$1,0),FALSE))</f>
        <v>Pep Canyadell Fabregas</v>
      </c>
      <c r="F4" t="str">
        <f>IF(VLOOKUP($A4,Sheet1!$A:$AA,MATCH(F$1,Sheet1!$A$1:$AA$1,0),FALSE)=0,"",VLOOKUP($A4,Sheet1!$A:$AA,MATCH(F$1,Sheet1!$A$1:$AA$1,0),FALSE))</f>
        <v/>
      </c>
      <c r="G4" t="str">
        <f>IF(VLOOKUP($A4,Sheet1!$A:$AA,MATCH(G$1,Sheet1!$A$1:$AA$1,0),FALSE)=0,"",VLOOKUP($A4,Sheet1!$A:$AA,MATCH(G$1,Sheet1!$A$1:$AA$1,0),FALSE))</f>
        <v/>
      </c>
      <c r="H4" t="str">
        <f>IF(VLOOKUP($A4,Sheet1!$A:$AA,MATCH(H$1,Sheet1!$A$1:$AA$1,0),FALSE)=0,"",VLOOKUP($A4,Sheet1!$A:$AA,MATCH(H$1,Sheet1!$A$1:$AA$1,0),FALSE))</f>
        <v/>
      </c>
      <c r="I4" t="str">
        <f>IF(VLOOKUP($A4,Sheet1!$A:$AA,MATCH(I$1,Sheet1!$A$1:$AA$1,0),FALSE)=0,"",VLOOKUP($A4,Sheet1!$A:$AA,MATCH(I$1,Sheet1!$A$1:$AA$1,0),FALSE))</f>
        <v/>
      </c>
      <c r="J4" t="str">
        <f>IF(VLOOKUP($A4,Sheet1!$A:$AA,MATCH(J$1,Sheet1!$A$1:$AA$1,0),FALSE)=0,"",VLOOKUP($A4,Sheet1!$A:$AA,MATCH(J$1,Sheet1!$A$1:$AA$1,0),FALSE))</f>
        <v/>
      </c>
      <c r="K4" t="str">
        <f>IF(VLOOKUP($A4,Sheet1!$A:$AA,MATCH(K$1,Sheet1!$A$1:$AA$1,0),FALSE)=0,"",VLOOKUP($A4,Sheet1!$A:$AA,MATCH(K$1,Sheet1!$A$1:$AA$1,0),FALSE))</f>
        <v>CATALUÑA</v>
      </c>
      <c r="L4" t="str">
        <f>IF(VLOOKUP($A4,Sheet1!$A:$AA,MATCH(L$1,Sheet1!$A$1:$AA$1,0),FALSE)=0,"",VLOOKUP($A4,Sheet1!$A:$AA,MATCH(L$1,Sheet1!$A$1:$AA$1,0),FALSE))</f>
        <v/>
      </c>
      <c r="M4" t="str">
        <f>IF(VLOOKUP($A4,Sheet1!$A:$AA,MATCH(M$1,Sheet1!$A$1:$AA$1,0),FALSE)=0,"",VLOOKUP($A4,Sheet1!$A:$AA,MATCH(M$1,Sheet1!$A$1:$AA$1,0),FALSE))</f>
        <v/>
      </c>
      <c r="N4" t="str">
        <f>IF(VLOOKUP($A4,Sheet1!$A:$AA,MATCH(N$1,Sheet1!$A$1:$AA$1,0),FALSE)=0,"",VLOOKUP($A4,Sheet1!$A:$AA,MATCH(N$1,Sheet1!$A$1:$AA$1,0),FALSE))</f>
        <v/>
      </c>
      <c r="O4" t="str">
        <f>IF(VLOOKUP($A4,Sheet1!$A:$AA,MATCH(O$1,Sheet1!$A$1:$AA$1,0),FALSE)=0,"",VLOOKUP($A4,Sheet1!$A:$AA,MATCH(O$1,Sheet1!$A$1:$AA$1,0),FALSE))</f>
        <v/>
      </c>
      <c r="P4" t="str">
        <f>IF(VLOOKUP($A4,Sheet1!$A:$AA,MATCH(P$1,Sheet1!$A$1:$AA$1,0),FALSE)=0,"",VLOOKUP($A4,Sheet1!$A:$AA,MATCH(P$1,Sheet1!$A$1:$AA$1,0),FALSE))</f>
        <v/>
      </c>
      <c r="Q4" t="str">
        <f>IF(VLOOKUP($A4,Sheet1!$A:$AA,MATCH(Q$1,Sheet1!$A$1:$AA$1,0),FALSE)=0,"",VLOOKUP($A4,Sheet1!$A:$AA,MATCH(Q$1,Sheet1!$A$1:$AA$1,0),FALSE))</f>
        <v>M</v>
      </c>
      <c r="R4" s="2" t="str">
        <f>IF(VLOOKUP($A4,Sheet1!$A:$AA,MATCH(R$1,Sheet1!$A$1:$AA$1,0),FALSE)=0,"",VLOOKUP($A4,Sheet1!$A:$AA,MATCH(R$1,Sheet1!$A$1:$AA$1,0),FALSE))</f>
        <v/>
      </c>
      <c r="S4" t="str">
        <f>IF(VLOOKUP($A4,Sheet1!$A:$AA,MATCH(S$1,Sheet1!$A$1:$AA$1,0),FALSE)=0,"",VLOOKUP($A4,Sheet1!$A:$AA,MATCH(S$1,Sheet1!$A$1:$AA$1,0),FALSE))</f>
        <v>IM</v>
      </c>
      <c r="T4" t="str">
        <f>IF(VLOOKUP($A4,Sheet1!$A:$AA,MATCH(T$1,Sheet1!$A$1:$AA$1,0),FALSE)=0,"",VLOOKUP($A4,Sheet1!$A:$AA,MATCH(T$1,Sheet1!$A$1:$AA$1,0),FALSE))</f>
        <v>DM</v>
      </c>
      <c r="U4" t="str">
        <f>IF(VLOOKUP($A4,Sheet1!$A:$AA,MATCH(U$1,Sheet1!$A$1:$AA$1,0),FALSE)=0,"",VLOOKUP($A4,Sheet1!$A:$AA,MATCH(U$1,Sheet1!$A$1:$AA$1,0),FALSE))</f>
        <v>DX</v>
      </c>
      <c r="V4" t="str">
        <f>IF(VLOOKUP($A4,Sheet1!$A:$AA,MATCH(V$1,Sheet1!$A$1:$AA$1,0),FALSE)=0,"",VLOOKUP($A4,Sheet1!$A:$AA,MATCH(V$1,Sheet1!$A$1:$AA$1,0),FALSE))</f>
        <v/>
      </c>
      <c r="W4" t="str">
        <f>IF(VLOOKUP($A4,Sheet1!$A:$AA,MATCH(W$1,Sheet1!$A$1:$AA$1,0),FALSE)=0,"",VLOOKUP($A4,Sheet1!$A:$AA,MATCH(W$1,Sheet1!$A$1:$AA$1,0),FALSE))</f>
        <v>5.0</v>
      </c>
      <c r="X4" t="str">
        <f>IF(VLOOKUP($A4,Sheet1!$A:$AA,MATCH(X$1,Sheet1!$A$1:$AA$1,0),FALSE)=0,"",VLOOKUP($A4,Sheet1!$A:$AA,MATCH(X$1,Sheet1!$A$1:$AA$1,0),FALSE))</f>
        <v>5.0</v>
      </c>
      <c r="Y4" t="str">
        <f>IF(VLOOKUP($A4,Sheet1!$A:$AA,MATCH(Y$1,Sheet1!$A$1:$AA$1,0),FALSE)=0,"",VLOOKUP($A4,Sheet1!$A:$AA,MATCH(Y$1,Sheet1!$A$1:$AA$1,0),FALSE))</f>
        <v>5.0</v>
      </c>
      <c r="Z4" t="str">
        <f>IF(VLOOKUP($A4,Sheet1!$A:$AA,MATCH(Z$1,Sheet1!$A$1:$AA$1,0),FALSE)=0,"",VLOOKUP($A4,Sheet1!$A:$AA,MATCH(Z$1,Sheet1!$A$1:$AA$1,0),FALSE))</f>
        <v/>
      </c>
      <c r="AA4" t="str">
        <f ca="1">IF(VLOOKUP($A4,Sheet1!$A:$AA,MATCH(AA$1,Sheet1!$A$1:$AA$1,0),FALSE)=0,"",VLOOKUP($A4,Sheet1!$A:$AA,MATCH(AA$1,Sheet1!$A$1:$AA$1,0),FALSE))</f>
        <v/>
      </c>
    </row>
    <row r="5" spans="1:27" x14ac:dyDescent="0.25">
      <c r="A5">
        <v>16952360</v>
      </c>
      <c r="B5" t="str">
        <f>IF(VLOOKUP($A5,Sheet1!$A:$AA,MATCH(B$1,Sheet1!$A$1:$AA$1,0),FALSE)=0,"",VLOOKUP($A5,Sheet1!$A:$AA,MATCH(B$1,Sheet1!$A$1:$AA$1,0),FALSE))</f>
        <v>Casquero Herrero, Antonio</v>
      </c>
      <c r="C5" t="str">
        <f>IF(VLOOKUP($A5,Sheet1!$A:$AA,MATCH(C$1,Sheet1!$A$1:$AA$1,0),FALSE)=0,"",VLOOKUP($A5,Sheet1!$A:$AA,MATCH(C$1,Sheet1!$A$1:$AA$1,0),FALSE))</f>
        <v>Casquero Herrero</v>
      </c>
      <c r="D5" t="str">
        <f>IF(VLOOKUP($A5,Sheet1!$A:$AA,MATCH(D$1,Sheet1!$A$1:$AA$1,0),FALSE)=0,"",VLOOKUP($A5,Sheet1!$A:$AA,MATCH(D$1,Sheet1!$A$1:$AA$1,0),FALSE))</f>
        <v>Antonio</v>
      </c>
      <c r="E5" t="str">
        <f>IF(VLOOKUP($A5,Sheet1!$A:$AA,MATCH(E$1,Sheet1!$A$1:$AA$1,0),FALSE)=0,"",VLOOKUP($A5,Sheet1!$A:$AA,MATCH(E$1,Sheet1!$A$1:$AA$1,0),FALSE))</f>
        <v>Antonio Casquero Herrero</v>
      </c>
      <c r="F5" t="str">
        <f>IF(VLOOKUP($A5,Sheet1!$A:$AA,MATCH(F$1,Sheet1!$A$1:$AA$1,0),FALSE)=0,"",VLOOKUP($A5,Sheet1!$A:$AA,MATCH(F$1,Sheet1!$A$1:$AA$1,0),FALSE))</f>
        <v/>
      </c>
      <c r="G5" t="str">
        <f>IF(VLOOKUP($A5,Sheet1!$A:$AA,MATCH(G$1,Sheet1!$A$1:$AA$1,0),FALSE)=0,"",VLOOKUP($A5,Sheet1!$A:$AA,MATCH(G$1,Sheet1!$A$1:$AA$1,0),FALSE))</f>
        <v/>
      </c>
      <c r="H5" t="str">
        <f>IF(VLOOKUP($A5,Sheet1!$A:$AA,MATCH(H$1,Sheet1!$A$1:$AA$1,0),FALSE)=0,"",VLOOKUP($A5,Sheet1!$A:$AA,MATCH(H$1,Sheet1!$A$1:$AA$1,0),FALSE))</f>
        <v/>
      </c>
      <c r="I5" t="str">
        <f>IF(VLOOKUP($A5,Sheet1!$A:$AA,MATCH(I$1,Sheet1!$A$1:$AA$1,0),FALSE)=0,"",VLOOKUP($A5,Sheet1!$A:$AA,MATCH(I$1,Sheet1!$A$1:$AA$1,0),FALSE))</f>
        <v/>
      </c>
      <c r="J5" t="str">
        <f>IF(VLOOKUP($A5,Sheet1!$A:$AA,MATCH(J$1,Sheet1!$A$1:$AA$1,0),FALSE)=0,"",VLOOKUP($A5,Sheet1!$A:$AA,MATCH(J$1,Sheet1!$A$1:$AA$1,0),FALSE))</f>
        <v/>
      </c>
      <c r="K5" t="str">
        <f>IF(VLOOKUP($A5,Sheet1!$A:$AA,MATCH(K$1,Sheet1!$A$1:$AA$1,0),FALSE)=0,"",VLOOKUP($A5,Sheet1!$A:$AA,MATCH(K$1,Sheet1!$A$1:$AA$1,0),FALSE))</f>
        <v>ANDALUCIA</v>
      </c>
      <c r="L5" t="str">
        <f>IF(VLOOKUP($A5,Sheet1!$A:$AA,MATCH(L$1,Sheet1!$A$1:$AA$1,0),FALSE)=0,"",VLOOKUP($A5,Sheet1!$A:$AA,MATCH(L$1,Sheet1!$A$1:$AA$1,0),FALSE))</f>
        <v/>
      </c>
      <c r="M5" t="str">
        <f>IF(VLOOKUP($A5,Sheet1!$A:$AA,MATCH(M$1,Sheet1!$A$1:$AA$1,0),FALSE)=0,"",VLOOKUP($A5,Sheet1!$A:$AA,MATCH(M$1,Sheet1!$A$1:$AA$1,0),FALSE))</f>
        <v/>
      </c>
      <c r="N5" t="str">
        <f>IF(VLOOKUP($A5,Sheet1!$A:$AA,MATCH(N$1,Sheet1!$A$1:$AA$1,0),FALSE)=0,"",VLOOKUP($A5,Sheet1!$A:$AA,MATCH(N$1,Sheet1!$A$1:$AA$1,0),FALSE))</f>
        <v/>
      </c>
      <c r="O5" t="str">
        <f>IF(VLOOKUP($A5,Sheet1!$A:$AA,MATCH(O$1,Sheet1!$A$1:$AA$1,0),FALSE)=0,"",VLOOKUP($A5,Sheet1!$A:$AA,MATCH(O$1,Sheet1!$A$1:$AA$1,0),FALSE))</f>
        <v/>
      </c>
      <c r="P5" t="str">
        <f>IF(VLOOKUP($A5,Sheet1!$A:$AA,MATCH(P$1,Sheet1!$A$1:$AA$1,0),FALSE)=0,"",VLOOKUP($A5,Sheet1!$A:$AA,MATCH(P$1,Sheet1!$A$1:$AA$1,0),FALSE))</f>
        <v/>
      </c>
      <c r="Q5" t="str">
        <f>IF(VLOOKUP($A5,Sheet1!$A:$AA,MATCH(Q$1,Sheet1!$A$1:$AA$1,0),FALSE)=0,"",VLOOKUP($A5,Sheet1!$A:$AA,MATCH(Q$1,Sheet1!$A$1:$AA$1,0),FALSE))</f>
        <v>M</v>
      </c>
      <c r="R5" s="2" t="str">
        <f>IF(VLOOKUP($A5,Sheet1!$A:$AA,MATCH(R$1,Sheet1!$A$1:$AA$1,0),FALSE)=0,"",VLOOKUP($A5,Sheet1!$A:$AA,MATCH(R$1,Sheet1!$A$1:$AA$1,0),FALSE))</f>
        <v/>
      </c>
      <c r="S5" t="str">
        <f>IF(VLOOKUP($A5,Sheet1!$A:$AA,MATCH(S$1,Sheet1!$A$1:$AA$1,0),FALSE)=0,"",VLOOKUP($A5,Sheet1!$A:$AA,MATCH(S$1,Sheet1!$A$1:$AA$1,0),FALSE))</f>
        <v>IM</v>
      </c>
      <c r="T5" t="str">
        <f>IF(VLOOKUP($A5,Sheet1!$A:$AA,MATCH(T$1,Sheet1!$A$1:$AA$1,0),FALSE)=0,"",VLOOKUP($A5,Sheet1!$A:$AA,MATCH(T$1,Sheet1!$A$1:$AA$1,0),FALSE))</f>
        <v>DM</v>
      </c>
      <c r="U5" t="str">
        <f>IF(VLOOKUP($A5,Sheet1!$A:$AA,MATCH(U$1,Sheet1!$A$1:$AA$1,0),FALSE)=0,"",VLOOKUP($A5,Sheet1!$A:$AA,MATCH(U$1,Sheet1!$A$1:$AA$1,0),FALSE))</f>
        <v/>
      </c>
      <c r="V5" t="str">
        <f>IF(VLOOKUP($A5,Sheet1!$A:$AA,MATCH(V$1,Sheet1!$A$1:$AA$1,0),FALSE)=0,"",VLOOKUP($A5,Sheet1!$A:$AA,MATCH(V$1,Sheet1!$A$1:$AA$1,0),FALSE))</f>
        <v/>
      </c>
      <c r="W5" t="str">
        <f>IF(VLOOKUP($A5,Sheet1!$A:$AA,MATCH(W$1,Sheet1!$A$1:$AA$1,0),FALSE)=0,"",VLOOKUP($A5,Sheet1!$A:$AA,MATCH(W$1,Sheet1!$A$1:$AA$1,0),FALSE))</f>
        <v>5.0</v>
      </c>
      <c r="X5" t="str">
        <f>IF(VLOOKUP($A5,Sheet1!$A:$AA,MATCH(X$1,Sheet1!$A$1:$AA$1,0),FALSE)=0,"",VLOOKUP($A5,Sheet1!$A:$AA,MATCH(X$1,Sheet1!$A$1:$AA$1,0),FALSE))</f>
        <v>5.0</v>
      </c>
      <c r="Y5" t="str">
        <f>IF(VLOOKUP($A5,Sheet1!$A:$AA,MATCH(Y$1,Sheet1!$A$1:$AA$1,0),FALSE)=0,"",VLOOKUP($A5,Sheet1!$A:$AA,MATCH(Y$1,Sheet1!$A$1:$AA$1,0),FALSE))</f>
        <v/>
      </c>
      <c r="Z5" t="str">
        <f>IF(VLOOKUP($A5,Sheet1!$A:$AA,MATCH(Z$1,Sheet1!$A$1:$AA$1,0),FALSE)=0,"",VLOOKUP($A5,Sheet1!$A:$AA,MATCH(Z$1,Sheet1!$A$1:$AA$1,0),FALSE))</f>
        <v/>
      </c>
      <c r="AA5" t="str">
        <f ca="1">IF(VLOOKUP($A5,Sheet1!$A:$AA,MATCH(AA$1,Sheet1!$A$1:$AA$1,0),FALSE)=0,"",VLOOKUP($A5,Sheet1!$A:$AA,MATCH(AA$1,Sheet1!$A$1:$AA$1,0),FALSE))</f>
        <v/>
      </c>
    </row>
    <row r="6" spans="1:27" x14ac:dyDescent="0.25">
      <c r="A6">
        <v>13464954</v>
      </c>
      <c r="B6" t="str">
        <f>IF(VLOOKUP($A6,Sheet1!$A:$AA,MATCH(B$1,Sheet1!$A$1:$AA$1,0),FALSE)=0,"",VLOOKUP($A6,Sheet1!$A:$AA,MATCH(B$1,Sheet1!$A$1:$AA$1,0),FALSE))</f>
        <v>Marcos López, Vicente</v>
      </c>
      <c r="C6" t="str">
        <f>IF(VLOOKUP($A6,Sheet1!$A:$AA,MATCH(C$1,Sheet1!$A$1:$AA$1,0),FALSE)=0,"",VLOOKUP($A6,Sheet1!$A:$AA,MATCH(C$1,Sheet1!$A$1:$AA$1,0),FALSE))</f>
        <v>Marcos López</v>
      </c>
      <c r="D6" t="str">
        <f>IF(VLOOKUP($A6,Sheet1!$A:$AA,MATCH(D$1,Sheet1!$A$1:$AA$1,0),FALSE)=0,"",VLOOKUP($A6,Sheet1!$A:$AA,MATCH(D$1,Sheet1!$A$1:$AA$1,0),FALSE))</f>
        <v>Vicente</v>
      </c>
      <c r="E6" t="str">
        <f>IF(VLOOKUP($A6,Sheet1!$A:$AA,MATCH(E$1,Sheet1!$A$1:$AA$1,0),FALSE)=0,"",VLOOKUP($A6,Sheet1!$A:$AA,MATCH(E$1,Sheet1!$A$1:$AA$1,0),FALSE))</f>
        <v>Vicente Marcos López</v>
      </c>
      <c r="F6" t="str">
        <f>IF(VLOOKUP($A6,Sheet1!$A:$AA,MATCH(F$1,Sheet1!$A$1:$AA$1,0),FALSE)=0,"",VLOOKUP($A6,Sheet1!$A:$AA,MATCH(F$1,Sheet1!$A$1:$AA$1,0),FALSE))</f>
        <v/>
      </c>
      <c r="G6" t="str">
        <f>IF(VLOOKUP($A6,Sheet1!$A:$AA,MATCH(G$1,Sheet1!$A$1:$AA$1,0),FALSE)=0,"",VLOOKUP($A6,Sheet1!$A:$AA,MATCH(G$1,Sheet1!$A$1:$AA$1,0),FALSE))</f>
        <v/>
      </c>
      <c r="H6" t="str">
        <f>IF(VLOOKUP($A6,Sheet1!$A:$AA,MATCH(H$1,Sheet1!$A$1:$AA$1,0),FALSE)=0,"",VLOOKUP($A6,Sheet1!$A:$AA,MATCH(H$1,Sheet1!$A$1:$AA$1,0),FALSE))</f>
        <v/>
      </c>
      <c r="I6" t="str">
        <f>IF(VLOOKUP($A6,Sheet1!$A:$AA,MATCH(I$1,Sheet1!$A$1:$AA$1,0),FALSE)=0,"",VLOOKUP($A6,Sheet1!$A:$AA,MATCH(I$1,Sheet1!$A$1:$AA$1,0),FALSE))</f>
        <v/>
      </c>
      <c r="J6" t="str">
        <f>IF(VLOOKUP($A6,Sheet1!$A:$AA,MATCH(J$1,Sheet1!$A$1:$AA$1,0),FALSE)=0,"",VLOOKUP($A6,Sheet1!$A:$AA,MATCH(J$1,Sheet1!$A$1:$AA$1,0),FALSE))</f>
        <v/>
      </c>
      <c r="K6" t="str">
        <f>IF(VLOOKUP($A6,Sheet1!$A:$AA,MATCH(K$1,Sheet1!$A$1:$AA$1,0),FALSE)=0,"",VLOOKUP($A6,Sheet1!$A:$AA,MATCH(K$1,Sheet1!$A$1:$AA$1,0),FALSE))</f>
        <v>C. VALENCIA</v>
      </c>
      <c r="L6" t="str">
        <f>IF(VLOOKUP($A6,Sheet1!$A:$AA,MATCH(L$1,Sheet1!$A$1:$AA$1,0),FALSE)=0,"",VLOOKUP($A6,Sheet1!$A:$AA,MATCH(L$1,Sheet1!$A$1:$AA$1,0),FALSE))</f>
        <v/>
      </c>
      <c r="M6" t="str">
        <f>IF(VLOOKUP($A6,Sheet1!$A:$AA,MATCH(M$1,Sheet1!$A$1:$AA$1,0),FALSE)=0,"",VLOOKUP($A6,Sheet1!$A:$AA,MATCH(M$1,Sheet1!$A$1:$AA$1,0),FALSE))</f>
        <v/>
      </c>
      <c r="N6" t="str">
        <f>IF(VLOOKUP($A6,Sheet1!$A:$AA,MATCH(N$1,Sheet1!$A$1:$AA$1,0),FALSE)=0,"",VLOOKUP($A6,Sheet1!$A:$AA,MATCH(N$1,Sheet1!$A$1:$AA$1,0),FALSE))</f>
        <v/>
      </c>
      <c r="O6" t="str">
        <f>IF(VLOOKUP($A6,Sheet1!$A:$AA,MATCH(O$1,Sheet1!$A$1:$AA$1,0),FALSE)=0,"",VLOOKUP($A6,Sheet1!$A:$AA,MATCH(O$1,Sheet1!$A$1:$AA$1,0),FALSE))</f>
        <v/>
      </c>
      <c r="P6" t="str">
        <f>IF(VLOOKUP($A6,Sheet1!$A:$AA,MATCH(P$1,Sheet1!$A$1:$AA$1,0),FALSE)=0,"",VLOOKUP($A6,Sheet1!$A:$AA,MATCH(P$1,Sheet1!$A$1:$AA$1,0),FALSE))</f>
        <v/>
      </c>
      <c r="Q6" t="str">
        <f>IF(VLOOKUP($A6,Sheet1!$A:$AA,MATCH(Q$1,Sheet1!$A$1:$AA$1,0),FALSE)=0,"",VLOOKUP($A6,Sheet1!$A:$AA,MATCH(Q$1,Sheet1!$A$1:$AA$1,0),FALSE))</f>
        <v>M</v>
      </c>
      <c r="R6" s="2" t="str">
        <f>IF(VLOOKUP($A6,Sheet1!$A:$AA,MATCH(R$1,Sheet1!$A$1:$AA$1,0),FALSE)=0,"",VLOOKUP($A6,Sheet1!$A:$AA,MATCH(R$1,Sheet1!$A$1:$AA$1,0),FALSE))</f>
        <v/>
      </c>
      <c r="S6" t="str">
        <f>IF(VLOOKUP($A6,Sheet1!$A:$AA,MATCH(S$1,Sheet1!$A$1:$AA$1,0),FALSE)=0,"",VLOOKUP($A6,Sheet1!$A:$AA,MATCH(S$1,Sheet1!$A$1:$AA$1,0),FALSE))</f>
        <v>IM</v>
      </c>
      <c r="T6" t="str">
        <f>IF(VLOOKUP($A6,Sheet1!$A:$AA,MATCH(T$1,Sheet1!$A$1:$AA$1,0),FALSE)=0,"",VLOOKUP($A6,Sheet1!$A:$AA,MATCH(T$1,Sheet1!$A$1:$AA$1,0),FALSE))</f>
        <v>DM</v>
      </c>
      <c r="U6" t="str">
        <f>IF(VLOOKUP($A6,Sheet1!$A:$AA,MATCH(U$1,Sheet1!$A$1:$AA$1,0),FALSE)=0,"",VLOOKUP($A6,Sheet1!$A:$AA,MATCH(U$1,Sheet1!$A$1:$AA$1,0),FALSE))</f>
        <v>DX</v>
      </c>
      <c r="V6" t="str">
        <f>IF(VLOOKUP($A6,Sheet1!$A:$AA,MATCH(V$1,Sheet1!$A$1:$AA$1,0),FALSE)=0,"",VLOOKUP($A6,Sheet1!$A:$AA,MATCH(V$1,Sheet1!$A$1:$AA$1,0),FALSE))</f>
        <v/>
      </c>
      <c r="W6" t="str">
        <f>IF(VLOOKUP($A6,Sheet1!$A:$AA,MATCH(W$1,Sheet1!$A$1:$AA$1,0),FALSE)=0,"",VLOOKUP($A6,Sheet1!$A:$AA,MATCH(W$1,Sheet1!$A$1:$AA$1,0),FALSE))</f>
        <v>5.0</v>
      </c>
      <c r="X6" t="str">
        <f>IF(VLOOKUP($A6,Sheet1!$A:$AA,MATCH(X$1,Sheet1!$A$1:$AA$1,0),FALSE)=0,"",VLOOKUP($A6,Sheet1!$A:$AA,MATCH(X$1,Sheet1!$A$1:$AA$1,0),FALSE))</f>
        <v>5.0</v>
      </c>
      <c r="Y6" t="str">
        <f>IF(VLOOKUP($A6,Sheet1!$A:$AA,MATCH(Y$1,Sheet1!$A$1:$AA$1,0),FALSE)=0,"",VLOOKUP($A6,Sheet1!$A:$AA,MATCH(Y$1,Sheet1!$A$1:$AA$1,0),FALSE))</f>
        <v>5.0</v>
      </c>
      <c r="Z6" t="str">
        <f>IF(VLOOKUP($A6,Sheet1!$A:$AA,MATCH(Z$1,Sheet1!$A$1:$AA$1,0),FALSE)=0,"",VLOOKUP($A6,Sheet1!$A:$AA,MATCH(Z$1,Sheet1!$A$1:$AA$1,0),FALSE))</f>
        <v/>
      </c>
      <c r="AA6" t="str">
        <f ca="1">IF(VLOOKUP($A6,Sheet1!$A:$AA,MATCH(AA$1,Sheet1!$A$1:$AA$1,0),FALSE)=0,"",VLOOKUP($A6,Sheet1!$A:$AA,MATCH(AA$1,Sheet1!$A$1:$AA$1,0),FALSE))</f>
        <v/>
      </c>
    </row>
    <row r="7" spans="1:27" x14ac:dyDescent="0.25">
      <c r="A7">
        <v>16307820</v>
      </c>
      <c r="B7" t="str">
        <f>IF(VLOOKUP($A7,Sheet1!$A:$AA,MATCH(B$1,Sheet1!$A$1:$AA$1,0),FALSE)=0,"",VLOOKUP($A7,Sheet1!$A:$AA,MATCH(B$1,Sheet1!$A$1:$AA$1,0),FALSE))</f>
        <v>Díaz Ibáñez, Sergio</v>
      </c>
      <c r="C7" t="str">
        <f>IF(VLOOKUP($A7,Sheet1!$A:$AA,MATCH(C$1,Sheet1!$A$1:$AA$1,0),FALSE)=0,"",VLOOKUP($A7,Sheet1!$A:$AA,MATCH(C$1,Sheet1!$A$1:$AA$1,0),FALSE))</f>
        <v>Díaz Ibáñez</v>
      </c>
      <c r="D7" t="str">
        <f>IF(VLOOKUP($A7,Sheet1!$A:$AA,MATCH(D$1,Sheet1!$A$1:$AA$1,0),FALSE)=0,"",VLOOKUP($A7,Sheet1!$A:$AA,MATCH(D$1,Sheet1!$A$1:$AA$1,0),FALSE))</f>
        <v>Sergio</v>
      </c>
      <c r="E7" t="str">
        <f>IF(VLOOKUP($A7,Sheet1!$A:$AA,MATCH(E$1,Sheet1!$A$1:$AA$1,0),FALSE)=0,"",VLOOKUP($A7,Sheet1!$A:$AA,MATCH(E$1,Sheet1!$A$1:$AA$1,0),FALSE))</f>
        <v>Sergio Díaz Ibáñez</v>
      </c>
      <c r="F7" t="str">
        <f>IF(VLOOKUP($A7,Sheet1!$A:$AA,MATCH(F$1,Sheet1!$A$1:$AA$1,0),FALSE)=0,"",VLOOKUP($A7,Sheet1!$A:$AA,MATCH(F$1,Sheet1!$A$1:$AA$1,0),FALSE))</f>
        <v/>
      </c>
      <c r="G7" t="str">
        <f>IF(VLOOKUP($A7,Sheet1!$A:$AA,MATCH(G$1,Sheet1!$A$1:$AA$1,0),FALSE)=0,"",VLOOKUP($A7,Sheet1!$A:$AA,MATCH(G$1,Sheet1!$A$1:$AA$1,0),FALSE))</f>
        <v/>
      </c>
      <c r="H7" t="str">
        <f>IF(VLOOKUP($A7,Sheet1!$A:$AA,MATCH(H$1,Sheet1!$A$1:$AA$1,0),FALSE)=0,"",VLOOKUP($A7,Sheet1!$A:$AA,MATCH(H$1,Sheet1!$A$1:$AA$1,0),FALSE))</f>
        <v/>
      </c>
      <c r="I7" t="str">
        <f>IF(VLOOKUP($A7,Sheet1!$A:$AA,MATCH(I$1,Sheet1!$A$1:$AA$1,0),FALSE)=0,"",VLOOKUP($A7,Sheet1!$A:$AA,MATCH(I$1,Sheet1!$A$1:$AA$1,0),FALSE))</f>
        <v/>
      </c>
      <c r="J7" t="str">
        <f>IF(VLOOKUP($A7,Sheet1!$A:$AA,MATCH(J$1,Sheet1!$A$1:$AA$1,0),FALSE)=0,"",VLOOKUP($A7,Sheet1!$A:$AA,MATCH(J$1,Sheet1!$A$1:$AA$1,0),FALSE))</f>
        <v/>
      </c>
      <c r="K7" t="str">
        <f>IF(VLOOKUP($A7,Sheet1!$A:$AA,MATCH(K$1,Sheet1!$A$1:$AA$1,0),FALSE)=0,"",VLOOKUP($A7,Sheet1!$A:$AA,MATCH(K$1,Sheet1!$A$1:$AA$1,0),FALSE))</f>
        <v>CEUTA</v>
      </c>
      <c r="L7" t="str">
        <f>IF(VLOOKUP($A7,Sheet1!$A:$AA,MATCH(L$1,Sheet1!$A$1:$AA$1,0),FALSE)=0,"",VLOOKUP($A7,Sheet1!$A:$AA,MATCH(L$1,Sheet1!$A$1:$AA$1,0),FALSE))</f>
        <v/>
      </c>
      <c r="M7" t="str">
        <f>IF(VLOOKUP($A7,Sheet1!$A:$AA,MATCH(M$1,Sheet1!$A$1:$AA$1,0),FALSE)=0,"",VLOOKUP($A7,Sheet1!$A:$AA,MATCH(M$1,Sheet1!$A$1:$AA$1,0),FALSE))</f>
        <v/>
      </c>
      <c r="N7" t="str">
        <f>IF(VLOOKUP($A7,Sheet1!$A:$AA,MATCH(N$1,Sheet1!$A$1:$AA$1,0),FALSE)=0,"",VLOOKUP($A7,Sheet1!$A:$AA,MATCH(N$1,Sheet1!$A$1:$AA$1,0),FALSE))</f>
        <v/>
      </c>
      <c r="O7" t="str">
        <f>IF(VLOOKUP($A7,Sheet1!$A:$AA,MATCH(O$1,Sheet1!$A$1:$AA$1,0),FALSE)=0,"",VLOOKUP($A7,Sheet1!$A:$AA,MATCH(O$1,Sheet1!$A$1:$AA$1,0),FALSE))</f>
        <v/>
      </c>
      <c r="P7" t="str">
        <f>IF(VLOOKUP($A7,Sheet1!$A:$AA,MATCH(P$1,Sheet1!$A$1:$AA$1,0),FALSE)=0,"",VLOOKUP($A7,Sheet1!$A:$AA,MATCH(P$1,Sheet1!$A$1:$AA$1,0),FALSE))</f>
        <v/>
      </c>
      <c r="Q7" t="str">
        <f>IF(VLOOKUP($A7,Sheet1!$A:$AA,MATCH(Q$1,Sheet1!$A$1:$AA$1,0),FALSE)=0,"",VLOOKUP($A7,Sheet1!$A:$AA,MATCH(Q$1,Sheet1!$A$1:$AA$1,0),FALSE))</f>
        <v>M</v>
      </c>
      <c r="R7" s="2">
        <f>IF(VLOOKUP($A7,Sheet1!$A:$AA,MATCH(R$1,Sheet1!$A$1:$AA$1,0),FALSE)=0,"",VLOOKUP($A7,Sheet1!$A:$AA,MATCH(R$1,Sheet1!$A$1:$AA$1,0),FALSE))</f>
        <v>34517</v>
      </c>
      <c r="S7" t="str">
        <f>IF(VLOOKUP($A7,Sheet1!$A:$AA,MATCH(S$1,Sheet1!$A$1:$AA$1,0),FALSE)=0,"",VLOOKUP($A7,Sheet1!$A:$AA,MATCH(S$1,Sheet1!$A$1:$AA$1,0),FALSE))</f>
        <v>IM</v>
      </c>
      <c r="T7" t="str">
        <f>IF(VLOOKUP($A7,Sheet1!$A:$AA,MATCH(T$1,Sheet1!$A$1:$AA$1,0),FALSE)=0,"",VLOOKUP($A7,Sheet1!$A:$AA,MATCH(T$1,Sheet1!$A$1:$AA$1,0),FALSE))</f>
        <v>DM</v>
      </c>
      <c r="U7" t="str">
        <f>IF(VLOOKUP($A7,Sheet1!$A:$AA,MATCH(U$1,Sheet1!$A$1:$AA$1,0),FALSE)=0,"",VLOOKUP($A7,Sheet1!$A:$AA,MATCH(U$1,Sheet1!$A$1:$AA$1,0),FALSE))</f>
        <v/>
      </c>
      <c r="V7" t="str">
        <f>IF(VLOOKUP($A7,Sheet1!$A:$AA,MATCH(V$1,Sheet1!$A$1:$AA$1,0),FALSE)=0,"",VLOOKUP($A7,Sheet1!$A:$AA,MATCH(V$1,Sheet1!$A$1:$AA$1,0),FALSE))</f>
        <v/>
      </c>
      <c r="W7" t="str">
        <f>IF(VLOOKUP($A7,Sheet1!$A:$AA,MATCH(W$1,Sheet1!$A$1:$AA$1,0),FALSE)=0,"",VLOOKUP($A7,Sheet1!$A:$AA,MATCH(W$1,Sheet1!$A$1:$AA$1,0),FALSE))</f>
        <v>5.0</v>
      </c>
      <c r="X7" t="str">
        <f>IF(VLOOKUP($A7,Sheet1!$A:$AA,MATCH(X$1,Sheet1!$A$1:$AA$1,0),FALSE)=0,"",VLOOKUP($A7,Sheet1!$A:$AA,MATCH(X$1,Sheet1!$A$1:$AA$1,0),FALSE))</f>
        <v>5.0</v>
      </c>
      <c r="Y7" t="str">
        <f>IF(VLOOKUP($A7,Sheet1!$A:$AA,MATCH(Y$1,Sheet1!$A$1:$AA$1,0),FALSE)=0,"",VLOOKUP($A7,Sheet1!$A:$AA,MATCH(Y$1,Sheet1!$A$1:$AA$1,0),FALSE))</f>
        <v/>
      </c>
      <c r="Z7" t="str">
        <f>IF(VLOOKUP($A7,Sheet1!$A:$AA,MATCH(Z$1,Sheet1!$A$1:$AA$1,0),FALSE)=0,"",VLOOKUP($A7,Sheet1!$A:$AA,MATCH(Z$1,Sheet1!$A$1:$AA$1,0),FALSE))</f>
        <v/>
      </c>
      <c r="AA7">
        <f ca="1">IF(VLOOKUP($A7,Sheet1!$A:$AA,MATCH(AA$1,Sheet1!$A$1:$AA$1,0),FALSE)=0,"",VLOOKUP($A7,Sheet1!$A:$AA,MATCH(AA$1,Sheet1!$A$1:$AA$1,0),FALSE))</f>
        <v>30</v>
      </c>
    </row>
    <row r="8" spans="1:27" x14ac:dyDescent="0.25">
      <c r="A8">
        <v>16952980</v>
      </c>
      <c r="B8" t="str">
        <f>IF(VLOOKUP($A8,Sheet1!$A:$AA,MATCH(B$1,Sheet1!$A$1:$AA$1,0),FALSE)=0,"",VLOOKUP($A8,Sheet1!$A:$AA,MATCH(B$1,Sheet1!$A$1:$AA$1,0),FALSE))</f>
        <v>Arias Gomar, Ramon</v>
      </c>
      <c r="C8" t="str">
        <f>IF(VLOOKUP($A8,Sheet1!$A:$AA,MATCH(C$1,Sheet1!$A$1:$AA$1,0),FALSE)=0,"",VLOOKUP($A8,Sheet1!$A:$AA,MATCH(C$1,Sheet1!$A$1:$AA$1,0),FALSE))</f>
        <v>Arias Gomar</v>
      </c>
      <c r="D8" t="str">
        <f>IF(VLOOKUP($A8,Sheet1!$A:$AA,MATCH(D$1,Sheet1!$A$1:$AA$1,0),FALSE)=0,"",VLOOKUP($A8,Sheet1!$A:$AA,MATCH(D$1,Sheet1!$A$1:$AA$1,0),FALSE))</f>
        <v>Ramon</v>
      </c>
      <c r="E8" t="str">
        <f>IF(VLOOKUP($A8,Sheet1!$A:$AA,MATCH(E$1,Sheet1!$A$1:$AA$1,0),FALSE)=0,"",VLOOKUP($A8,Sheet1!$A:$AA,MATCH(E$1,Sheet1!$A$1:$AA$1,0),FALSE))</f>
        <v>Ramon Arias Gomar</v>
      </c>
      <c r="F8" t="str">
        <f>IF(VLOOKUP($A8,Sheet1!$A:$AA,MATCH(F$1,Sheet1!$A$1:$AA$1,0),FALSE)=0,"",VLOOKUP($A8,Sheet1!$A:$AA,MATCH(F$1,Sheet1!$A$1:$AA$1,0),FALSE))</f>
        <v/>
      </c>
      <c r="G8" t="str">
        <f>IF(VLOOKUP($A8,Sheet1!$A:$AA,MATCH(G$1,Sheet1!$A$1:$AA$1,0),FALSE)=0,"",VLOOKUP($A8,Sheet1!$A:$AA,MATCH(G$1,Sheet1!$A$1:$AA$1,0),FALSE))</f>
        <v/>
      </c>
      <c r="H8" t="str">
        <f>IF(VLOOKUP($A8,Sheet1!$A:$AA,MATCH(H$1,Sheet1!$A$1:$AA$1,0),FALSE)=0,"",VLOOKUP($A8,Sheet1!$A:$AA,MATCH(H$1,Sheet1!$A$1:$AA$1,0),FALSE))</f>
        <v/>
      </c>
      <c r="I8" t="str">
        <f>IF(VLOOKUP($A8,Sheet1!$A:$AA,MATCH(I$1,Sheet1!$A$1:$AA$1,0),FALSE)=0,"",VLOOKUP($A8,Sheet1!$A:$AA,MATCH(I$1,Sheet1!$A$1:$AA$1,0),FALSE))</f>
        <v/>
      </c>
      <c r="J8" t="str">
        <f>IF(VLOOKUP($A8,Sheet1!$A:$AA,MATCH(J$1,Sheet1!$A$1:$AA$1,0),FALSE)=0,"",VLOOKUP($A8,Sheet1!$A:$AA,MATCH(J$1,Sheet1!$A$1:$AA$1,0),FALSE))</f>
        <v/>
      </c>
      <c r="K8" t="str">
        <f>IF(VLOOKUP($A8,Sheet1!$A:$AA,MATCH(K$1,Sheet1!$A$1:$AA$1,0),FALSE)=0,"",VLOOKUP($A8,Sheet1!$A:$AA,MATCH(K$1,Sheet1!$A$1:$AA$1,0),FALSE))</f>
        <v>ANDALUCIA</v>
      </c>
      <c r="L8" t="str">
        <f>IF(VLOOKUP($A8,Sheet1!$A:$AA,MATCH(L$1,Sheet1!$A$1:$AA$1,0),FALSE)=0,"",VLOOKUP($A8,Sheet1!$A:$AA,MATCH(L$1,Sheet1!$A$1:$AA$1,0),FALSE))</f>
        <v/>
      </c>
      <c r="M8" t="str">
        <f>IF(VLOOKUP($A8,Sheet1!$A:$AA,MATCH(M$1,Sheet1!$A$1:$AA$1,0),FALSE)=0,"",VLOOKUP($A8,Sheet1!$A:$AA,MATCH(M$1,Sheet1!$A$1:$AA$1,0),FALSE))</f>
        <v/>
      </c>
      <c r="N8" t="str">
        <f>IF(VLOOKUP($A8,Sheet1!$A:$AA,MATCH(N$1,Sheet1!$A$1:$AA$1,0),FALSE)=0,"",VLOOKUP($A8,Sheet1!$A:$AA,MATCH(N$1,Sheet1!$A$1:$AA$1,0),FALSE))</f>
        <v/>
      </c>
      <c r="O8" t="str">
        <f>IF(VLOOKUP($A8,Sheet1!$A:$AA,MATCH(O$1,Sheet1!$A$1:$AA$1,0),FALSE)=0,"",VLOOKUP($A8,Sheet1!$A:$AA,MATCH(O$1,Sheet1!$A$1:$AA$1,0),FALSE))</f>
        <v/>
      </c>
      <c r="P8" t="str">
        <f>IF(VLOOKUP($A8,Sheet1!$A:$AA,MATCH(P$1,Sheet1!$A$1:$AA$1,0),FALSE)=0,"",VLOOKUP($A8,Sheet1!$A:$AA,MATCH(P$1,Sheet1!$A$1:$AA$1,0),FALSE))</f>
        <v/>
      </c>
      <c r="Q8" t="str">
        <f>IF(VLOOKUP($A8,Sheet1!$A:$AA,MATCH(Q$1,Sheet1!$A$1:$AA$1,0),FALSE)=0,"",VLOOKUP($A8,Sheet1!$A:$AA,MATCH(Q$1,Sheet1!$A$1:$AA$1,0),FALSE))</f>
        <v>M</v>
      </c>
      <c r="R8" s="2" t="str">
        <f>IF(VLOOKUP($A8,Sheet1!$A:$AA,MATCH(R$1,Sheet1!$A$1:$AA$1,0),FALSE)=0,"",VLOOKUP($A8,Sheet1!$A:$AA,MATCH(R$1,Sheet1!$A$1:$AA$1,0),FALSE))</f>
        <v/>
      </c>
      <c r="S8" t="str">
        <f>IF(VLOOKUP($A8,Sheet1!$A:$AA,MATCH(S$1,Sheet1!$A$1:$AA$1,0),FALSE)=0,"",VLOOKUP($A8,Sheet1!$A:$AA,MATCH(S$1,Sheet1!$A$1:$AA$1,0),FALSE))</f>
        <v>IM</v>
      </c>
      <c r="T8" t="str">
        <f>IF(VLOOKUP($A8,Sheet1!$A:$AA,MATCH(T$1,Sheet1!$A$1:$AA$1,0),FALSE)=0,"",VLOOKUP($A8,Sheet1!$A:$AA,MATCH(T$1,Sheet1!$A$1:$AA$1,0),FALSE))</f>
        <v>DM</v>
      </c>
      <c r="U8" t="str">
        <f>IF(VLOOKUP($A8,Sheet1!$A:$AA,MATCH(U$1,Sheet1!$A$1:$AA$1,0),FALSE)=0,"",VLOOKUP($A8,Sheet1!$A:$AA,MATCH(U$1,Sheet1!$A$1:$AA$1,0),FALSE))</f>
        <v/>
      </c>
      <c r="V8" t="str">
        <f>IF(VLOOKUP($A8,Sheet1!$A:$AA,MATCH(V$1,Sheet1!$A$1:$AA$1,0),FALSE)=0,"",VLOOKUP($A8,Sheet1!$A:$AA,MATCH(V$1,Sheet1!$A$1:$AA$1,0),FALSE))</f>
        <v/>
      </c>
      <c r="W8" t="str">
        <f>IF(VLOOKUP($A8,Sheet1!$A:$AA,MATCH(W$1,Sheet1!$A$1:$AA$1,0),FALSE)=0,"",VLOOKUP($A8,Sheet1!$A:$AA,MATCH(W$1,Sheet1!$A$1:$AA$1,0),FALSE))</f>
        <v>5.0</v>
      </c>
      <c r="X8" t="str">
        <f>IF(VLOOKUP($A8,Sheet1!$A:$AA,MATCH(X$1,Sheet1!$A$1:$AA$1,0),FALSE)=0,"",VLOOKUP($A8,Sheet1!$A:$AA,MATCH(X$1,Sheet1!$A$1:$AA$1,0),FALSE))</f>
        <v>5.0</v>
      </c>
      <c r="Y8" t="str">
        <f>IF(VLOOKUP($A8,Sheet1!$A:$AA,MATCH(Y$1,Sheet1!$A$1:$AA$1,0),FALSE)=0,"",VLOOKUP($A8,Sheet1!$A:$AA,MATCH(Y$1,Sheet1!$A$1:$AA$1,0),FALSE))</f>
        <v/>
      </c>
      <c r="Z8" t="str">
        <f>IF(VLOOKUP($A8,Sheet1!$A:$AA,MATCH(Z$1,Sheet1!$A$1:$AA$1,0),FALSE)=0,"",VLOOKUP($A8,Sheet1!$A:$AA,MATCH(Z$1,Sheet1!$A$1:$AA$1,0),FALSE))</f>
        <v/>
      </c>
      <c r="AA8" t="str">
        <f ca="1">IF(VLOOKUP($A8,Sheet1!$A:$AA,MATCH(AA$1,Sheet1!$A$1:$AA$1,0),FALSE)=0,"",VLOOKUP($A8,Sheet1!$A:$AA,MATCH(AA$1,Sheet1!$A$1:$AA$1,0),FALSE))</f>
        <v/>
      </c>
    </row>
    <row r="9" spans="1:27" x14ac:dyDescent="0.25">
      <c r="A9">
        <v>6723903</v>
      </c>
      <c r="B9" t="str">
        <f>IF(VLOOKUP($A9,Sheet1!$A:$AA,MATCH(B$1,Sheet1!$A$1:$AA$1,0),FALSE)=0,"",VLOOKUP($A9,Sheet1!$A:$AA,MATCH(B$1,Sheet1!$A$1:$AA$1,0),FALSE))</f>
        <v>De Rueda De Genover, Ignasi</v>
      </c>
      <c r="C9" t="str">
        <f>IF(VLOOKUP($A9,Sheet1!$A:$AA,MATCH(C$1,Sheet1!$A$1:$AA$1,0),FALSE)=0,"",VLOOKUP($A9,Sheet1!$A:$AA,MATCH(C$1,Sheet1!$A$1:$AA$1,0),FALSE))</f>
        <v>De Rueda De Genover</v>
      </c>
      <c r="D9" t="str">
        <f>IF(VLOOKUP($A9,Sheet1!$A:$AA,MATCH(D$1,Sheet1!$A$1:$AA$1,0),FALSE)=0,"",VLOOKUP($A9,Sheet1!$A:$AA,MATCH(D$1,Sheet1!$A$1:$AA$1,0),FALSE))</f>
        <v>Ignasi</v>
      </c>
      <c r="E9" t="str">
        <f>IF(VLOOKUP($A9,Sheet1!$A:$AA,MATCH(E$1,Sheet1!$A$1:$AA$1,0),FALSE)=0,"",VLOOKUP($A9,Sheet1!$A:$AA,MATCH(E$1,Sheet1!$A$1:$AA$1,0),FALSE))</f>
        <v>Ignasi De Rueda De Genover</v>
      </c>
      <c r="F9" t="str">
        <f>IF(VLOOKUP($A9,Sheet1!$A:$AA,MATCH(F$1,Sheet1!$A$1:$AA$1,0),FALSE)=0,"",VLOOKUP($A9,Sheet1!$A:$AA,MATCH(F$1,Sheet1!$A$1:$AA$1,0),FALSE))</f>
        <v/>
      </c>
      <c r="G9" t="str">
        <f>IF(VLOOKUP($A9,Sheet1!$A:$AA,MATCH(G$1,Sheet1!$A$1:$AA$1,0),FALSE)=0,"",VLOOKUP($A9,Sheet1!$A:$AA,MATCH(G$1,Sheet1!$A$1:$AA$1,0),FALSE))</f>
        <v/>
      </c>
      <c r="H9" t="str">
        <f>IF(VLOOKUP($A9,Sheet1!$A:$AA,MATCH(H$1,Sheet1!$A$1:$AA$1,0),FALSE)=0,"",VLOOKUP($A9,Sheet1!$A:$AA,MATCH(H$1,Sheet1!$A$1:$AA$1,0),FALSE))</f>
        <v/>
      </c>
      <c r="I9" t="str">
        <f>IF(VLOOKUP($A9,Sheet1!$A:$AA,MATCH(I$1,Sheet1!$A$1:$AA$1,0),FALSE)=0,"",VLOOKUP($A9,Sheet1!$A:$AA,MATCH(I$1,Sheet1!$A$1:$AA$1,0),FALSE))</f>
        <v/>
      </c>
      <c r="J9" t="str">
        <f>IF(VLOOKUP($A9,Sheet1!$A:$AA,MATCH(J$1,Sheet1!$A$1:$AA$1,0),FALSE)=0,"",VLOOKUP($A9,Sheet1!$A:$AA,MATCH(J$1,Sheet1!$A$1:$AA$1,0),FALSE))</f>
        <v/>
      </c>
      <c r="K9" t="str">
        <f>IF(VLOOKUP($A9,Sheet1!$A:$AA,MATCH(K$1,Sheet1!$A$1:$AA$1,0),FALSE)=0,"",VLOOKUP($A9,Sheet1!$A:$AA,MATCH(K$1,Sheet1!$A$1:$AA$1,0),FALSE))</f>
        <v>CATALUÑA</v>
      </c>
      <c r="L9" t="str">
        <f>IF(VLOOKUP($A9,Sheet1!$A:$AA,MATCH(L$1,Sheet1!$A$1:$AA$1,0),FALSE)=0,"",VLOOKUP($A9,Sheet1!$A:$AA,MATCH(L$1,Sheet1!$A$1:$AA$1,0),FALSE))</f>
        <v/>
      </c>
      <c r="M9" t="str">
        <f>IF(VLOOKUP($A9,Sheet1!$A:$AA,MATCH(M$1,Sheet1!$A$1:$AA$1,0),FALSE)=0,"",VLOOKUP($A9,Sheet1!$A:$AA,MATCH(M$1,Sheet1!$A$1:$AA$1,0),FALSE))</f>
        <v/>
      </c>
      <c r="N9" t="str">
        <f>IF(VLOOKUP($A9,Sheet1!$A:$AA,MATCH(N$1,Sheet1!$A$1:$AA$1,0),FALSE)=0,"",VLOOKUP($A9,Sheet1!$A:$AA,MATCH(N$1,Sheet1!$A$1:$AA$1,0),FALSE))</f>
        <v/>
      </c>
      <c r="O9" t="str">
        <f>IF(VLOOKUP($A9,Sheet1!$A:$AA,MATCH(O$1,Sheet1!$A$1:$AA$1,0),FALSE)=0,"",VLOOKUP($A9,Sheet1!$A:$AA,MATCH(O$1,Sheet1!$A$1:$AA$1,0),FALSE))</f>
        <v/>
      </c>
      <c r="P9" t="str">
        <f>IF(VLOOKUP($A9,Sheet1!$A:$AA,MATCH(P$1,Sheet1!$A$1:$AA$1,0),FALSE)=0,"",VLOOKUP($A9,Sheet1!$A:$AA,MATCH(P$1,Sheet1!$A$1:$AA$1,0),FALSE))</f>
        <v/>
      </c>
      <c r="Q9" t="str">
        <f>IF(VLOOKUP($A9,Sheet1!$A:$AA,MATCH(Q$1,Sheet1!$A$1:$AA$1,0),FALSE)=0,"",VLOOKUP($A9,Sheet1!$A:$AA,MATCH(Q$1,Sheet1!$A$1:$AA$1,0),FALSE))</f>
        <v>M</v>
      </c>
      <c r="R9" s="2" t="str">
        <f>IF(VLOOKUP($A9,Sheet1!$A:$AA,MATCH(R$1,Sheet1!$A$1:$AA$1,0),FALSE)=0,"",VLOOKUP($A9,Sheet1!$A:$AA,MATCH(R$1,Sheet1!$A$1:$AA$1,0),FALSE))</f>
        <v/>
      </c>
      <c r="S9" t="str">
        <f>IF(VLOOKUP($A9,Sheet1!$A:$AA,MATCH(S$1,Sheet1!$A$1:$AA$1,0),FALSE)=0,"",VLOOKUP($A9,Sheet1!$A:$AA,MATCH(S$1,Sheet1!$A$1:$AA$1,0),FALSE))</f>
        <v>IM</v>
      </c>
      <c r="T9" t="str">
        <f>IF(VLOOKUP($A9,Sheet1!$A:$AA,MATCH(T$1,Sheet1!$A$1:$AA$1,0),FALSE)=0,"",VLOOKUP($A9,Sheet1!$A:$AA,MATCH(T$1,Sheet1!$A$1:$AA$1,0),FALSE))</f>
        <v>DM</v>
      </c>
      <c r="U9" t="str">
        <f>IF(VLOOKUP($A9,Sheet1!$A:$AA,MATCH(U$1,Sheet1!$A$1:$AA$1,0),FALSE)=0,"",VLOOKUP($A9,Sheet1!$A:$AA,MATCH(U$1,Sheet1!$A$1:$AA$1,0),FALSE))</f>
        <v>DX</v>
      </c>
      <c r="V9" t="str">
        <f>IF(VLOOKUP($A9,Sheet1!$A:$AA,MATCH(V$1,Sheet1!$A$1:$AA$1,0),FALSE)=0,"",VLOOKUP($A9,Sheet1!$A:$AA,MATCH(V$1,Sheet1!$A$1:$AA$1,0),FALSE))</f>
        <v/>
      </c>
      <c r="W9" t="str">
        <f>IF(VLOOKUP($A9,Sheet1!$A:$AA,MATCH(W$1,Sheet1!$A$1:$AA$1,0),FALSE)=0,"",VLOOKUP($A9,Sheet1!$A:$AA,MATCH(W$1,Sheet1!$A$1:$AA$1,0),FALSE))</f>
        <v>5.0</v>
      </c>
      <c r="X9" t="str">
        <f>IF(VLOOKUP($A9,Sheet1!$A:$AA,MATCH(X$1,Sheet1!$A$1:$AA$1,0),FALSE)=0,"",VLOOKUP($A9,Sheet1!$A:$AA,MATCH(X$1,Sheet1!$A$1:$AA$1,0),FALSE))</f>
        <v>5.0</v>
      </c>
      <c r="Y9" t="str">
        <f>IF(VLOOKUP($A9,Sheet1!$A:$AA,MATCH(Y$1,Sheet1!$A$1:$AA$1,0),FALSE)=0,"",VLOOKUP($A9,Sheet1!$A:$AA,MATCH(Y$1,Sheet1!$A$1:$AA$1,0),FALSE))</f>
        <v>5.0</v>
      </c>
      <c r="Z9" t="str">
        <f>IF(VLOOKUP($A9,Sheet1!$A:$AA,MATCH(Z$1,Sheet1!$A$1:$AA$1,0),FALSE)=0,"",VLOOKUP($A9,Sheet1!$A:$AA,MATCH(Z$1,Sheet1!$A$1:$AA$1,0),FALSE))</f>
        <v/>
      </c>
      <c r="AA9" t="str">
        <f ca="1">IF(VLOOKUP($A9,Sheet1!$A:$AA,MATCH(AA$1,Sheet1!$A$1:$AA$1,0),FALSE)=0,"",VLOOKUP($A9,Sheet1!$A:$AA,MATCH(AA$1,Sheet1!$A$1:$AA$1,0),FALSE))</f>
        <v/>
      </c>
    </row>
    <row r="10" spans="1:27" x14ac:dyDescent="0.25">
      <c r="A10">
        <v>16937065</v>
      </c>
      <c r="B10" t="str">
        <f>IF(VLOOKUP($A10,Sheet1!$A:$AA,MATCH(B$1,Sheet1!$A$1:$AA$1,0),FALSE)=0,"",VLOOKUP($A10,Sheet1!$A:$AA,MATCH(B$1,Sheet1!$A$1:$AA$1,0),FALSE))</f>
        <v>Pereira de Mattos, Domini Elias</v>
      </c>
      <c r="C10" t="str">
        <f>IF(VLOOKUP($A10,Sheet1!$A:$AA,MATCH(C$1,Sheet1!$A$1:$AA$1,0),FALSE)=0,"",VLOOKUP($A10,Sheet1!$A:$AA,MATCH(C$1,Sheet1!$A$1:$AA$1,0),FALSE))</f>
        <v>Pereira de Mattos</v>
      </c>
      <c r="D10" t="str">
        <f>IF(VLOOKUP($A10,Sheet1!$A:$AA,MATCH(D$1,Sheet1!$A$1:$AA$1,0),FALSE)=0,"",VLOOKUP($A10,Sheet1!$A:$AA,MATCH(D$1,Sheet1!$A$1:$AA$1,0),FALSE))</f>
        <v>Domini Elias</v>
      </c>
      <c r="E10" t="str">
        <f>IF(VLOOKUP($A10,Sheet1!$A:$AA,MATCH(E$1,Sheet1!$A$1:$AA$1,0),FALSE)=0,"",VLOOKUP($A10,Sheet1!$A:$AA,MATCH(E$1,Sheet1!$A$1:$AA$1,0),FALSE))</f>
        <v>Domini Elias Pereira de Mattos</v>
      </c>
      <c r="F10" t="str">
        <f>IF(VLOOKUP($A10,Sheet1!$A:$AA,MATCH(F$1,Sheet1!$A$1:$AA$1,0),FALSE)=0,"",VLOOKUP($A10,Sheet1!$A:$AA,MATCH(F$1,Sheet1!$A$1:$AA$1,0),FALSE))</f>
        <v/>
      </c>
      <c r="G10" t="str">
        <f>IF(VLOOKUP($A10,Sheet1!$A:$AA,MATCH(G$1,Sheet1!$A$1:$AA$1,0),FALSE)=0,"",VLOOKUP($A10,Sheet1!$A:$AA,MATCH(G$1,Sheet1!$A$1:$AA$1,0),FALSE))</f>
        <v/>
      </c>
      <c r="H10" t="str">
        <f>IF(VLOOKUP($A10,Sheet1!$A:$AA,MATCH(H$1,Sheet1!$A$1:$AA$1,0),FALSE)=0,"",VLOOKUP($A10,Sheet1!$A:$AA,MATCH(H$1,Sheet1!$A$1:$AA$1,0),FALSE))</f>
        <v/>
      </c>
      <c r="I10" t="str">
        <f>IF(VLOOKUP($A10,Sheet1!$A:$AA,MATCH(I$1,Sheet1!$A$1:$AA$1,0),FALSE)=0,"",VLOOKUP($A10,Sheet1!$A:$AA,MATCH(I$1,Sheet1!$A$1:$AA$1,0),FALSE))</f>
        <v/>
      </c>
      <c r="J10" t="str">
        <f>IF(VLOOKUP($A10,Sheet1!$A:$AA,MATCH(J$1,Sheet1!$A$1:$AA$1,0),FALSE)=0,"",VLOOKUP($A10,Sheet1!$A:$AA,MATCH(J$1,Sheet1!$A$1:$AA$1,0),FALSE))</f>
        <v/>
      </c>
      <c r="K10" t="str">
        <f>IF(VLOOKUP($A10,Sheet1!$A:$AA,MATCH(K$1,Sheet1!$A$1:$AA$1,0),FALSE)=0,"",VLOOKUP($A10,Sheet1!$A:$AA,MATCH(K$1,Sheet1!$A$1:$AA$1,0),FALSE))</f>
        <v>ANDALUCIA</v>
      </c>
      <c r="L10" t="str">
        <f>IF(VLOOKUP($A10,Sheet1!$A:$AA,MATCH(L$1,Sheet1!$A$1:$AA$1,0),FALSE)=0,"",VLOOKUP($A10,Sheet1!$A:$AA,MATCH(L$1,Sheet1!$A$1:$AA$1,0),FALSE))</f>
        <v/>
      </c>
      <c r="M10" t="str">
        <f>IF(VLOOKUP($A10,Sheet1!$A:$AA,MATCH(M$1,Sheet1!$A$1:$AA$1,0),FALSE)=0,"",VLOOKUP($A10,Sheet1!$A:$AA,MATCH(M$1,Sheet1!$A$1:$AA$1,0),FALSE))</f>
        <v/>
      </c>
      <c r="N10" t="str">
        <f>IF(VLOOKUP($A10,Sheet1!$A:$AA,MATCH(N$1,Sheet1!$A$1:$AA$1,0),FALSE)=0,"",VLOOKUP($A10,Sheet1!$A:$AA,MATCH(N$1,Sheet1!$A$1:$AA$1,0),FALSE))</f>
        <v/>
      </c>
      <c r="O10" t="str">
        <f>IF(VLOOKUP($A10,Sheet1!$A:$AA,MATCH(O$1,Sheet1!$A$1:$AA$1,0),FALSE)=0,"",VLOOKUP($A10,Sheet1!$A:$AA,MATCH(O$1,Sheet1!$A$1:$AA$1,0),FALSE))</f>
        <v/>
      </c>
      <c r="P10" t="str">
        <f>IF(VLOOKUP($A10,Sheet1!$A:$AA,MATCH(P$1,Sheet1!$A$1:$AA$1,0),FALSE)=0,"",VLOOKUP($A10,Sheet1!$A:$AA,MATCH(P$1,Sheet1!$A$1:$AA$1,0),FALSE))</f>
        <v/>
      </c>
      <c r="Q10" t="str">
        <f>IF(VLOOKUP($A10,Sheet1!$A:$AA,MATCH(Q$1,Sheet1!$A$1:$AA$1,0),FALSE)=0,"",VLOOKUP($A10,Sheet1!$A:$AA,MATCH(Q$1,Sheet1!$A$1:$AA$1,0),FALSE))</f>
        <v>M</v>
      </c>
      <c r="R10" s="2" t="str">
        <f>IF(VLOOKUP($A10,Sheet1!$A:$AA,MATCH(R$1,Sheet1!$A$1:$AA$1,0),FALSE)=0,"",VLOOKUP($A10,Sheet1!$A:$AA,MATCH(R$1,Sheet1!$A$1:$AA$1,0),FALSE))</f>
        <v/>
      </c>
      <c r="S10" t="str">
        <f>IF(VLOOKUP($A10,Sheet1!$A:$AA,MATCH(S$1,Sheet1!$A$1:$AA$1,0),FALSE)=0,"",VLOOKUP($A10,Sheet1!$A:$AA,MATCH(S$1,Sheet1!$A$1:$AA$1,0),FALSE))</f>
        <v>IM</v>
      </c>
      <c r="T10" t="str">
        <f>IF(VLOOKUP($A10,Sheet1!$A:$AA,MATCH(T$1,Sheet1!$A$1:$AA$1,0),FALSE)=0,"",VLOOKUP($A10,Sheet1!$A:$AA,MATCH(T$1,Sheet1!$A$1:$AA$1,0),FALSE))</f>
        <v>DM</v>
      </c>
      <c r="U10" t="str">
        <f>IF(VLOOKUP($A10,Sheet1!$A:$AA,MATCH(U$1,Sheet1!$A$1:$AA$1,0),FALSE)=0,"",VLOOKUP($A10,Sheet1!$A:$AA,MATCH(U$1,Sheet1!$A$1:$AA$1,0),FALSE))</f>
        <v>DX</v>
      </c>
      <c r="V10" t="str">
        <f>IF(VLOOKUP($A10,Sheet1!$A:$AA,MATCH(V$1,Sheet1!$A$1:$AA$1,0),FALSE)=0,"",VLOOKUP($A10,Sheet1!$A:$AA,MATCH(V$1,Sheet1!$A$1:$AA$1,0),FALSE))</f>
        <v/>
      </c>
      <c r="W10" t="str">
        <f>IF(VLOOKUP($A10,Sheet1!$A:$AA,MATCH(W$1,Sheet1!$A$1:$AA$1,0),FALSE)=0,"",VLOOKUP($A10,Sheet1!$A:$AA,MATCH(W$1,Sheet1!$A$1:$AA$1,0),FALSE))</f>
        <v>5.0</v>
      </c>
      <c r="X10" t="str">
        <f>IF(VLOOKUP($A10,Sheet1!$A:$AA,MATCH(X$1,Sheet1!$A$1:$AA$1,0),FALSE)=0,"",VLOOKUP($A10,Sheet1!$A:$AA,MATCH(X$1,Sheet1!$A$1:$AA$1,0),FALSE))</f>
        <v>5.0</v>
      </c>
      <c r="Y10" t="str">
        <f>IF(VLOOKUP($A10,Sheet1!$A:$AA,MATCH(Y$1,Sheet1!$A$1:$AA$1,0),FALSE)=0,"",VLOOKUP($A10,Sheet1!$A:$AA,MATCH(Y$1,Sheet1!$A$1:$AA$1,0),FALSE))</f>
        <v>5.0</v>
      </c>
      <c r="Z10" t="str">
        <f>IF(VLOOKUP($A10,Sheet1!$A:$AA,MATCH(Z$1,Sheet1!$A$1:$AA$1,0),FALSE)=0,"",VLOOKUP($A10,Sheet1!$A:$AA,MATCH(Z$1,Sheet1!$A$1:$AA$1,0),FALSE))</f>
        <v/>
      </c>
      <c r="AA10" t="str">
        <f ca="1">IF(VLOOKUP($A10,Sheet1!$A:$AA,MATCH(AA$1,Sheet1!$A$1:$AA$1,0),FALSE)=0,"",VLOOKUP($A10,Sheet1!$A:$AA,MATCH(AA$1,Sheet1!$A$1:$AA$1,0),FALSE))</f>
        <v/>
      </c>
    </row>
    <row r="11" spans="1:27" x14ac:dyDescent="0.25">
      <c r="A11">
        <v>11855642</v>
      </c>
      <c r="B11" t="str">
        <f>IF(VLOOKUP($A11,Sheet1!$A:$AA,MATCH(B$1,Sheet1!$A$1:$AA$1,0),FALSE)=0,"",VLOOKUP($A11,Sheet1!$A:$AA,MATCH(B$1,Sheet1!$A$1:$AA$1,0),FALSE))</f>
        <v>Caymel Romero, Marc</v>
      </c>
      <c r="C11" t="str">
        <f>IF(VLOOKUP($A11,Sheet1!$A:$AA,MATCH(C$1,Sheet1!$A$1:$AA$1,0),FALSE)=0,"",VLOOKUP($A11,Sheet1!$A:$AA,MATCH(C$1,Sheet1!$A$1:$AA$1,0),FALSE))</f>
        <v>Caymel Romero</v>
      </c>
      <c r="D11" t="str">
        <f>IF(VLOOKUP($A11,Sheet1!$A:$AA,MATCH(D$1,Sheet1!$A$1:$AA$1,0),FALSE)=0,"",VLOOKUP($A11,Sheet1!$A:$AA,MATCH(D$1,Sheet1!$A$1:$AA$1,0),FALSE))</f>
        <v>Marc</v>
      </c>
      <c r="E11" t="str">
        <f>IF(VLOOKUP($A11,Sheet1!$A:$AA,MATCH(E$1,Sheet1!$A$1:$AA$1,0),FALSE)=0,"",VLOOKUP($A11,Sheet1!$A:$AA,MATCH(E$1,Sheet1!$A$1:$AA$1,0),FALSE))</f>
        <v>Marc Caymel Romero</v>
      </c>
      <c r="F11" t="str">
        <f>IF(VLOOKUP($A11,Sheet1!$A:$AA,MATCH(F$1,Sheet1!$A$1:$AA$1,0),FALSE)=0,"",VLOOKUP($A11,Sheet1!$A:$AA,MATCH(F$1,Sheet1!$A$1:$AA$1,0),FALSE))</f>
        <v/>
      </c>
      <c r="G11" t="str">
        <f>IF(VLOOKUP($A11,Sheet1!$A:$AA,MATCH(G$1,Sheet1!$A$1:$AA$1,0),FALSE)=0,"",VLOOKUP($A11,Sheet1!$A:$AA,MATCH(G$1,Sheet1!$A$1:$AA$1,0),FALSE))</f>
        <v/>
      </c>
      <c r="H11" t="str">
        <f>IF(VLOOKUP($A11,Sheet1!$A:$AA,MATCH(H$1,Sheet1!$A$1:$AA$1,0),FALSE)=0,"",VLOOKUP($A11,Sheet1!$A:$AA,MATCH(H$1,Sheet1!$A$1:$AA$1,0),FALSE))</f>
        <v/>
      </c>
      <c r="I11" t="str">
        <f>IF(VLOOKUP($A11,Sheet1!$A:$AA,MATCH(I$1,Sheet1!$A$1:$AA$1,0),FALSE)=0,"",VLOOKUP($A11,Sheet1!$A:$AA,MATCH(I$1,Sheet1!$A$1:$AA$1,0),FALSE))</f>
        <v/>
      </c>
      <c r="J11" t="str">
        <f>IF(VLOOKUP($A11,Sheet1!$A:$AA,MATCH(J$1,Sheet1!$A$1:$AA$1,0),FALSE)=0,"",VLOOKUP($A11,Sheet1!$A:$AA,MATCH(J$1,Sheet1!$A$1:$AA$1,0),FALSE))</f>
        <v/>
      </c>
      <c r="K11" t="str">
        <f>IF(VLOOKUP($A11,Sheet1!$A:$AA,MATCH(K$1,Sheet1!$A$1:$AA$1,0),FALSE)=0,"",VLOOKUP($A11,Sheet1!$A:$AA,MATCH(K$1,Sheet1!$A$1:$AA$1,0),FALSE))</f>
        <v>CATALUÑA</v>
      </c>
      <c r="L11" t="str">
        <f>IF(VLOOKUP($A11,Sheet1!$A:$AA,MATCH(L$1,Sheet1!$A$1:$AA$1,0),FALSE)=0,"",VLOOKUP($A11,Sheet1!$A:$AA,MATCH(L$1,Sheet1!$A$1:$AA$1,0),FALSE))</f>
        <v/>
      </c>
      <c r="M11" t="str">
        <f>IF(VLOOKUP($A11,Sheet1!$A:$AA,MATCH(M$1,Sheet1!$A$1:$AA$1,0),FALSE)=0,"",VLOOKUP($A11,Sheet1!$A:$AA,MATCH(M$1,Sheet1!$A$1:$AA$1,0),FALSE))</f>
        <v/>
      </c>
      <c r="N11" t="str">
        <f>IF(VLOOKUP($A11,Sheet1!$A:$AA,MATCH(N$1,Sheet1!$A$1:$AA$1,0),FALSE)=0,"",VLOOKUP($A11,Sheet1!$A:$AA,MATCH(N$1,Sheet1!$A$1:$AA$1,0),FALSE))</f>
        <v/>
      </c>
      <c r="O11" t="str">
        <f>IF(VLOOKUP($A11,Sheet1!$A:$AA,MATCH(O$1,Sheet1!$A$1:$AA$1,0),FALSE)=0,"",VLOOKUP($A11,Sheet1!$A:$AA,MATCH(O$1,Sheet1!$A$1:$AA$1,0),FALSE))</f>
        <v/>
      </c>
      <c r="P11" t="str">
        <f>IF(VLOOKUP($A11,Sheet1!$A:$AA,MATCH(P$1,Sheet1!$A$1:$AA$1,0),FALSE)=0,"",VLOOKUP($A11,Sheet1!$A:$AA,MATCH(P$1,Sheet1!$A$1:$AA$1,0),FALSE))</f>
        <v/>
      </c>
      <c r="Q11" t="str">
        <f>IF(VLOOKUP($A11,Sheet1!$A:$AA,MATCH(Q$1,Sheet1!$A$1:$AA$1,0),FALSE)=0,"",VLOOKUP($A11,Sheet1!$A:$AA,MATCH(Q$1,Sheet1!$A$1:$AA$1,0),FALSE))</f>
        <v>M</v>
      </c>
      <c r="R11" s="2" t="str">
        <f>IF(VLOOKUP($A11,Sheet1!$A:$AA,MATCH(R$1,Sheet1!$A$1:$AA$1,0),FALSE)=0,"",VLOOKUP($A11,Sheet1!$A:$AA,MATCH(R$1,Sheet1!$A$1:$AA$1,0),FALSE))</f>
        <v/>
      </c>
      <c r="S11" t="str">
        <f>IF(VLOOKUP($A11,Sheet1!$A:$AA,MATCH(S$1,Sheet1!$A$1:$AA$1,0),FALSE)=0,"",VLOOKUP($A11,Sheet1!$A:$AA,MATCH(S$1,Sheet1!$A$1:$AA$1,0),FALSE))</f>
        <v>IM</v>
      </c>
      <c r="T11" t="str">
        <f>IF(VLOOKUP($A11,Sheet1!$A:$AA,MATCH(T$1,Sheet1!$A$1:$AA$1,0),FALSE)=0,"",VLOOKUP($A11,Sheet1!$A:$AA,MATCH(T$1,Sheet1!$A$1:$AA$1,0),FALSE))</f>
        <v>DM</v>
      </c>
      <c r="U11" t="str">
        <f>IF(VLOOKUP($A11,Sheet1!$A:$AA,MATCH(U$1,Sheet1!$A$1:$AA$1,0),FALSE)=0,"",VLOOKUP($A11,Sheet1!$A:$AA,MATCH(U$1,Sheet1!$A$1:$AA$1,0),FALSE))</f>
        <v>DX</v>
      </c>
      <c r="V11" t="str">
        <f>IF(VLOOKUP($A11,Sheet1!$A:$AA,MATCH(V$1,Sheet1!$A$1:$AA$1,0),FALSE)=0,"",VLOOKUP($A11,Sheet1!$A:$AA,MATCH(V$1,Sheet1!$A$1:$AA$1,0),FALSE))</f>
        <v/>
      </c>
      <c r="W11" t="str">
        <f>IF(VLOOKUP($A11,Sheet1!$A:$AA,MATCH(W$1,Sheet1!$A$1:$AA$1,0),FALSE)=0,"",VLOOKUP($A11,Sheet1!$A:$AA,MATCH(W$1,Sheet1!$A$1:$AA$1,0),FALSE))</f>
        <v>5.0</v>
      </c>
      <c r="X11" t="str">
        <f>IF(VLOOKUP($A11,Sheet1!$A:$AA,MATCH(X$1,Sheet1!$A$1:$AA$1,0),FALSE)=0,"",VLOOKUP($A11,Sheet1!$A:$AA,MATCH(X$1,Sheet1!$A$1:$AA$1,0),FALSE))</f>
        <v>5.0</v>
      </c>
      <c r="Y11" t="str">
        <f>IF(VLOOKUP($A11,Sheet1!$A:$AA,MATCH(Y$1,Sheet1!$A$1:$AA$1,0),FALSE)=0,"",VLOOKUP($A11,Sheet1!$A:$AA,MATCH(Y$1,Sheet1!$A$1:$AA$1,0),FALSE))</f>
        <v>5.0</v>
      </c>
      <c r="Z11" t="str">
        <f>IF(VLOOKUP($A11,Sheet1!$A:$AA,MATCH(Z$1,Sheet1!$A$1:$AA$1,0),FALSE)=0,"",VLOOKUP($A11,Sheet1!$A:$AA,MATCH(Z$1,Sheet1!$A$1:$AA$1,0),FALSE))</f>
        <v/>
      </c>
      <c r="AA11" t="str">
        <f ca="1">IF(VLOOKUP($A11,Sheet1!$A:$AA,MATCH(AA$1,Sheet1!$A$1:$AA$1,0),FALSE)=0,"",VLOOKUP($A11,Sheet1!$A:$AA,MATCH(AA$1,Sheet1!$A$1:$AA$1,0),FALSE))</f>
        <v/>
      </c>
    </row>
    <row r="12" spans="1:27" x14ac:dyDescent="0.25">
      <c r="A12">
        <v>10768565</v>
      </c>
      <c r="B12" t="str">
        <f>IF(VLOOKUP($A12,Sheet1!$A:$AA,MATCH(B$1,Sheet1!$A$1:$AA$1,0),FALSE)=0,"",VLOOKUP($A12,Sheet1!$A:$AA,MATCH(B$1,Sheet1!$A$1:$AA$1,0),FALSE))</f>
        <v>Ruiz Calvo, Javier</v>
      </c>
      <c r="C12" t="str">
        <f>IF(VLOOKUP($A12,Sheet1!$A:$AA,MATCH(C$1,Sheet1!$A$1:$AA$1,0),FALSE)=0,"",VLOOKUP($A12,Sheet1!$A:$AA,MATCH(C$1,Sheet1!$A$1:$AA$1,0),FALSE))</f>
        <v>Ruiz Calvo</v>
      </c>
      <c r="D12" t="str">
        <f>IF(VLOOKUP($A12,Sheet1!$A:$AA,MATCH(D$1,Sheet1!$A$1:$AA$1,0),FALSE)=0,"",VLOOKUP($A12,Sheet1!$A:$AA,MATCH(D$1,Sheet1!$A$1:$AA$1,0),FALSE))</f>
        <v>Javier</v>
      </c>
      <c r="E12" t="str">
        <f>IF(VLOOKUP($A12,Sheet1!$A:$AA,MATCH(E$1,Sheet1!$A$1:$AA$1,0),FALSE)=0,"",VLOOKUP($A12,Sheet1!$A:$AA,MATCH(E$1,Sheet1!$A$1:$AA$1,0),FALSE))</f>
        <v>Javier Ruiz Calvo</v>
      </c>
      <c r="F12" t="str">
        <f>IF(VLOOKUP($A12,Sheet1!$A:$AA,MATCH(F$1,Sheet1!$A$1:$AA$1,0),FALSE)=0,"",VLOOKUP($A12,Sheet1!$A:$AA,MATCH(F$1,Sheet1!$A$1:$AA$1,0),FALSE))</f>
        <v/>
      </c>
      <c r="G12" t="str">
        <f>IF(VLOOKUP($A12,Sheet1!$A:$AA,MATCH(G$1,Sheet1!$A$1:$AA$1,0),FALSE)=0,"",VLOOKUP($A12,Sheet1!$A:$AA,MATCH(G$1,Sheet1!$A$1:$AA$1,0),FALSE))</f>
        <v/>
      </c>
      <c r="H12" t="str">
        <f>IF(VLOOKUP($A12,Sheet1!$A:$AA,MATCH(H$1,Sheet1!$A$1:$AA$1,0),FALSE)=0,"",VLOOKUP($A12,Sheet1!$A:$AA,MATCH(H$1,Sheet1!$A$1:$AA$1,0),FALSE))</f>
        <v/>
      </c>
      <c r="I12" t="str">
        <f>IF(VLOOKUP($A12,Sheet1!$A:$AA,MATCH(I$1,Sheet1!$A$1:$AA$1,0),FALSE)=0,"",VLOOKUP($A12,Sheet1!$A:$AA,MATCH(I$1,Sheet1!$A$1:$AA$1,0),FALSE))</f>
        <v/>
      </c>
      <c r="J12" t="str">
        <f>IF(VLOOKUP($A12,Sheet1!$A:$AA,MATCH(J$1,Sheet1!$A$1:$AA$1,0),FALSE)=0,"",VLOOKUP($A12,Sheet1!$A:$AA,MATCH(J$1,Sheet1!$A$1:$AA$1,0),FALSE))</f>
        <v/>
      </c>
      <c r="K12" t="str">
        <f>IF(VLOOKUP($A12,Sheet1!$A:$AA,MATCH(K$1,Sheet1!$A$1:$AA$1,0),FALSE)=0,"",VLOOKUP($A12,Sheet1!$A:$AA,MATCH(K$1,Sheet1!$A$1:$AA$1,0),FALSE))</f>
        <v>MADRID</v>
      </c>
      <c r="L12" t="str">
        <f>IF(VLOOKUP($A12,Sheet1!$A:$AA,MATCH(L$1,Sheet1!$A$1:$AA$1,0),FALSE)=0,"",VLOOKUP($A12,Sheet1!$A:$AA,MATCH(L$1,Sheet1!$A$1:$AA$1,0),FALSE))</f>
        <v/>
      </c>
      <c r="M12" t="str">
        <f>IF(VLOOKUP($A12,Sheet1!$A:$AA,MATCH(M$1,Sheet1!$A$1:$AA$1,0),FALSE)=0,"",VLOOKUP($A12,Sheet1!$A:$AA,MATCH(M$1,Sheet1!$A$1:$AA$1,0),FALSE))</f>
        <v/>
      </c>
      <c r="N12" t="str">
        <f>IF(VLOOKUP($A12,Sheet1!$A:$AA,MATCH(N$1,Sheet1!$A$1:$AA$1,0),FALSE)=0,"",VLOOKUP($A12,Sheet1!$A:$AA,MATCH(N$1,Sheet1!$A$1:$AA$1,0),FALSE))</f>
        <v/>
      </c>
      <c r="O12" t="str">
        <f>IF(VLOOKUP($A12,Sheet1!$A:$AA,MATCH(O$1,Sheet1!$A$1:$AA$1,0),FALSE)=0,"",VLOOKUP($A12,Sheet1!$A:$AA,MATCH(O$1,Sheet1!$A$1:$AA$1,0),FALSE))</f>
        <v/>
      </c>
      <c r="P12" t="str">
        <f>IF(VLOOKUP($A12,Sheet1!$A:$AA,MATCH(P$1,Sheet1!$A$1:$AA$1,0),FALSE)=0,"",VLOOKUP($A12,Sheet1!$A:$AA,MATCH(P$1,Sheet1!$A$1:$AA$1,0),FALSE))</f>
        <v/>
      </c>
      <c r="Q12" t="str">
        <f>IF(VLOOKUP($A12,Sheet1!$A:$AA,MATCH(Q$1,Sheet1!$A$1:$AA$1,0),FALSE)=0,"",VLOOKUP($A12,Sheet1!$A:$AA,MATCH(Q$1,Sheet1!$A$1:$AA$1,0),FALSE))</f>
        <v>M</v>
      </c>
      <c r="R12" s="2">
        <f>IF(VLOOKUP($A12,Sheet1!$A:$AA,MATCH(R$1,Sheet1!$A$1:$AA$1,0),FALSE)=0,"",VLOOKUP($A12,Sheet1!$A:$AA,MATCH(R$1,Sheet1!$A$1:$AA$1,0),FALSE))</f>
        <v>30209</v>
      </c>
      <c r="S12" t="str">
        <f>IF(VLOOKUP($A12,Sheet1!$A:$AA,MATCH(S$1,Sheet1!$A$1:$AA$1,0),FALSE)=0,"",VLOOKUP($A12,Sheet1!$A:$AA,MATCH(S$1,Sheet1!$A$1:$AA$1,0),FALSE))</f>
        <v>IM</v>
      </c>
      <c r="T12" t="str">
        <f>IF(VLOOKUP($A12,Sheet1!$A:$AA,MATCH(T$1,Sheet1!$A$1:$AA$1,0),FALSE)=0,"",VLOOKUP($A12,Sheet1!$A:$AA,MATCH(T$1,Sheet1!$A$1:$AA$1,0),FALSE))</f>
        <v>DM</v>
      </c>
      <c r="U12" t="str">
        <f>IF(VLOOKUP($A12,Sheet1!$A:$AA,MATCH(U$1,Sheet1!$A$1:$AA$1,0),FALSE)=0,"",VLOOKUP($A12,Sheet1!$A:$AA,MATCH(U$1,Sheet1!$A$1:$AA$1,0),FALSE))</f>
        <v>DX</v>
      </c>
      <c r="V12" t="str">
        <f>IF(VLOOKUP($A12,Sheet1!$A:$AA,MATCH(V$1,Sheet1!$A$1:$AA$1,0),FALSE)=0,"",VLOOKUP($A12,Sheet1!$A:$AA,MATCH(V$1,Sheet1!$A$1:$AA$1,0),FALSE))</f>
        <v/>
      </c>
      <c r="W12" t="str">
        <f>IF(VLOOKUP($A12,Sheet1!$A:$AA,MATCH(W$1,Sheet1!$A$1:$AA$1,0),FALSE)=0,"",VLOOKUP($A12,Sheet1!$A:$AA,MATCH(W$1,Sheet1!$A$1:$AA$1,0),FALSE))</f>
        <v>5.0</v>
      </c>
      <c r="X12" t="str">
        <f>IF(VLOOKUP($A12,Sheet1!$A:$AA,MATCH(X$1,Sheet1!$A$1:$AA$1,0),FALSE)=0,"",VLOOKUP($A12,Sheet1!$A:$AA,MATCH(X$1,Sheet1!$A$1:$AA$1,0),FALSE))</f>
        <v>5.0</v>
      </c>
      <c r="Y12" t="str">
        <f>IF(VLOOKUP($A12,Sheet1!$A:$AA,MATCH(Y$1,Sheet1!$A$1:$AA$1,0),FALSE)=0,"",VLOOKUP($A12,Sheet1!$A:$AA,MATCH(Y$1,Sheet1!$A$1:$AA$1,0),FALSE))</f>
        <v>5.0</v>
      </c>
      <c r="Z12" t="str">
        <f>IF(VLOOKUP($A12,Sheet1!$A:$AA,MATCH(Z$1,Sheet1!$A$1:$AA$1,0),FALSE)=0,"",VLOOKUP($A12,Sheet1!$A:$AA,MATCH(Z$1,Sheet1!$A$1:$AA$1,0),FALSE))</f>
        <v/>
      </c>
      <c r="AA12">
        <f ca="1">IF(VLOOKUP($A12,Sheet1!$A:$AA,MATCH(AA$1,Sheet1!$A$1:$AA$1,0),FALSE)=0,"",VLOOKUP($A12,Sheet1!$A:$AA,MATCH(AA$1,Sheet1!$A$1:$AA$1,0),FALSE))</f>
        <v>42</v>
      </c>
    </row>
    <row r="13" spans="1:27" x14ac:dyDescent="0.25">
      <c r="A13">
        <v>10768929</v>
      </c>
      <c r="B13" t="str">
        <f>IF(VLOOKUP($A13,Sheet1!$A:$AA,MATCH(B$1,Sheet1!$A$1:$AA$1,0),FALSE)=0,"",VLOOKUP($A13,Sheet1!$A:$AA,MATCH(B$1,Sheet1!$A$1:$AA$1,0),FALSE))</f>
        <v>Vega Gutierrez, Daniel</v>
      </c>
      <c r="C13" t="str">
        <f>IF(VLOOKUP($A13,Sheet1!$A:$AA,MATCH(C$1,Sheet1!$A$1:$AA$1,0),FALSE)=0,"",VLOOKUP($A13,Sheet1!$A:$AA,MATCH(C$1,Sheet1!$A$1:$AA$1,0),FALSE))</f>
        <v>Vega Gutierrez</v>
      </c>
      <c r="D13" t="str">
        <f>IF(VLOOKUP($A13,Sheet1!$A:$AA,MATCH(D$1,Sheet1!$A$1:$AA$1,0),FALSE)=0,"",VLOOKUP($A13,Sheet1!$A:$AA,MATCH(D$1,Sheet1!$A$1:$AA$1,0),FALSE))</f>
        <v>Daniel</v>
      </c>
      <c r="E13" t="str">
        <f>IF(VLOOKUP($A13,Sheet1!$A:$AA,MATCH(E$1,Sheet1!$A$1:$AA$1,0),FALSE)=0,"",VLOOKUP($A13,Sheet1!$A:$AA,MATCH(E$1,Sheet1!$A$1:$AA$1,0),FALSE))</f>
        <v>Daniel Vega Gutierrez</v>
      </c>
      <c r="F13" t="str">
        <f>IF(VLOOKUP($A13,Sheet1!$A:$AA,MATCH(F$1,Sheet1!$A$1:$AA$1,0),FALSE)=0,"",VLOOKUP($A13,Sheet1!$A:$AA,MATCH(F$1,Sheet1!$A$1:$AA$1,0),FALSE))</f>
        <v/>
      </c>
      <c r="G13" t="str">
        <f>IF(VLOOKUP($A13,Sheet1!$A:$AA,MATCH(G$1,Sheet1!$A$1:$AA$1,0),FALSE)=0,"",VLOOKUP($A13,Sheet1!$A:$AA,MATCH(G$1,Sheet1!$A$1:$AA$1,0),FALSE))</f>
        <v/>
      </c>
      <c r="H13" t="str">
        <f>IF(VLOOKUP($A13,Sheet1!$A:$AA,MATCH(H$1,Sheet1!$A$1:$AA$1,0),FALSE)=0,"",VLOOKUP($A13,Sheet1!$A:$AA,MATCH(H$1,Sheet1!$A$1:$AA$1,0),FALSE))</f>
        <v/>
      </c>
      <c r="I13" t="str">
        <f>IF(VLOOKUP($A13,Sheet1!$A:$AA,MATCH(I$1,Sheet1!$A$1:$AA$1,0),FALSE)=0,"",VLOOKUP($A13,Sheet1!$A:$AA,MATCH(I$1,Sheet1!$A$1:$AA$1,0),FALSE))</f>
        <v/>
      </c>
      <c r="J13" t="str">
        <f>IF(VLOOKUP($A13,Sheet1!$A:$AA,MATCH(J$1,Sheet1!$A$1:$AA$1,0),FALSE)=0,"",VLOOKUP($A13,Sheet1!$A:$AA,MATCH(J$1,Sheet1!$A$1:$AA$1,0),FALSE))</f>
        <v/>
      </c>
      <c r="K13" t="str">
        <f>IF(VLOOKUP($A13,Sheet1!$A:$AA,MATCH(K$1,Sheet1!$A$1:$AA$1,0),FALSE)=0,"",VLOOKUP($A13,Sheet1!$A:$AA,MATCH(K$1,Sheet1!$A$1:$AA$1,0),FALSE))</f>
        <v>MADRID</v>
      </c>
      <c r="L13" t="str">
        <f>IF(VLOOKUP($A13,Sheet1!$A:$AA,MATCH(L$1,Sheet1!$A$1:$AA$1,0),FALSE)=0,"",VLOOKUP($A13,Sheet1!$A:$AA,MATCH(L$1,Sheet1!$A$1:$AA$1,0),FALSE))</f>
        <v/>
      </c>
      <c r="M13" t="str">
        <f>IF(VLOOKUP($A13,Sheet1!$A:$AA,MATCH(M$1,Sheet1!$A$1:$AA$1,0),FALSE)=0,"",VLOOKUP($A13,Sheet1!$A:$AA,MATCH(M$1,Sheet1!$A$1:$AA$1,0),FALSE))</f>
        <v/>
      </c>
      <c r="N13" t="str">
        <f>IF(VLOOKUP($A13,Sheet1!$A:$AA,MATCH(N$1,Sheet1!$A$1:$AA$1,0),FALSE)=0,"",VLOOKUP($A13,Sheet1!$A:$AA,MATCH(N$1,Sheet1!$A$1:$AA$1,0),FALSE))</f>
        <v/>
      </c>
      <c r="O13" t="str">
        <f>IF(VLOOKUP($A13,Sheet1!$A:$AA,MATCH(O$1,Sheet1!$A$1:$AA$1,0),FALSE)=0,"",VLOOKUP($A13,Sheet1!$A:$AA,MATCH(O$1,Sheet1!$A$1:$AA$1,0),FALSE))</f>
        <v/>
      </c>
      <c r="P13" t="str">
        <f>IF(VLOOKUP($A13,Sheet1!$A:$AA,MATCH(P$1,Sheet1!$A$1:$AA$1,0),FALSE)=0,"",VLOOKUP($A13,Sheet1!$A:$AA,MATCH(P$1,Sheet1!$A$1:$AA$1,0),FALSE))</f>
        <v/>
      </c>
      <c r="Q13" t="str">
        <f>IF(VLOOKUP($A13,Sheet1!$A:$AA,MATCH(Q$1,Sheet1!$A$1:$AA$1,0),FALSE)=0,"",VLOOKUP($A13,Sheet1!$A:$AA,MATCH(Q$1,Sheet1!$A$1:$AA$1,0),FALSE))</f>
        <v>M</v>
      </c>
      <c r="R13" s="2" t="str">
        <f>IF(VLOOKUP($A13,Sheet1!$A:$AA,MATCH(R$1,Sheet1!$A$1:$AA$1,0),FALSE)=0,"",VLOOKUP($A13,Sheet1!$A:$AA,MATCH(R$1,Sheet1!$A$1:$AA$1,0),FALSE))</f>
        <v/>
      </c>
      <c r="S13" t="str">
        <f>IF(VLOOKUP($A13,Sheet1!$A:$AA,MATCH(S$1,Sheet1!$A$1:$AA$1,0),FALSE)=0,"",VLOOKUP($A13,Sheet1!$A:$AA,MATCH(S$1,Sheet1!$A$1:$AA$1,0),FALSE))</f>
        <v>IM</v>
      </c>
      <c r="T13" t="str">
        <f>IF(VLOOKUP($A13,Sheet1!$A:$AA,MATCH(T$1,Sheet1!$A$1:$AA$1,0),FALSE)=0,"",VLOOKUP($A13,Sheet1!$A:$AA,MATCH(T$1,Sheet1!$A$1:$AA$1,0),FALSE))</f>
        <v>DM</v>
      </c>
      <c r="U13" t="str">
        <f>IF(VLOOKUP($A13,Sheet1!$A:$AA,MATCH(U$1,Sheet1!$A$1:$AA$1,0),FALSE)=0,"",VLOOKUP($A13,Sheet1!$A:$AA,MATCH(U$1,Sheet1!$A$1:$AA$1,0),FALSE))</f>
        <v/>
      </c>
      <c r="V13" t="str">
        <f>IF(VLOOKUP($A13,Sheet1!$A:$AA,MATCH(V$1,Sheet1!$A$1:$AA$1,0),FALSE)=0,"",VLOOKUP($A13,Sheet1!$A:$AA,MATCH(V$1,Sheet1!$A$1:$AA$1,0),FALSE))</f>
        <v/>
      </c>
      <c r="W13" t="str">
        <f>IF(VLOOKUP($A13,Sheet1!$A:$AA,MATCH(W$1,Sheet1!$A$1:$AA$1,0),FALSE)=0,"",VLOOKUP($A13,Sheet1!$A:$AA,MATCH(W$1,Sheet1!$A$1:$AA$1,0),FALSE))</f>
        <v>5.0</v>
      </c>
      <c r="X13" t="str">
        <f>IF(VLOOKUP($A13,Sheet1!$A:$AA,MATCH(X$1,Sheet1!$A$1:$AA$1,0),FALSE)=0,"",VLOOKUP($A13,Sheet1!$A:$AA,MATCH(X$1,Sheet1!$A$1:$AA$1,0),FALSE))</f>
        <v/>
      </c>
      <c r="Y13" t="str">
        <f>IF(VLOOKUP($A13,Sheet1!$A:$AA,MATCH(Y$1,Sheet1!$A$1:$AA$1,0),FALSE)=0,"",VLOOKUP($A13,Sheet1!$A:$AA,MATCH(Y$1,Sheet1!$A$1:$AA$1,0),FALSE))</f>
        <v/>
      </c>
      <c r="Z13" t="str">
        <f>IF(VLOOKUP($A13,Sheet1!$A:$AA,MATCH(Z$1,Sheet1!$A$1:$AA$1,0),FALSE)=0,"",VLOOKUP($A13,Sheet1!$A:$AA,MATCH(Z$1,Sheet1!$A$1:$AA$1,0),FALSE))</f>
        <v/>
      </c>
      <c r="AA13" t="str">
        <f ca="1">IF(VLOOKUP($A13,Sheet1!$A:$AA,MATCH(AA$1,Sheet1!$A$1:$AA$1,0),FALSE)=0,"",VLOOKUP($A13,Sheet1!$A:$AA,MATCH(AA$1,Sheet1!$A$1:$AA$1,0),FALSE))</f>
        <v/>
      </c>
    </row>
    <row r="14" spans="1:27" x14ac:dyDescent="0.25">
      <c r="A14">
        <v>13465308</v>
      </c>
      <c r="B14" t="str">
        <f>IF(VLOOKUP($A14,Sheet1!$A:$AA,MATCH(B$1,Sheet1!$A$1:$AA$1,0),FALSE)=0,"",VLOOKUP($A14,Sheet1!$A:$AA,MATCH(B$1,Sheet1!$A$1:$AA$1,0),FALSE))</f>
        <v>Lillo Pellies, Sergio</v>
      </c>
      <c r="C14" t="str">
        <f>IF(VLOOKUP($A14,Sheet1!$A:$AA,MATCH(C$1,Sheet1!$A$1:$AA$1,0),FALSE)=0,"",VLOOKUP($A14,Sheet1!$A:$AA,MATCH(C$1,Sheet1!$A$1:$AA$1,0),FALSE))</f>
        <v>Lillo Pellies</v>
      </c>
      <c r="D14" t="str">
        <f>IF(VLOOKUP($A14,Sheet1!$A:$AA,MATCH(D$1,Sheet1!$A$1:$AA$1,0),FALSE)=0,"",VLOOKUP($A14,Sheet1!$A:$AA,MATCH(D$1,Sheet1!$A$1:$AA$1,0),FALSE))</f>
        <v>Sergio</v>
      </c>
      <c r="E14" t="str">
        <f>IF(VLOOKUP($A14,Sheet1!$A:$AA,MATCH(E$1,Sheet1!$A$1:$AA$1,0),FALSE)=0,"",VLOOKUP($A14,Sheet1!$A:$AA,MATCH(E$1,Sheet1!$A$1:$AA$1,0),FALSE))</f>
        <v>Sergio Lillo Pellies</v>
      </c>
      <c r="F14" t="str">
        <f>IF(VLOOKUP($A14,Sheet1!$A:$AA,MATCH(F$1,Sheet1!$A$1:$AA$1,0),FALSE)=0,"",VLOOKUP($A14,Sheet1!$A:$AA,MATCH(F$1,Sheet1!$A$1:$AA$1,0),FALSE))</f>
        <v/>
      </c>
      <c r="G14" t="str">
        <f>IF(VLOOKUP($A14,Sheet1!$A:$AA,MATCH(G$1,Sheet1!$A$1:$AA$1,0),FALSE)=0,"",VLOOKUP($A14,Sheet1!$A:$AA,MATCH(G$1,Sheet1!$A$1:$AA$1,0),FALSE))</f>
        <v/>
      </c>
      <c r="H14" t="str">
        <f>IF(VLOOKUP($A14,Sheet1!$A:$AA,MATCH(H$1,Sheet1!$A$1:$AA$1,0),FALSE)=0,"",VLOOKUP($A14,Sheet1!$A:$AA,MATCH(H$1,Sheet1!$A$1:$AA$1,0),FALSE))</f>
        <v/>
      </c>
      <c r="I14" t="str">
        <f>IF(VLOOKUP($A14,Sheet1!$A:$AA,MATCH(I$1,Sheet1!$A$1:$AA$1,0),FALSE)=0,"",VLOOKUP($A14,Sheet1!$A:$AA,MATCH(I$1,Sheet1!$A$1:$AA$1,0),FALSE))</f>
        <v/>
      </c>
      <c r="J14" t="str">
        <f>IF(VLOOKUP($A14,Sheet1!$A:$AA,MATCH(J$1,Sheet1!$A$1:$AA$1,0),FALSE)=0,"",VLOOKUP($A14,Sheet1!$A:$AA,MATCH(J$1,Sheet1!$A$1:$AA$1,0),FALSE))</f>
        <v/>
      </c>
      <c r="K14" t="str">
        <f>IF(VLOOKUP($A14,Sheet1!$A:$AA,MATCH(K$1,Sheet1!$A$1:$AA$1,0),FALSE)=0,"",VLOOKUP($A14,Sheet1!$A:$AA,MATCH(K$1,Sheet1!$A$1:$AA$1,0),FALSE))</f>
        <v>C. VALENCIA</v>
      </c>
      <c r="L14" t="str">
        <f>IF(VLOOKUP($A14,Sheet1!$A:$AA,MATCH(L$1,Sheet1!$A$1:$AA$1,0),FALSE)=0,"",VLOOKUP($A14,Sheet1!$A:$AA,MATCH(L$1,Sheet1!$A$1:$AA$1,0),FALSE))</f>
        <v/>
      </c>
      <c r="M14" t="str">
        <f>IF(VLOOKUP($A14,Sheet1!$A:$AA,MATCH(M$1,Sheet1!$A$1:$AA$1,0),FALSE)=0,"",VLOOKUP($A14,Sheet1!$A:$AA,MATCH(M$1,Sheet1!$A$1:$AA$1,0),FALSE))</f>
        <v/>
      </c>
      <c r="N14" t="str">
        <f>IF(VLOOKUP($A14,Sheet1!$A:$AA,MATCH(N$1,Sheet1!$A$1:$AA$1,0),FALSE)=0,"",VLOOKUP($A14,Sheet1!$A:$AA,MATCH(N$1,Sheet1!$A$1:$AA$1,0),FALSE))</f>
        <v/>
      </c>
      <c r="O14" t="str">
        <f>IF(VLOOKUP($A14,Sheet1!$A:$AA,MATCH(O$1,Sheet1!$A$1:$AA$1,0),FALSE)=0,"",VLOOKUP($A14,Sheet1!$A:$AA,MATCH(O$1,Sheet1!$A$1:$AA$1,0),FALSE))</f>
        <v/>
      </c>
      <c r="P14" t="str">
        <f>IF(VLOOKUP($A14,Sheet1!$A:$AA,MATCH(P$1,Sheet1!$A$1:$AA$1,0),FALSE)=0,"",VLOOKUP($A14,Sheet1!$A:$AA,MATCH(P$1,Sheet1!$A$1:$AA$1,0),FALSE))</f>
        <v/>
      </c>
      <c r="Q14" t="str">
        <f>IF(VLOOKUP($A14,Sheet1!$A:$AA,MATCH(Q$1,Sheet1!$A$1:$AA$1,0),FALSE)=0,"",VLOOKUP($A14,Sheet1!$A:$AA,MATCH(Q$1,Sheet1!$A$1:$AA$1,0),FALSE))</f>
        <v>M</v>
      </c>
      <c r="R14" s="2" t="str">
        <f>IF(VLOOKUP($A14,Sheet1!$A:$AA,MATCH(R$1,Sheet1!$A$1:$AA$1,0),FALSE)=0,"",VLOOKUP($A14,Sheet1!$A:$AA,MATCH(R$1,Sheet1!$A$1:$AA$1,0),FALSE))</f>
        <v/>
      </c>
      <c r="S14" t="str">
        <f>IF(VLOOKUP($A14,Sheet1!$A:$AA,MATCH(S$1,Sheet1!$A$1:$AA$1,0),FALSE)=0,"",VLOOKUP($A14,Sheet1!$A:$AA,MATCH(S$1,Sheet1!$A$1:$AA$1,0),FALSE))</f>
        <v>IM</v>
      </c>
      <c r="T14" t="str">
        <f>IF(VLOOKUP($A14,Sheet1!$A:$AA,MATCH(T$1,Sheet1!$A$1:$AA$1,0),FALSE)=0,"",VLOOKUP($A14,Sheet1!$A:$AA,MATCH(T$1,Sheet1!$A$1:$AA$1,0),FALSE))</f>
        <v>DM</v>
      </c>
      <c r="U14" t="str">
        <f>IF(VLOOKUP($A14,Sheet1!$A:$AA,MATCH(U$1,Sheet1!$A$1:$AA$1,0),FALSE)=0,"",VLOOKUP($A14,Sheet1!$A:$AA,MATCH(U$1,Sheet1!$A$1:$AA$1,0),FALSE))</f>
        <v/>
      </c>
      <c r="V14" t="str">
        <f>IF(VLOOKUP($A14,Sheet1!$A:$AA,MATCH(V$1,Sheet1!$A$1:$AA$1,0),FALSE)=0,"",VLOOKUP($A14,Sheet1!$A:$AA,MATCH(V$1,Sheet1!$A$1:$AA$1,0),FALSE))</f>
        <v/>
      </c>
      <c r="W14" t="str">
        <f>IF(VLOOKUP($A14,Sheet1!$A:$AA,MATCH(W$1,Sheet1!$A$1:$AA$1,0),FALSE)=0,"",VLOOKUP($A14,Sheet1!$A:$AA,MATCH(W$1,Sheet1!$A$1:$AA$1,0),FALSE))</f>
        <v>5.0</v>
      </c>
      <c r="X14" t="str">
        <f>IF(VLOOKUP($A14,Sheet1!$A:$AA,MATCH(X$1,Sheet1!$A$1:$AA$1,0),FALSE)=0,"",VLOOKUP($A14,Sheet1!$A:$AA,MATCH(X$1,Sheet1!$A$1:$AA$1,0),FALSE))</f>
        <v>5.0</v>
      </c>
      <c r="Y14" t="str">
        <f>IF(VLOOKUP($A14,Sheet1!$A:$AA,MATCH(Y$1,Sheet1!$A$1:$AA$1,0),FALSE)=0,"",VLOOKUP($A14,Sheet1!$A:$AA,MATCH(Y$1,Sheet1!$A$1:$AA$1,0),FALSE))</f>
        <v/>
      </c>
      <c r="Z14" t="str">
        <f>IF(VLOOKUP($A14,Sheet1!$A:$AA,MATCH(Z$1,Sheet1!$A$1:$AA$1,0),FALSE)=0,"",VLOOKUP($A14,Sheet1!$A:$AA,MATCH(Z$1,Sheet1!$A$1:$AA$1,0),FALSE))</f>
        <v/>
      </c>
      <c r="AA14" t="str">
        <f ca="1">IF(VLOOKUP($A14,Sheet1!$A:$AA,MATCH(AA$1,Sheet1!$A$1:$AA$1,0),FALSE)=0,"",VLOOKUP($A14,Sheet1!$A:$AA,MATCH(AA$1,Sheet1!$A$1:$AA$1,0),FALSE))</f>
        <v/>
      </c>
    </row>
    <row r="15" spans="1:27" x14ac:dyDescent="0.25">
      <c r="A15">
        <v>10768523</v>
      </c>
      <c r="B15" t="str">
        <f>IF(VLOOKUP($A15,Sheet1!$A:$AA,MATCH(B$1,Sheet1!$A$1:$AA$1,0),FALSE)=0,"",VLOOKUP($A15,Sheet1!$A:$AA,MATCH(B$1,Sheet1!$A$1:$AA$1,0),FALSE))</f>
        <v>Horcajuelo Vicente, Alberto</v>
      </c>
      <c r="C15" t="str">
        <f>IF(VLOOKUP($A15,Sheet1!$A:$AA,MATCH(C$1,Sheet1!$A$1:$AA$1,0),FALSE)=0,"",VLOOKUP($A15,Sheet1!$A:$AA,MATCH(C$1,Sheet1!$A$1:$AA$1,0),FALSE))</f>
        <v>Horcajuelo Vicente</v>
      </c>
      <c r="D15" t="str">
        <f>IF(VLOOKUP($A15,Sheet1!$A:$AA,MATCH(D$1,Sheet1!$A$1:$AA$1,0),FALSE)=0,"",VLOOKUP($A15,Sheet1!$A:$AA,MATCH(D$1,Sheet1!$A$1:$AA$1,0),FALSE))</f>
        <v>Alberto</v>
      </c>
      <c r="E15" t="str">
        <f>IF(VLOOKUP($A15,Sheet1!$A:$AA,MATCH(E$1,Sheet1!$A$1:$AA$1,0),FALSE)=0,"",VLOOKUP($A15,Sheet1!$A:$AA,MATCH(E$1,Sheet1!$A$1:$AA$1,0),FALSE))</f>
        <v>Alberto Horcajuelo Vicente</v>
      </c>
      <c r="F15" t="str">
        <f>IF(VLOOKUP($A15,Sheet1!$A:$AA,MATCH(F$1,Sheet1!$A$1:$AA$1,0),FALSE)=0,"",VLOOKUP($A15,Sheet1!$A:$AA,MATCH(F$1,Sheet1!$A$1:$AA$1,0),FALSE))</f>
        <v/>
      </c>
      <c r="G15" t="str">
        <f>IF(VLOOKUP($A15,Sheet1!$A:$AA,MATCH(G$1,Sheet1!$A$1:$AA$1,0),FALSE)=0,"",VLOOKUP($A15,Sheet1!$A:$AA,MATCH(G$1,Sheet1!$A$1:$AA$1,0),FALSE))</f>
        <v/>
      </c>
      <c r="H15" t="str">
        <f>IF(VLOOKUP($A15,Sheet1!$A:$AA,MATCH(H$1,Sheet1!$A$1:$AA$1,0),FALSE)=0,"",VLOOKUP($A15,Sheet1!$A:$AA,MATCH(H$1,Sheet1!$A$1:$AA$1,0),FALSE))</f>
        <v/>
      </c>
      <c r="I15" t="str">
        <f>IF(VLOOKUP($A15,Sheet1!$A:$AA,MATCH(I$1,Sheet1!$A$1:$AA$1,0),FALSE)=0,"",VLOOKUP($A15,Sheet1!$A:$AA,MATCH(I$1,Sheet1!$A$1:$AA$1,0),FALSE))</f>
        <v/>
      </c>
      <c r="J15" t="str">
        <f>IF(VLOOKUP($A15,Sheet1!$A:$AA,MATCH(J$1,Sheet1!$A$1:$AA$1,0),FALSE)=0,"",VLOOKUP($A15,Sheet1!$A:$AA,MATCH(J$1,Sheet1!$A$1:$AA$1,0),FALSE))</f>
        <v/>
      </c>
      <c r="K15" t="str">
        <f>IF(VLOOKUP($A15,Sheet1!$A:$AA,MATCH(K$1,Sheet1!$A$1:$AA$1,0),FALSE)=0,"",VLOOKUP($A15,Sheet1!$A:$AA,MATCH(K$1,Sheet1!$A$1:$AA$1,0),FALSE))</f>
        <v>MADRID</v>
      </c>
      <c r="L15" t="str">
        <f>IF(VLOOKUP($A15,Sheet1!$A:$AA,MATCH(L$1,Sheet1!$A$1:$AA$1,0),FALSE)=0,"",VLOOKUP($A15,Sheet1!$A:$AA,MATCH(L$1,Sheet1!$A$1:$AA$1,0),FALSE))</f>
        <v/>
      </c>
      <c r="M15" t="str">
        <f>IF(VLOOKUP($A15,Sheet1!$A:$AA,MATCH(M$1,Sheet1!$A$1:$AA$1,0),FALSE)=0,"",VLOOKUP($A15,Sheet1!$A:$AA,MATCH(M$1,Sheet1!$A$1:$AA$1,0),FALSE))</f>
        <v/>
      </c>
      <c r="N15" t="str">
        <f>IF(VLOOKUP($A15,Sheet1!$A:$AA,MATCH(N$1,Sheet1!$A$1:$AA$1,0),FALSE)=0,"",VLOOKUP($A15,Sheet1!$A:$AA,MATCH(N$1,Sheet1!$A$1:$AA$1,0),FALSE))</f>
        <v/>
      </c>
      <c r="O15" t="str">
        <f>IF(VLOOKUP($A15,Sheet1!$A:$AA,MATCH(O$1,Sheet1!$A$1:$AA$1,0),FALSE)=0,"",VLOOKUP($A15,Sheet1!$A:$AA,MATCH(O$1,Sheet1!$A$1:$AA$1,0),FALSE))</f>
        <v/>
      </c>
      <c r="P15" t="str">
        <f>IF(VLOOKUP($A15,Sheet1!$A:$AA,MATCH(P$1,Sheet1!$A$1:$AA$1,0),FALSE)=0,"",VLOOKUP($A15,Sheet1!$A:$AA,MATCH(P$1,Sheet1!$A$1:$AA$1,0),FALSE))</f>
        <v/>
      </c>
      <c r="Q15" t="str">
        <f>IF(VLOOKUP($A15,Sheet1!$A:$AA,MATCH(Q$1,Sheet1!$A$1:$AA$1,0),FALSE)=0,"",VLOOKUP($A15,Sheet1!$A:$AA,MATCH(Q$1,Sheet1!$A$1:$AA$1,0),FALSE))</f>
        <v>M</v>
      </c>
      <c r="R15" s="2" t="str">
        <f>IF(VLOOKUP($A15,Sheet1!$A:$AA,MATCH(R$1,Sheet1!$A$1:$AA$1,0),FALSE)=0,"",VLOOKUP($A15,Sheet1!$A:$AA,MATCH(R$1,Sheet1!$A$1:$AA$1,0),FALSE))</f>
        <v/>
      </c>
      <c r="S15" t="str">
        <f>IF(VLOOKUP($A15,Sheet1!$A:$AA,MATCH(S$1,Sheet1!$A$1:$AA$1,0),FALSE)=0,"",VLOOKUP($A15,Sheet1!$A:$AA,MATCH(S$1,Sheet1!$A$1:$AA$1,0),FALSE))</f>
        <v>IM</v>
      </c>
      <c r="T15" t="str">
        <f>IF(VLOOKUP($A15,Sheet1!$A:$AA,MATCH(T$1,Sheet1!$A$1:$AA$1,0),FALSE)=0,"",VLOOKUP($A15,Sheet1!$A:$AA,MATCH(T$1,Sheet1!$A$1:$AA$1,0),FALSE))</f>
        <v>DM</v>
      </c>
      <c r="U15" t="str">
        <f>IF(VLOOKUP($A15,Sheet1!$A:$AA,MATCH(U$1,Sheet1!$A$1:$AA$1,0),FALSE)=0,"",VLOOKUP($A15,Sheet1!$A:$AA,MATCH(U$1,Sheet1!$A$1:$AA$1,0),FALSE))</f>
        <v/>
      </c>
      <c r="V15" t="str">
        <f>IF(VLOOKUP($A15,Sheet1!$A:$AA,MATCH(V$1,Sheet1!$A$1:$AA$1,0),FALSE)=0,"",VLOOKUP($A15,Sheet1!$A:$AA,MATCH(V$1,Sheet1!$A$1:$AA$1,0),FALSE))</f>
        <v/>
      </c>
      <c r="W15" t="str">
        <f>IF(VLOOKUP($A15,Sheet1!$A:$AA,MATCH(W$1,Sheet1!$A$1:$AA$1,0),FALSE)=0,"",VLOOKUP($A15,Sheet1!$A:$AA,MATCH(W$1,Sheet1!$A$1:$AA$1,0),FALSE))</f>
        <v>5.0</v>
      </c>
      <c r="X15" t="str">
        <f>IF(VLOOKUP($A15,Sheet1!$A:$AA,MATCH(X$1,Sheet1!$A$1:$AA$1,0),FALSE)=0,"",VLOOKUP($A15,Sheet1!$A:$AA,MATCH(X$1,Sheet1!$A$1:$AA$1,0),FALSE))</f>
        <v>5.0</v>
      </c>
      <c r="Y15" t="str">
        <f>IF(VLOOKUP($A15,Sheet1!$A:$AA,MATCH(Y$1,Sheet1!$A$1:$AA$1,0),FALSE)=0,"",VLOOKUP($A15,Sheet1!$A:$AA,MATCH(Y$1,Sheet1!$A$1:$AA$1,0),FALSE))</f>
        <v/>
      </c>
      <c r="Z15" t="str">
        <f>IF(VLOOKUP($A15,Sheet1!$A:$AA,MATCH(Z$1,Sheet1!$A$1:$AA$1,0),FALSE)=0,"",VLOOKUP($A15,Sheet1!$A:$AA,MATCH(Z$1,Sheet1!$A$1:$AA$1,0),FALSE))</f>
        <v/>
      </c>
      <c r="AA15" t="str">
        <f ca="1">IF(VLOOKUP($A15,Sheet1!$A:$AA,MATCH(AA$1,Sheet1!$A$1:$AA$1,0),FALSE)=0,"",VLOOKUP($A15,Sheet1!$A:$AA,MATCH(AA$1,Sheet1!$A$1:$AA$1,0),FALSE))</f>
        <v/>
      </c>
    </row>
    <row r="16" spans="1:27" x14ac:dyDescent="0.25">
      <c r="A16">
        <v>7404007</v>
      </c>
      <c r="B16" t="str">
        <f>IF(VLOOKUP($A16,Sheet1!$A:$AA,MATCH(B$1,Sheet1!$A$1:$AA$1,0),FALSE)=0,"",VLOOKUP($A16,Sheet1!$A:$AA,MATCH(B$1,Sheet1!$A$1:$AA$1,0),FALSE))</f>
        <v>Lopez Gomez, Miguel</v>
      </c>
      <c r="C16" t="str">
        <f>IF(VLOOKUP($A16,Sheet1!$A:$AA,MATCH(C$1,Sheet1!$A$1:$AA$1,0),FALSE)=0,"",VLOOKUP($A16,Sheet1!$A:$AA,MATCH(C$1,Sheet1!$A$1:$AA$1,0),FALSE))</f>
        <v>Lopez Gomez</v>
      </c>
      <c r="D16" t="str">
        <f>IF(VLOOKUP($A16,Sheet1!$A:$AA,MATCH(D$1,Sheet1!$A$1:$AA$1,0),FALSE)=0,"",VLOOKUP($A16,Sheet1!$A:$AA,MATCH(D$1,Sheet1!$A$1:$AA$1,0),FALSE))</f>
        <v>Miguel</v>
      </c>
      <c r="E16" t="str">
        <f>IF(VLOOKUP($A16,Sheet1!$A:$AA,MATCH(E$1,Sheet1!$A$1:$AA$1,0),FALSE)=0,"",VLOOKUP($A16,Sheet1!$A:$AA,MATCH(E$1,Sheet1!$A$1:$AA$1,0),FALSE))</f>
        <v>Miguel Lopez Gomez</v>
      </c>
      <c r="F16" t="str">
        <f>IF(VLOOKUP($A16,Sheet1!$A:$AA,MATCH(F$1,Sheet1!$A$1:$AA$1,0),FALSE)=0,"",VLOOKUP($A16,Sheet1!$A:$AA,MATCH(F$1,Sheet1!$A$1:$AA$1,0),FALSE))</f>
        <v/>
      </c>
      <c r="G16" t="str">
        <f>IF(VLOOKUP($A16,Sheet1!$A:$AA,MATCH(G$1,Sheet1!$A$1:$AA$1,0),FALSE)=0,"",VLOOKUP($A16,Sheet1!$A:$AA,MATCH(G$1,Sheet1!$A$1:$AA$1,0),FALSE))</f>
        <v/>
      </c>
      <c r="H16" t="str">
        <f>IF(VLOOKUP($A16,Sheet1!$A:$AA,MATCH(H$1,Sheet1!$A$1:$AA$1,0),FALSE)=0,"",VLOOKUP($A16,Sheet1!$A:$AA,MATCH(H$1,Sheet1!$A$1:$AA$1,0),FALSE))</f>
        <v/>
      </c>
      <c r="I16" t="str">
        <f>IF(VLOOKUP($A16,Sheet1!$A:$AA,MATCH(I$1,Sheet1!$A$1:$AA$1,0),FALSE)=0,"",VLOOKUP($A16,Sheet1!$A:$AA,MATCH(I$1,Sheet1!$A$1:$AA$1,0),FALSE))</f>
        <v/>
      </c>
      <c r="J16" t="str">
        <f>IF(VLOOKUP($A16,Sheet1!$A:$AA,MATCH(J$1,Sheet1!$A$1:$AA$1,0),FALSE)=0,"",VLOOKUP($A16,Sheet1!$A:$AA,MATCH(J$1,Sheet1!$A$1:$AA$1,0),FALSE))</f>
        <v/>
      </c>
      <c r="K16" t="str">
        <f>IF(VLOOKUP($A16,Sheet1!$A:$AA,MATCH(K$1,Sheet1!$A$1:$AA$1,0),FALSE)=0,"",VLOOKUP($A16,Sheet1!$A:$AA,MATCH(K$1,Sheet1!$A$1:$AA$1,0),FALSE))</f>
        <v>MADRID</v>
      </c>
      <c r="L16" t="str">
        <f>IF(VLOOKUP($A16,Sheet1!$A:$AA,MATCH(L$1,Sheet1!$A$1:$AA$1,0),FALSE)=0,"",VLOOKUP($A16,Sheet1!$A:$AA,MATCH(L$1,Sheet1!$A$1:$AA$1,0),FALSE))</f>
        <v/>
      </c>
      <c r="M16" t="str">
        <f>IF(VLOOKUP($A16,Sheet1!$A:$AA,MATCH(M$1,Sheet1!$A$1:$AA$1,0),FALSE)=0,"",VLOOKUP($A16,Sheet1!$A:$AA,MATCH(M$1,Sheet1!$A$1:$AA$1,0),FALSE))</f>
        <v/>
      </c>
      <c r="N16" t="str">
        <f>IF(VLOOKUP($A16,Sheet1!$A:$AA,MATCH(N$1,Sheet1!$A$1:$AA$1,0),FALSE)=0,"",VLOOKUP($A16,Sheet1!$A:$AA,MATCH(N$1,Sheet1!$A$1:$AA$1,0),FALSE))</f>
        <v/>
      </c>
      <c r="O16" t="str">
        <f>IF(VLOOKUP($A16,Sheet1!$A:$AA,MATCH(O$1,Sheet1!$A$1:$AA$1,0),FALSE)=0,"",VLOOKUP($A16,Sheet1!$A:$AA,MATCH(O$1,Sheet1!$A$1:$AA$1,0),FALSE))</f>
        <v/>
      </c>
      <c r="P16" t="str">
        <f>IF(VLOOKUP($A16,Sheet1!$A:$AA,MATCH(P$1,Sheet1!$A$1:$AA$1,0),FALSE)=0,"",VLOOKUP($A16,Sheet1!$A:$AA,MATCH(P$1,Sheet1!$A$1:$AA$1,0),FALSE))</f>
        <v/>
      </c>
      <c r="Q16" t="str">
        <f>IF(VLOOKUP($A16,Sheet1!$A:$AA,MATCH(Q$1,Sheet1!$A$1:$AA$1,0),FALSE)=0,"",VLOOKUP($A16,Sheet1!$A:$AA,MATCH(Q$1,Sheet1!$A$1:$AA$1,0),FALSE))</f>
        <v>M</v>
      </c>
      <c r="R16" s="2">
        <f>IF(VLOOKUP($A16,Sheet1!$A:$AA,MATCH(R$1,Sheet1!$A$1:$AA$1,0),FALSE)=0,"",VLOOKUP($A16,Sheet1!$A:$AA,MATCH(R$1,Sheet1!$A$1:$AA$1,0),FALSE))</f>
        <v>34605</v>
      </c>
      <c r="S16" t="str">
        <f>IF(VLOOKUP($A16,Sheet1!$A:$AA,MATCH(S$1,Sheet1!$A$1:$AA$1,0),FALSE)=0,"",VLOOKUP($A16,Sheet1!$A:$AA,MATCH(S$1,Sheet1!$A$1:$AA$1,0),FALSE))</f>
        <v>IM</v>
      </c>
      <c r="T16" t="str">
        <f>IF(VLOOKUP($A16,Sheet1!$A:$AA,MATCH(T$1,Sheet1!$A$1:$AA$1,0),FALSE)=0,"",VLOOKUP($A16,Sheet1!$A:$AA,MATCH(T$1,Sheet1!$A$1:$AA$1,0),FALSE))</f>
        <v>DM</v>
      </c>
      <c r="U16" t="str">
        <f>IF(VLOOKUP($A16,Sheet1!$A:$AA,MATCH(U$1,Sheet1!$A$1:$AA$1,0),FALSE)=0,"",VLOOKUP($A16,Sheet1!$A:$AA,MATCH(U$1,Sheet1!$A$1:$AA$1,0),FALSE))</f>
        <v>DX</v>
      </c>
      <c r="V16" t="str">
        <f>IF(VLOOKUP($A16,Sheet1!$A:$AA,MATCH(V$1,Sheet1!$A$1:$AA$1,0),FALSE)=0,"",VLOOKUP($A16,Sheet1!$A:$AA,MATCH(V$1,Sheet1!$A$1:$AA$1,0),FALSE))</f>
        <v/>
      </c>
      <c r="W16" t="str">
        <f>IF(VLOOKUP($A16,Sheet1!$A:$AA,MATCH(W$1,Sheet1!$A$1:$AA$1,0),FALSE)=0,"",VLOOKUP($A16,Sheet1!$A:$AA,MATCH(W$1,Sheet1!$A$1:$AA$1,0),FALSE))</f>
        <v>5.0</v>
      </c>
      <c r="X16" t="str">
        <f>IF(VLOOKUP($A16,Sheet1!$A:$AA,MATCH(X$1,Sheet1!$A$1:$AA$1,0),FALSE)=0,"",VLOOKUP($A16,Sheet1!$A:$AA,MATCH(X$1,Sheet1!$A$1:$AA$1,0),FALSE))</f>
        <v>5.0</v>
      </c>
      <c r="Y16" t="str">
        <f>IF(VLOOKUP($A16,Sheet1!$A:$AA,MATCH(Y$1,Sheet1!$A$1:$AA$1,0),FALSE)=0,"",VLOOKUP($A16,Sheet1!$A:$AA,MATCH(Y$1,Sheet1!$A$1:$AA$1,0),FALSE))</f>
        <v>4.5</v>
      </c>
      <c r="Z16" t="str">
        <f>IF(VLOOKUP($A16,Sheet1!$A:$AA,MATCH(Z$1,Sheet1!$A$1:$AA$1,0),FALSE)=0,"",VLOOKUP($A16,Sheet1!$A:$AA,MATCH(Z$1,Sheet1!$A$1:$AA$1,0),FALSE))</f>
        <v/>
      </c>
      <c r="AA16">
        <f ca="1">IF(VLOOKUP($A16,Sheet1!$A:$AA,MATCH(AA$1,Sheet1!$A$1:$AA$1,0),FALSE)=0,"",VLOOKUP($A16,Sheet1!$A:$AA,MATCH(AA$1,Sheet1!$A$1:$AA$1,0),FALSE))</f>
        <v>30</v>
      </c>
    </row>
    <row r="17" spans="1:27" x14ac:dyDescent="0.25">
      <c r="A17">
        <v>3039890</v>
      </c>
      <c r="B17" t="str">
        <f>IF(VLOOKUP($A17,Sheet1!$A:$AA,MATCH(B$1,Sheet1!$A$1:$AA$1,0),FALSE)=0,"",VLOOKUP($A17,Sheet1!$A:$AA,MATCH(B$1,Sheet1!$A$1:$AA$1,0),FALSE))</f>
        <v>Martinez Santonja, Esteban</v>
      </c>
      <c r="C17" t="str">
        <f>IF(VLOOKUP($A17,Sheet1!$A:$AA,MATCH(C$1,Sheet1!$A$1:$AA$1,0),FALSE)=0,"",VLOOKUP($A17,Sheet1!$A:$AA,MATCH(C$1,Sheet1!$A$1:$AA$1,0),FALSE))</f>
        <v>Martinez Santonja</v>
      </c>
      <c r="D17" t="str">
        <f>IF(VLOOKUP($A17,Sheet1!$A:$AA,MATCH(D$1,Sheet1!$A$1:$AA$1,0),FALSE)=0,"",VLOOKUP($A17,Sheet1!$A:$AA,MATCH(D$1,Sheet1!$A$1:$AA$1,0),FALSE))</f>
        <v>Esteban</v>
      </c>
      <c r="E17" t="str">
        <f>IF(VLOOKUP($A17,Sheet1!$A:$AA,MATCH(E$1,Sheet1!$A$1:$AA$1,0),FALSE)=0,"",VLOOKUP($A17,Sheet1!$A:$AA,MATCH(E$1,Sheet1!$A$1:$AA$1,0),FALSE))</f>
        <v>Esteban Martinez Santonja</v>
      </c>
      <c r="F17" t="str">
        <f>IF(VLOOKUP($A17,Sheet1!$A:$AA,MATCH(F$1,Sheet1!$A$1:$AA$1,0),FALSE)=0,"",VLOOKUP($A17,Sheet1!$A:$AA,MATCH(F$1,Sheet1!$A$1:$AA$1,0),FALSE))</f>
        <v/>
      </c>
      <c r="G17" t="str">
        <f>IF(VLOOKUP($A17,Sheet1!$A:$AA,MATCH(G$1,Sheet1!$A$1:$AA$1,0),FALSE)=0,"",VLOOKUP($A17,Sheet1!$A:$AA,MATCH(G$1,Sheet1!$A$1:$AA$1,0),FALSE))</f>
        <v/>
      </c>
      <c r="H17" t="str">
        <f>IF(VLOOKUP($A17,Sheet1!$A:$AA,MATCH(H$1,Sheet1!$A$1:$AA$1,0),FALSE)=0,"",VLOOKUP($A17,Sheet1!$A:$AA,MATCH(H$1,Sheet1!$A$1:$AA$1,0),FALSE))</f>
        <v/>
      </c>
      <c r="I17" t="str">
        <f>IF(VLOOKUP($A17,Sheet1!$A:$AA,MATCH(I$1,Sheet1!$A$1:$AA$1,0),FALSE)=0,"",VLOOKUP($A17,Sheet1!$A:$AA,MATCH(I$1,Sheet1!$A$1:$AA$1,0),FALSE))</f>
        <v/>
      </c>
      <c r="J17" t="str">
        <f>IF(VLOOKUP($A17,Sheet1!$A:$AA,MATCH(J$1,Sheet1!$A$1:$AA$1,0),FALSE)=0,"",VLOOKUP($A17,Sheet1!$A:$AA,MATCH(J$1,Sheet1!$A$1:$AA$1,0),FALSE))</f>
        <v/>
      </c>
      <c r="K17" t="str">
        <f>IF(VLOOKUP($A17,Sheet1!$A:$AA,MATCH(K$1,Sheet1!$A$1:$AA$1,0),FALSE)=0,"",VLOOKUP($A17,Sheet1!$A:$AA,MATCH(K$1,Sheet1!$A$1:$AA$1,0),FALSE))</f>
        <v>C. VALENCIA</v>
      </c>
      <c r="L17" t="str">
        <f>IF(VLOOKUP($A17,Sheet1!$A:$AA,MATCH(L$1,Sheet1!$A$1:$AA$1,0),FALSE)=0,"",VLOOKUP($A17,Sheet1!$A:$AA,MATCH(L$1,Sheet1!$A$1:$AA$1,0),FALSE))</f>
        <v/>
      </c>
      <c r="M17" t="str">
        <f>IF(VLOOKUP($A17,Sheet1!$A:$AA,MATCH(M$1,Sheet1!$A$1:$AA$1,0),FALSE)=0,"",VLOOKUP($A17,Sheet1!$A:$AA,MATCH(M$1,Sheet1!$A$1:$AA$1,0),FALSE))</f>
        <v/>
      </c>
      <c r="N17" t="str">
        <f>IF(VLOOKUP($A17,Sheet1!$A:$AA,MATCH(N$1,Sheet1!$A$1:$AA$1,0),FALSE)=0,"",VLOOKUP($A17,Sheet1!$A:$AA,MATCH(N$1,Sheet1!$A$1:$AA$1,0),FALSE))</f>
        <v/>
      </c>
      <c r="O17" t="str">
        <f>IF(VLOOKUP($A17,Sheet1!$A:$AA,MATCH(O$1,Sheet1!$A$1:$AA$1,0),FALSE)=0,"",VLOOKUP($A17,Sheet1!$A:$AA,MATCH(O$1,Sheet1!$A$1:$AA$1,0),FALSE))</f>
        <v/>
      </c>
      <c r="P17" t="str">
        <f>IF(VLOOKUP($A17,Sheet1!$A:$AA,MATCH(P$1,Sheet1!$A$1:$AA$1,0),FALSE)=0,"",VLOOKUP($A17,Sheet1!$A:$AA,MATCH(P$1,Sheet1!$A$1:$AA$1,0),FALSE))</f>
        <v/>
      </c>
      <c r="Q17" t="str">
        <f>IF(VLOOKUP($A17,Sheet1!$A:$AA,MATCH(Q$1,Sheet1!$A$1:$AA$1,0),FALSE)=0,"",VLOOKUP($A17,Sheet1!$A:$AA,MATCH(Q$1,Sheet1!$A$1:$AA$1,0),FALSE))</f>
        <v>M</v>
      </c>
      <c r="R17" s="2" t="str">
        <f>IF(VLOOKUP($A17,Sheet1!$A:$AA,MATCH(R$1,Sheet1!$A$1:$AA$1,0),FALSE)=0,"",VLOOKUP($A17,Sheet1!$A:$AA,MATCH(R$1,Sheet1!$A$1:$AA$1,0),FALSE))</f>
        <v/>
      </c>
      <c r="S17" t="str">
        <f>IF(VLOOKUP($A17,Sheet1!$A:$AA,MATCH(S$1,Sheet1!$A$1:$AA$1,0),FALSE)=0,"",VLOOKUP($A17,Sheet1!$A:$AA,MATCH(S$1,Sheet1!$A$1:$AA$1,0),FALSE))</f>
        <v>IM</v>
      </c>
      <c r="T17" t="str">
        <f>IF(VLOOKUP($A17,Sheet1!$A:$AA,MATCH(T$1,Sheet1!$A$1:$AA$1,0),FALSE)=0,"",VLOOKUP($A17,Sheet1!$A:$AA,MATCH(T$1,Sheet1!$A$1:$AA$1,0),FALSE))</f>
        <v>DM</v>
      </c>
      <c r="U17" t="str">
        <f>IF(VLOOKUP($A17,Sheet1!$A:$AA,MATCH(U$1,Sheet1!$A$1:$AA$1,0),FALSE)=0,"",VLOOKUP($A17,Sheet1!$A:$AA,MATCH(U$1,Sheet1!$A$1:$AA$1,0),FALSE))</f>
        <v/>
      </c>
      <c r="V17" t="str">
        <f>IF(VLOOKUP($A17,Sheet1!$A:$AA,MATCH(V$1,Sheet1!$A$1:$AA$1,0),FALSE)=0,"",VLOOKUP($A17,Sheet1!$A:$AA,MATCH(V$1,Sheet1!$A$1:$AA$1,0),FALSE))</f>
        <v/>
      </c>
      <c r="W17" t="str">
        <f>IF(VLOOKUP($A17,Sheet1!$A:$AA,MATCH(W$1,Sheet1!$A$1:$AA$1,0),FALSE)=0,"",VLOOKUP($A17,Sheet1!$A:$AA,MATCH(W$1,Sheet1!$A$1:$AA$1,0),FALSE))</f>
        <v>5.0</v>
      </c>
      <c r="X17" t="str">
        <f>IF(VLOOKUP($A17,Sheet1!$A:$AA,MATCH(X$1,Sheet1!$A$1:$AA$1,0),FALSE)=0,"",VLOOKUP($A17,Sheet1!$A:$AA,MATCH(X$1,Sheet1!$A$1:$AA$1,0),FALSE))</f>
        <v>5.0</v>
      </c>
      <c r="Y17" t="str">
        <f>IF(VLOOKUP($A17,Sheet1!$A:$AA,MATCH(Y$1,Sheet1!$A$1:$AA$1,0),FALSE)=0,"",VLOOKUP($A17,Sheet1!$A:$AA,MATCH(Y$1,Sheet1!$A$1:$AA$1,0),FALSE))</f>
        <v/>
      </c>
      <c r="Z17" t="str">
        <f>IF(VLOOKUP($A17,Sheet1!$A:$AA,MATCH(Z$1,Sheet1!$A$1:$AA$1,0),FALSE)=0,"",VLOOKUP($A17,Sheet1!$A:$AA,MATCH(Z$1,Sheet1!$A$1:$AA$1,0),FALSE))</f>
        <v/>
      </c>
      <c r="AA17" t="str">
        <f ca="1">IF(VLOOKUP($A17,Sheet1!$A:$AA,MATCH(AA$1,Sheet1!$A$1:$AA$1,0),FALSE)=0,"",VLOOKUP($A17,Sheet1!$A:$AA,MATCH(AA$1,Sheet1!$A$1:$AA$1,0),FALSE))</f>
        <v/>
      </c>
    </row>
    <row r="18" spans="1:27" x14ac:dyDescent="0.25">
      <c r="A18">
        <v>7238183</v>
      </c>
      <c r="B18" t="str">
        <f>IF(VLOOKUP($A18,Sheet1!$A:$AA,MATCH(B$1,Sheet1!$A$1:$AA$1,0),FALSE)=0,"",VLOOKUP($A18,Sheet1!$A:$AA,MATCH(B$1,Sheet1!$A$1:$AA$1,0),FALSE))</f>
        <v>Mendez Dominguez, Sabrina</v>
      </c>
      <c r="C18" t="str">
        <f>IF(VLOOKUP($A18,Sheet1!$A:$AA,MATCH(C$1,Sheet1!$A$1:$AA$1,0),FALSE)=0,"",VLOOKUP($A18,Sheet1!$A:$AA,MATCH(C$1,Sheet1!$A$1:$AA$1,0),FALSE))</f>
        <v>Mendez Dominguez</v>
      </c>
      <c r="D18" t="str">
        <f>IF(VLOOKUP($A18,Sheet1!$A:$AA,MATCH(D$1,Sheet1!$A$1:$AA$1,0),FALSE)=0,"",VLOOKUP($A18,Sheet1!$A:$AA,MATCH(D$1,Sheet1!$A$1:$AA$1,0),FALSE))</f>
        <v>Sabrina</v>
      </c>
      <c r="E18" t="str">
        <f>IF(VLOOKUP($A18,Sheet1!$A:$AA,MATCH(E$1,Sheet1!$A$1:$AA$1,0),FALSE)=0,"",VLOOKUP($A18,Sheet1!$A:$AA,MATCH(E$1,Sheet1!$A$1:$AA$1,0),FALSE))</f>
        <v>Sabrina Mendez Dominguez</v>
      </c>
      <c r="F18" t="str">
        <f>IF(VLOOKUP($A18,Sheet1!$A:$AA,MATCH(F$1,Sheet1!$A$1:$AA$1,0),FALSE)=0,"",VLOOKUP($A18,Sheet1!$A:$AA,MATCH(F$1,Sheet1!$A$1:$AA$1,0),FALSE))</f>
        <v/>
      </c>
      <c r="G18" t="str">
        <f>IF(VLOOKUP($A18,Sheet1!$A:$AA,MATCH(G$1,Sheet1!$A$1:$AA$1,0),FALSE)=0,"",VLOOKUP($A18,Sheet1!$A:$AA,MATCH(G$1,Sheet1!$A$1:$AA$1,0),FALSE))</f>
        <v/>
      </c>
      <c r="H18" t="str">
        <f>IF(VLOOKUP($A18,Sheet1!$A:$AA,MATCH(H$1,Sheet1!$A$1:$AA$1,0),FALSE)=0,"",VLOOKUP($A18,Sheet1!$A:$AA,MATCH(H$1,Sheet1!$A$1:$AA$1,0),FALSE))</f>
        <v/>
      </c>
      <c r="I18" t="str">
        <f>IF(VLOOKUP($A18,Sheet1!$A:$AA,MATCH(I$1,Sheet1!$A$1:$AA$1,0),FALSE)=0,"",VLOOKUP($A18,Sheet1!$A:$AA,MATCH(I$1,Sheet1!$A$1:$AA$1,0),FALSE))</f>
        <v/>
      </c>
      <c r="J18" t="str">
        <f>IF(VLOOKUP($A18,Sheet1!$A:$AA,MATCH(J$1,Sheet1!$A$1:$AA$1,0),FALSE)=0,"",VLOOKUP($A18,Sheet1!$A:$AA,MATCH(J$1,Sheet1!$A$1:$AA$1,0),FALSE))</f>
        <v/>
      </c>
      <c r="K18" t="str">
        <f>IF(VLOOKUP($A18,Sheet1!$A:$AA,MATCH(K$1,Sheet1!$A$1:$AA$1,0),FALSE)=0,"",VLOOKUP($A18,Sheet1!$A:$AA,MATCH(K$1,Sheet1!$A$1:$AA$1,0),FALSE))</f>
        <v>MADRID</v>
      </c>
      <c r="L18" t="str">
        <f>IF(VLOOKUP($A18,Sheet1!$A:$AA,MATCH(L$1,Sheet1!$A$1:$AA$1,0),FALSE)=0,"",VLOOKUP($A18,Sheet1!$A:$AA,MATCH(L$1,Sheet1!$A$1:$AA$1,0),FALSE))</f>
        <v/>
      </c>
      <c r="M18" t="str">
        <f>IF(VLOOKUP($A18,Sheet1!$A:$AA,MATCH(M$1,Sheet1!$A$1:$AA$1,0),FALSE)=0,"",VLOOKUP($A18,Sheet1!$A:$AA,MATCH(M$1,Sheet1!$A$1:$AA$1,0),FALSE))</f>
        <v/>
      </c>
      <c r="N18" t="str">
        <f>IF(VLOOKUP($A18,Sheet1!$A:$AA,MATCH(N$1,Sheet1!$A$1:$AA$1,0),FALSE)=0,"",VLOOKUP($A18,Sheet1!$A:$AA,MATCH(N$1,Sheet1!$A$1:$AA$1,0),FALSE))</f>
        <v/>
      </c>
      <c r="O18" t="str">
        <f>IF(VLOOKUP($A18,Sheet1!$A:$AA,MATCH(O$1,Sheet1!$A$1:$AA$1,0),FALSE)=0,"",VLOOKUP($A18,Sheet1!$A:$AA,MATCH(O$1,Sheet1!$A$1:$AA$1,0),FALSE))</f>
        <v/>
      </c>
      <c r="P18" t="str">
        <f>IF(VLOOKUP($A18,Sheet1!$A:$AA,MATCH(P$1,Sheet1!$A$1:$AA$1,0),FALSE)=0,"",VLOOKUP($A18,Sheet1!$A:$AA,MATCH(P$1,Sheet1!$A$1:$AA$1,0),FALSE))</f>
        <v/>
      </c>
      <c r="Q18" t="str">
        <f>IF(VLOOKUP($A18,Sheet1!$A:$AA,MATCH(Q$1,Sheet1!$A$1:$AA$1,0),FALSE)=0,"",VLOOKUP($A18,Sheet1!$A:$AA,MATCH(Q$1,Sheet1!$A$1:$AA$1,0),FALSE))</f>
        <v>F</v>
      </c>
      <c r="R18" s="2" t="str">
        <f>IF(VLOOKUP($A18,Sheet1!$A:$AA,MATCH(R$1,Sheet1!$A$1:$AA$1,0),FALSE)=0,"",VLOOKUP($A18,Sheet1!$A:$AA,MATCH(R$1,Sheet1!$A$1:$AA$1,0),FALSE))</f>
        <v/>
      </c>
      <c r="S18" t="str">
        <f>IF(VLOOKUP($A18,Sheet1!$A:$AA,MATCH(S$1,Sheet1!$A$1:$AA$1,0),FALSE)=0,"",VLOOKUP($A18,Sheet1!$A:$AA,MATCH(S$1,Sheet1!$A$1:$AA$1,0),FALSE))</f>
        <v>IF</v>
      </c>
      <c r="T18" t="str">
        <f>IF(VLOOKUP($A18,Sheet1!$A:$AA,MATCH(T$1,Sheet1!$A$1:$AA$1,0),FALSE)=0,"",VLOOKUP($A18,Sheet1!$A:$AA,MATCH(T$1,Sheet1!$A$1:$AA$1,0),FALSE))</f>
        <v>DF</v>
      </c>
      <c r="U18" t="str">
        <f>IF(VLOOKUP($A18,Sheet1!$A:$AA,MATCH(U$1,Sheet1!$A$1:$AA$1,0),FALSE)=0,"",VLOOKUP($A18,Sheet1!$A:$AA,MATCH(U$1,Sheet1!$A$1:$AA$1,0),FALSE))</f>
        <v>DX</v>
      </c>
      <c r="V18" t="str">
        <f>IF(VLOOKUP($A18,Sheet1!$A:$AA,MATCH(V$1,Sheet1!$A$1:$AA$1,0),FALSE)=0,"",VLOOKUP($A18,Sheet1!$A:$AA,MATCH(V$1,Sheet1!$A$1:$AA$1,0),FALSE))</f>
        <v/>
      </c>
      <c r="W18" t="str">
        <f>IF(VLOOKUP($A18,Sheet1!$A:$AA,MATCH(W$1,Sheet1!$A$1:$AA$1,0),FALSE)=0,"",VLOOKUP($A18,Sheet1!$A:$AA,MATCH(W$1,Sheet1!$A$1:$AA$1,0),FALSE))</f>
        <v>5.0</v>
      </c>
      <c r="X18" t="str">
        <f>IF(VLOOKUP($A18,Sheet1!$A:$AA,MATCH(X$1,Sheet1!$A$1:$AA$1,0),FALSE)=0,"",VLOOKUP($A18,Sheet1!$A:$AA,MATCH(X$1,Sheet1!$A$1:$AA$1,0),FALSE))</f>
        <v>5.0</v>
      </c>
      <c r="Y18" t="str">
        <f>IF(VLOOKUP($A18,Sheet1!$A:$AA,MATCH(Y$1,Sheet1!$A$1:$AA$1,0),FALSE)=0,"",VLOOKUP($A18,Sheet1!$A:$AA,MATCH(Y$1,Sheet1!$A$1:$AA$1,0),FALSE))</f>
        <v>5.0</v>
      </c>
      <c r="Z18" t="str">
        <f>IF(VLOOKUP($A18,Sheet1!$A:$AA,MATCH(Z$1,Sheet1!$A$1:$AA$1,0),FALSE)=0,"",VLOOKUP($A18,Sheet1!$A:$AA,MATCH(Z$1,Sheet1!$A$1:$AA$1,0),FALSE))</f>
        <v/>
      </c>
      <c r="AA18" t="str">
        <f ca="1">IF(VLOOKUP($A18,Sheet1!$A:$AA,MATCH(AA$1,Sheet1!$A$1:$AA$1,0),FALSE)=0,"",VLOOKUP($A18,Sheet1!$A:$AA,MATCH(AA$1,Sheet1!$A$1:$AA$1,0),FALSE))</f>
        <v/>
      </c>
    </row>
    <row r="19" spans="1:27" x14ac:dyDescent="0.25">
      <c r="A19">
        <v>10769042</v>
      </c>
      <c r="B19" t="str">
        <f>IF(VLOOKUP($A19,Sheet1!$A:$AA,MATCH(B$1,Sheet1!$A$1:$AA$1,0),FALSE)=0,"",VLOOKUP($A19,Sheet1!$A:$AA,MATCH(B$1,Sheet1!$A$1:$AA$1,0),FALSE))</f>
        <v>Derbis , Nerea</v>
      </c>
      <c r="C19" t="str">
        <f>IF(VLOOKUP($A19,Sheet1!$A:$AA,MATCH(C$1,Sheet1!$A$1:$AA$1,0),FALSE)=0,"",VLOOKUP($A19,Sheet1!$A:$AA,MATCH(C$1,Sheet1!$A$1:$AA$1,0),FALSE))</f>
        <v xml:space="preserve">Derbis </v>
      </c>
      <c r="D19" t="str">
        <f>IF(VLOOKUP($A19,Sheet1!$A:$AA,MATCH(D$1,Sheet1!$A$1:$AA$1,0),FALSE)=0,"",VLOOKUP($A19,Sheet1!$A:$AA,MATCH(D$1,Sheet1!$A$1:$AA$1,0),FALSE))</f>
        <v>Nerea</v>
      </c>
      <c r="E19" t="str">
        <f>IF(VLOOKUP($A19,Sheet1!$A:$AA,MATCH(E$1,Sheet1!$A$1:$AA$1,0),FALSE)=0,"",VLOOKUP($A19,Sheet1!$A:$AA,MATCH(E$1,Sheet1!$A$1:$AA$1,0),FALSE))</f>
        <v xml:space="preserve">Nerea Derbis </v>
      </c>
      <c r="F19" t="str">
        <f>IF(VLOOKUP($A19,Sheet1!$A:$AA,MATCH(F$1,Sheet1!$A$1:$AA$1,0),FALSE)=0,"",VLOOKUP($A19,Sheet1!$A:$AA,MATCH(F$1,Sheet1!$A$1:$AA$1,0),FALSE))</f>
        <v/>
      </c>
      <c r="G19" t="str">
        <f>IF(VLOOKUP($A19,Sheet1!$A:$AA,MATCH(G$1,Sheet1!$A$1:$AA$1,0),FALSE)=0,"",VLOOKUP($A19,Sheet1!$A:$AA,MATCH(G$1,Sheet1!$A$1:$AA$1,0),FALSE))</f>
        <v/>
      </c>
      <c r="H19" t="str">
        <f>IF(VLOOKUP($A19,Sheet1!$A:$AA,MATCH(H$1,Sheet1!$A$1:$AA$1,0),FALSE)=0,"",VLOOKUP($A19,Sheet1!$A:$AA,MATCH(H$1,Sheet1!$A$1:$AA$1,0),FALSE))</f>
        <v/>
      </c>
      <c r="I19" t="str">
        <f>IF(VLOOKUP($A19,Sheet1!$A:$AA,MATCH(I$1,Sheet1!$A$1:$AA$1,0),FALSE)=0,"",VLOOKUP($A19,Sheet1!$A:$AA,MATCH(I$1,Sheet1!$A$1:$AA$1,0),FALSE))</f>
        <v/>
      </c>
      <c r="J19" t="str">
        <f>IF(VLOOKUP($A19,Sheet1!$A:$AA,MATCH(J$1,Sheet1!$A$1:$AA$1,0),FALSE)=0,"",VLOOKUP($A19,Sheet1!$A:$AA,MATCH(J$1,Sheet1!$A$1:$AA$1,0),FALSE))</f>
        <v/>
      </c>
      <c r="K19" t="str">
        <f>IF(VLOOKUP($A19,Sheet1!$A:$AA,MATCH(K$1,Sheet1!$A$1:$AA$1,0),FALSE)=0,"",VLOOKUP($A19,Sheet1!$A:$AA,MATCH(K$1,Sheet1!$A$1:$AA$1,0),FALSE))</f>
        <v>MADRID</v>
      </c>
      <c r="L19" t="str">
        <f>IF(VLOOKUP($A19,Sheet1!$A:$AA,MATCH(L$1,Sheet1!$A$1:$AA$1,0),FALSE)=0,"",VLOOKUP($A19,Sheet1!$A:$AA,MATCH(L$1,Sheet1!$A$1:$AA$1,0),FALSE))</f>
        <v/>
      </c>
      <c r="M19" t="str">
        <f>IF(VLOOKUP($A19,Sheet1!$A:$AA,MATCH(M$1,Sheet1!$A$1:$AA$1,0),FALSE)=0,"",VLOOKUP($A19,Sheet1!$A:$AA,MATCH(M$1,Sheet1!$A$1:$AA$1,0),FALSE))</f>
        <v/>
      </c>
      <c r="N19" t="str">
        <f>IF(VLOOKUP($A19,Sheet1!$A:$AA,MATCH(N$1,Sheet1!$A$1:$AA$1,0),FALSE)=0,"",VLOOKUP($A19,Sheet1!$A:$AA,MATCH(N$1,Sheet1!$A$1:$AA$1,0),FALSE))</f>
        <v/>
      </c>
      <c r="O19" t="str">
        <f>IF(VLOOKUP($A19,Sheet1!$A:$AA,MATCH(O$1,Sheet1!$A$1:$AA$1,0),FALSE)=0,"",VLOOKUP($A19,Sheet1!$A:$AA,MATCH(O$1,Sheet1!$A$1:$AA$1,0),FALSE))</f>
        <v/>
      </c>
      <c r="P19" t="str">
        <f>IF(VLOOKUP($A19,Sheet1!$A:$AA,MATCH(P$1,Sheet1!$A$1:$AA$1,0),FALSE)=0,"",VLOOKUP($A19,Sheet1!$A:$AA,MATCH(P$1,Sheet1!$A$1:$AA$1,0),FALSE))</f>
        <v/>
      </c>
      <c r="Q19" t="str">
        <f>IF(VLOOKUP($A19,Sheet1!$A:$AA,MATCH(Q$1,Sheet1!$A$1:$AA$1,0),FALSE)=0,"",VLOOKUP($A19,Sheet1!$A:$AA,MATCH(Q$1,Sheet1!$A$1:$AA$1,0),FALSE))</f>
        <v>F</v>
      </c>
      <c r="R19" s="2" t="str">
        <f>IF(VLOOKUP($A19,Sheet1!$A:$AA,MATCH(R$1,Sheet1!$A$1:$AA$1,0),FALSE)=0,"",VLOOKUP($A19,Sheet1!$A:$AA,MATCH(R$1,Sheet1!$A$1:$AA$1,0),FALSE))</f>
        <v/>
      </c>
      <c r="S19" t="str">
        <f>IF(VLOOKUP($A19,Sheet1!$A:$AA,MATCH(S$1,Sheet1!$A$1:$AA$1,0),FALSE)=0,"",VLOOKUP($A19,Sheet1!$A:$AA,MATCH(S$1,Sheet1!$A$1:$AA$1,0),FALSE))</f>
        <v>IF</v>
      </c>
      <c r="T19" t="str">
        <f>IF(VLOOKUP($A19,Sheet1!$A:$AA,MATCH(T$1,Sheet1!$A$1:$AA$1,0),FALSE)=0,"",VLOOKUP($A19,Sheet1!$A:$AA,MATCH(T$1,Sheet1!$A$1:$AA$1,0),FALSE))</f>
        <v>DF</v>
      </c>
      <c r="U19" t="str">
        <f>IF(VLOOKUP($A19,Sheet1!$A:$AA,MATCH(U$1,Sheet1!$A$1:$AA$1,0),FALSE)=0,"",VLOOKUP($A19,Sheet1!$A:$AA,MATCH(U$1,Sheet1!$A$1:$AA$1,0),FALSE))</f>
        <v>DX</v>
      </c>
      <c r="V19" t="str">
        <f>IF(VLOOKUP($A19,Sheet1!$A:$AA,MATCH(V$1,Sheet1!$A$1:$AA$1,0),FALSE)=0,"",VLOOKUP($A19,Sheet1!$A:$AA,MATCH(V$1,Sheet1!$A$1:$AA$1,0),FALSE))</f>
        <v/>
      </c>
      <c r="W19" t="str">
        <f>IF(VLOOKUP($A19,Sheet1!$A:$AA,MATCH(W$1,Sheet1!$A$1:$AA$1,0),FALSE)=0,"",VLOOKUP($A19,Sheet1!$A:$AA,MATCH(W$1,Sheet1!$A$1:$AA$1,0),FALSE))</f>
        <v>5.0</v>
      </c>
      <c r="X19" t="str">
        <f>IF(VLOOKUP($A19,Sheet1!$A:$AA,MATCH(X$1,Sheet1!$A$1:$AA$1,0),FALSE)=0,"",VLOOKUP($A19,Sheet1!$A:$AA,MATCH(X$1,Sheet1!$A$1:$AA$1,0),FALSE))</f>
        <v>5.0</v>
      </c>
      <c r="Y19" t="str">
        <f>IF(VLOOKUP($A19,Sheet1!$A:$AA,MATCH(Y$1,Sheet1!$A$1:$AA$1,0),FALSE)=0,"",VLOOKUP($A19,Sheet1!$A:$AA,MATCH(Y$1,Sheet1!$A$1:$AA$1,0),FALSE))</f>
        <v>5.0</v>
      </c>
      <c r="Z19" t="str">
        <f>IF(VLOOKUP($A19,Sheet1!$A:$AA,MATCH(Z$1,Sheet1!$A$1:$AA$1,0),FALSE)=0,"",VLOOKUP($A19,Sheet1!$A:$AA,MATCH(Z$1,Sheet1!$A$1:$AA$1,0),FALSE))</f>
        <v/>
      </c>
      <c r="AA19" t="str">
        <f ca="1">IF(VLOOKUP($A19,Sheet1!$A:$AA,MATCH(AA$1,Sheet1!$A$1:$AA$1,0),FALSE)=0,"",VLOOKUP($A19,Sheet1!$A:$AA,MATCH(AA$1,Sheet1!$A$1:$AA$1,0),FALSE))</f>
        <v/>
      </c>
    </row>
    <row r="20" spans="1:27" x14ac:dyDescent="0.25">
      <c r="A20">
        <v>8318942</v>
      </c>
      <c r="B20" t="str">
        <f>IF(VLOOKUP($A20,Sheet1!$A:$AA,MATCH(B$1,Sheet1!$A$1:$AA$1,0),FALSE)=0,"",VLOOKUP($A20,Sheet1!$A:$AA,MATCH(B$1,Sheet1!$A$1:$AA$1,0),FALSE))</f>
        <v>Chumillas Lidón, Sara</v>
      </c>
      <c r="C20" t="str">
        <f>IF(VLOOKUP($A20,Sheet1!$A:$AA,MATCH(C$1,Sheet1!$A$1:$AA$1,0),FALSE)=0,"",VLOOKUP($A20,Sheet1!$A:$AA,MATCH(C$1,Sheet1!$A$1:$AA$1,0),FALSE))</f>
        <v>Chumillas Lidón</v>
      </c>
      <c r="D20" t="str">
        <f>IF(VLOOKUP($A20,Sheet1!$A:$AA,MATCH(D$1,Sheet1!$A$1:$AA$1,0),FALSE)=0,"",VLOOKUP($A20,Sheet1!$A:$AA,MATCH(D$1,Sheet1!$A$1:$AA$1,0),FALSE))</f>
        <v>Sara</v>
      </c>
      <c r="E20" t="str">
        <f>IF(VLOOKUP($A20,Sheet1!$A:$AA,MATCH(E$1,Sheet1!$A$1:$AA$1,0),FALSE)=0,"",VLOOKUP($A20,Sheet1!$A:$AA,MATCH(E$1,Sheet1!$A$1:$AA$1,0),FALSE))</f>
        <v>Sara Chumillas Lidón</v>
      </c>
      <c r="F20" t="str">
        <f>IF(VLOOKUP($A20,Sheet1!$A:$AA,MATCH(F$1,Sheet1!$A$1:$AA$1,0),FALSE)=0,"",VLOOKUP($A20,Sheet1!$A:$AA,MATCH(F$1,Sheet1!$A$1:$AA$1,0),FALSE))</f>
        <v/>
      </c>
      <c r="G20" t="str">
        <f>IF(VLOOKUP($A20,Sheet1!$A:$AA,MATCH(G$1,Sheet1!$A$1:$AA$1,0),FALSE)=0,"",VLOOKUP($A20,Sheet1!$A:$AA,MATCH(G$1,Sheet1!$A$1:$AA$1,0),FALSE))</f>
        <v/>
      </c>
      <c r="H20" t="str">
        <f>IF(VLOOKUP($A20,Sheet1!$A:$AA,MATCH(H$1,Sheet1!$A$1:$AA$1,0),FALSE)=0,"",VLOOKUP($A20,Sheet1!$A:$AA,MATCH(H$1,Sheet1!$A$1:$AA$1,0),FALSE))</f>
        <v/>
      </c>
      <c r="I20" t="str">
        <f>IF(VLOOKUP($A20,Sheet1!$A:$AA,MATCH(I$1,Sheet1!$A$1:$AA$1,0),FALSE)=0,"",VLOOKUP($A20,Sheet1!$A:$AA,MATCH(I$1,Sheet1!$A$1:$AA$1,0),FALSE))</f>
        <v/>
      </c>
      <c r="J20" t="str">
        <f>IF(VLOOKUP($A20,Sheet1!$A:$AA,MATCH(J$1,Sheet1!$A$1:$AA$1,0),FALSE)=0,"",VLOOKUP($A20,Sheet1!$A:$AA,MATCH(J$1,Sheet1!$A$1:$AA$1,0),FALSE))</f>
        <v/>
      </c>
      <c r="K20" t="str">
        <f>IF(VLOOKUP($A20,Sheet1!$A:$AA,MATCH(K$1,Sheet1!$A$1:$AA$1,0),FALSE)=0,"",VLOOKUP($A20,Sheet1!$A:$AA,MATCH(K$1,Sheet1!$A$1:$AA$1,0),FALSE))</f>
        <v>MADRID</v>
      </c>
      <c r="L20" t="str">
        <f>IF(VLOOKUP($A20,Sheet1!$A:$AA,MATCH(L$1,Sheet1!$A$1:$AA$1,0),FALSE)=0,"",VLOOKUP($A20,Sheet1!$A:$AA,MATCH(L$1,Sheet1!$A$1:$AA$1,0),FALSE))</f>
        <v/>
      </c>
      <c r="M20" t="str">
        <f>IF(VLOOKUP($A20,Sheet1!$A:$AA,MATCH(M$1,Sheet1!$A$1:$AA$1,0),FALSE)=0,"",VLOOKUP($A20,Sheet1!$A:$AA,MATCH(M$1,Sheet1!$A$1:$AA$1,0),FALSE))</f>
        <v/>
      </c>
      <c r="N20" t="str">
        <f>IF(VLOOKUP($A20,Sheet1!$A:$AA,MATCH(N$1,Sheet1!$A$1:$AA$1,0),FALSE)=0,"",VLOOKUP($A20,Sheet1!$A:$AA,MATCH(N$1,Sheet1!$A$1:$AA$1,0),FALSE))</f>
        <v/>
      </c>
      <c r="O20" t="str">
        <f>IF(VLOOKUP($A20,Sheet1!$A:$AA,MATCH(O$1,Sheet1!$A$1:$AA$1,0),FALSE)=0,"",VLOOKUP($A20,Sheet1!$A:$AA,MATCH(O$1,Sheet1!$A$1:$AA$1,0),FALSE))</f>
        <v/>
      </c>
      <c r="P20" t="str">
        <f>IF(VLOOKUP($A20,Sheet1!$A:$AA,MATCH(P$1,Sheet1!$A$1:$AA$1,0),FALSE)=0,"",VLOOKUP($A20,Sheet1!$A:$AA,MATCH(P$1,Sheet1!$A$1:$AA$1,0),FALSE))</f>
        <v/>
      </c>
      <c r="Q20" t="str">
        <f>IF(VLOOKUP($A20,Sheet1!$A:$AA,MATCH(Q$1,Sheet1!$A$1:$AA$1,0),FALSE)=0,"",VLOOKUP($A20,Sheet1!$A:$AA,MATCH(Q$1,Sheet1!$A$1:$AA$1,0),FALSE))</f>
        <v>F</v>
      </c>
      <c r="R20" s="2" t="str">
        <f>IF(VLOOKUP($A20,Sheet1!$A:$AA,MATCH(R$1,Sheet1!$A$1:$AA$1,0),FALSE)=0,"",VLOOKUP($A20,Sheet1!$A:$AA,MATCH(R$1,Sheet1!$A$1:$AA$1,0),FALSE))</f>
        <v/>
      </c>
      <c r="S20" t="str">
        <f>IF(VLOOKUP($A20,Sheet1!$A:$AA,MATCH(S$1,Sheet1!$A$1:$AA$1,0),FALSE)=0,"",VLOOKUP($A20,Sheet1!$A:$AA,MATCH(S$1,Sheet1!$A$1:$AA$1,0),FALSE))</f>
        <v>IF</v>
      </c>
      <c r="T20" t="str">
        <f>IF(VLOOKUP($A20,Sheet1!$A:$AA,MATCH(T$1,Sheet1!$A$1:$AA$1,0),FALSE)=0,"",VLOOKUP($A20,Sheet1!$A:$AA,MATCH(T$1,Sheet1!$A$1:$AA$1,0),FALSE))</f>
        <v>DF</v>
      </c>
      <c r="U20" t="str">
        <f>IF(VLOOKUP($A20,Sheet1!$A:$AA,MATCH(U$1,Sheet1!$A$1:$AA$1,0),FALSE)=0,"",VLOOKUP($A20,Sheet1!$A:$AA,MATCH(U$1,Sheet1!$A$1:$AA$1,0),FALSE))</f>
        <v>DX</v>
      </c>
      <c r="V20" t="str">
        <f>IF(VLOOKUP($A20,Sheet1!$A:$AA,MATCH(V$1,Sheet1!$A$1:$AA$1,0),FALSE)=0,"",VLOOKUP($A20,Sheet1!$A:$AA,MATCH(V$1,Sheet1!$A$1:$AA$1,0),FALSE))</f>
        <v/>
      </c>
      <c r="W20" t="str">
        <f>IF(VLOOKUP($A20,Sheet1!$A:$AA,MATCH(W$1,Sheet1!$A$1:$AA$1,0),FALSE)=0,"",VLOOKUP($A20,Sheet1!$A:$AA,MATCH(W$1,Sheet1!$A$1:$AA$1,0),FALSE))</f>
        <v>5.0</v>
      </c>
      <c r="X20" t="str">
        <f>IF(VLOOKUP($A20,Sheet1!$A:$AA,MATCH(X$1,Sheet1!$A$1:$AA$1,0),FALSE)=0,"",VLOOKUP($A20,Sheet1!$A:$AA,MATCH(X$1,Sheet1!$A$1:$AA$1,0),FALSE))</f>
        <v>5.0</v>
      </c>
      <c r="Y20" t="str">
        <f>IF(VLOOKUP($A20,Sheet1!$A:$AA,MATCH(Y$1,Sheet1!$A$1:$AA$1,0),FALSE)=0,"",VLOOKUP($A20,Sheet1!$A:$AA,MATCH(Y$1,Sheet1!$A$1:$AA$1,0),FALSE))</f>
        <v>5.0</v>
      </c>
      <c r="Z20" t="str">
        <f>IF(VLOOKUP($A20,Sheet1!$A:$AA,MATCH(Z$1,Sheet1!$A$1:$AA$1,0),FALSE)=0,"",VLOOKUP($A20,Sheet1!$A:$AA,MATCH(Z$1,Sheet1!$A$1:$AA$1,0),FALSE))</f>
        <v/>
      </c>
      <c r="AA20" t="str">
        <f ca="1">IF(VLOOKUP($A20,Sheet1!$A:$AA,MATCH(AA$1,Sheet1!$A$1:$AA$1,0),FALSE)=0,"",VLOOKUP($A20,Sheet1!$A:$AA,MATCH(AA$1,Sheet1!$A$1:$AA$1,0),FALSE))</f>
        <v/>
      </c>
    </row>
    <row r="21" spans="1:27" x14ac:dyDescent="0.25">
      <c r="A21">
        <v>10768911</v>
      </c>
      <c r="B21" t="str">
        <f>IF(VLOOKUP($A21,Sheet1!$A:$AA,MATCH(B$1,Sheet1!$A$1:$AA$1,0),FALSE)=0,"",VLOOKUP($A21,Sheet1!$A:$AA,MATCH(B$1,Sheet1!$A$1:$AA$1,0),FALSE))</f>
        <v>Cardo Rodriguez, Rocio</v>
      </c>
      <c r="C21" t="str">
        <f>IF(VLOOKUP($A21,Sheet1!$A:$AA,MATCH(C$1,Sheet1!$A$1:$AA$1,0),FALSE)=0,"",VLOOKUP($A21,Sheet1!$A:$AA,MATCH(C$1,Sheet1!$A$1:$AA$1,0),FALSE))</f>
        <v>Cardo Rodriguez</v>
      </c>
      <c r="D21" t="str">
        <f>IF(VLOOKUP($A21,Sheet1!$A:$AA,MATCH(D$1,Sheet1!$A$1:$AA$1,0),FALSE)=0,"",VLOOKUP($A21,Sheet1!$A:$AA,MATCH(D$1,Sheet1!$A$1:$AA$1,0),FALSE))</f>
        <v>Rocio</v>
      </c>
      <c r="E21" t="str">
        <f>IF(VLOOKUP($A21,Sheet1!$A:$AA,MATCH(E$1,Sheet1!$A$1:$AA$1,0),FALSE)=0,"",VLOOKUP($A21,Sheet1!$A:$AA,MATCH(E$1,Sheet1!$A$1:$AA$1,0),FALSE))</f>
        <v>Rocio Cardo Rodriguez</v>
      </c>
      <c r="F21" t="str">
        <f>IF(VLOOKUP($A21,Sheet1!$A:$AA,MATCH(F$1,Sheet1!$A$1:$AA$1,0),FALSE)=0,"",VLOOKUP($A21,Sheet1!$A:$AA,MATCH(F$1,Sheet1!$A$1:$AA$1,0),FALSE))</f>
        <v/>
      </c>
      <c r="G21" t="str">
        <f>IF(VLOOKUP($A21,Sheet1!$A:$AA,MATCH(G$1,Sheet1!$A$1:$AA$1,0),FALSE)=0,"",VLOOKUP($A21,Sheet1!$A:$AA,MATCH(G$1,Sheet1!$A$1:$AA$1,0),FALSE))</f>
        <v/>
      </c>
      <c r="H21" t="str">
        <f>IF(VLOOKUP($A21,Sheet1!$A:$AA,MATCH(H$1,Sheet1!$A$1:$AA$1,0),FALSE)=0,"",VLOOKUP($A21,Sheet1!$A:$AA,MATCH(H$1,Sheet1!$A$1:$AA$1,0),FALSE))</f>
        <v/>
      </c>
      <c r="I21" t="str">
        <f>IF(VLOOKUP($A21,Sheet1!$A:$AA,MATCH(I$1,Sheet1!$A$1:$AA$1,0),FALSE)=0,"",VLOOKUP($A21,Sheet1!$A:$AA,MATCH(I$1,Sheet1!$A$1:$AA$1,0),FALSE))</f>
        <v/>
      </c>
      <c r="J21" t="str">
        <f>IF(VLOOKUP($A21,Sheet1!$A:$AA,MATCH(J$1,Sheet1!$A$1:$AA$1,0),FALSE)=0,"",VLOOKUP($A21,Sheet1!$A:$AA,MATCH(J$1,Sheet1!$A$1:$AA$1,0),FALSE))</f>
        <v/>
      </c>
      <c r="K21" t="str">
        <f>IF(VLOOKUP($A21,Sheet1!$A:$AA,MATCH(K$1,Sheet1!$A$1:$AA$1,0),FALSE)=0,"",VLOOKUP($A21,Sheet1!$A:$AA,MATCH(K$1,Sheet1!$A$1:$AA$1,0),FALSE))</f>
        <v>MADRID</v>
      </c>
      <c r="L21" t="str">
        <f>IF(VLOOKUP($A21,Sheet1!$A:$AA,MATCH(L$1,Sheet1!$A$1:$AA$1,0),FALSE)=0,"",VLOOKUP($A21,Sheet1!$A:$AA,MATCH(L$1,Sheet1!$A$1:$AA$1,0),FALSE))</f>
        <v/>
      </c>
      <c r="M21" t="str">
        <f>IF(VLOOKUP($A21,Sheet1!$A:$AA,MATCH(M$1,Sheet1!$A$1:$AA$1,0),FALSE)=0,"",VLOOKUP($A21,Sheet1!$A:$AA,MATCH(M$1,Sheet1!$A$1:$AA$1,0),FALSE))</f>
        <v/>
      </c>
      <c r="N21" t="str">
        <f>IF(VLOOKUP($A21,Sheet1!$A:$AA,MATCH(N$1,Sheet1!$A$1:$AA$1,0),FALSE)=0,"",VLOOKUP($A21,Sheet1!$A:$AA,MATCH(N$1,Sheet1!$A$1:$AA$1,0),FALSE))</f>
        <v/>
      </c>
      <c r="O21" t="str">
        <f>IF(VLOOKUP($A21,Sheet1!$A:$AA,MATCH(O$1,Sheet1!$A$1:$AA$1,0),FALSE)=0,"",VLOOKUP($A21,Sheet1!$A:$AA,MATCH(O$1,Sheet1!$A$1:$AA$1,0),FALSE))</f>
        <v/>
      </c>
      <c r="P21" t="str">
        <f>IF(VLOOKUP($A21,Sheet1!$A:$AA,MATCH(P$1,Sheet1!$A$1:$AA$1,0),FALSE)=0,"",VLOOKUP($A21,Sheet1!$A:$AA,MATCH(P$1,Sheet1!$A$1:$AA$1,0),FALSE))</f>
        <v/>
      </c>
      <c r="Q21" t="str">
        <f>IF(VLOOKUP($A21,Sheet1!$A:$AA,MATCH(Q$1,Sheet1!$A$1:$AA$1,0),FALSE)=0,"",VLOOKUP($A21,Sheet1!$A:$AA,MATCH(Q$1,Sheet1!$A$1:$AA$1,0),FALSE))</f>
        <v>F</v>
      </c>
      <c r="R21" s="2">
        <f>IF(VLOOKUP($A21,Sheet1!$A:$AA,MATCH(R$1,Sheet1!$A$1:$AA$1,0),FALSE)=0,"",VLOOKUP($A21,Sheet1!$A:$AA,MATCH(R$1,Sheet1!$A$1:$AA$1,0),FALSE))</f>
        <v>32449</v>
      </c>
      <c r="S21" t="str">
        <f>IF(VLOOKUP($A21,Sheet1!$A:$AA,MATCH(S$1,Sheet1!$A$1:$AA$1,0),FALSE)=0,"",VLOOKUP($A21,Sheet1!$A:$AA,MATCH(S$1,Sheet1!$A$1:$AA$1,0),FALSE))</f>
        <v>IF</v>
      </c>
      <c r="T21" t="str">
        <f>IF(VLOOKUP($A21,Sheet1!$A:$AA,MATCH(T$1,Sheet1!$A$1:$AA$1,0),FALSE)=0,"",VLOOKUP($A21,Sheet1!$A:$AA,MATCH(T$1,Sheet1!$A$1:$AA$1,0),FALSE))</f>
        <v>DF</v>
      </c>
      <c r="U21" t="str">
        <f>IF(VLOOKUP($A21,Sheet1!$A:$AA,MATCH(U$1,Sheet1!$A$1:$AA$1,0),FALSE)=0,"",VLOOKUP($A21,Sheet1!$A:$AA,MATCH(U$1,Sheet1!$A$1:$AA$1,0),FALSE))</f>
        <v>DX</v>
      </c>
      <c r="V21" t="str">
        <f>IF(VLOOKUP($A21,Sheet1!$A:$AA,MATCH(V$1,Sheet1!$A$1:$AA$1,0),FALSE)=0,"",VLOOKUP($A21,Sheet1!$A:$AA,MATCH(V$1,Sheet1!$A$1:$AA$1,0),FALSE))</f>
        <v/>
      </c>
      <c r="W21" t="str">
        <f>IF(VLOOKUP($A21,Sheet1!$A:$AA,MATCH(W$1,Sheet1!$A$1:$AA$1,0),FALSE)=0,"",VLOOKUP($A21,Sheet1!$A:$AA,MATCH(W$1,Sheet1!$A$1:$AA$1,0),FALSE))</f>
        <v>5.0</v>
      </c>
      <c r="X21" t="str">
        <f>IF(VLOOKUP($A21,Sheet1!$A:$AA,MATCH(X$1,Sheet1!$A$1:$AA$1,0),FALSE)=0,"",VLOOKUP($A21,Sheet1!$A:$AA,MATCH(X$1,Sheet1!$A$1:$AA$1,0),FALSE))</f>
        <v>5.0</v>
      </c>
      <c r="Y21" t="str">
        <f>IF(VLOOKUP($A21,Sheet1!$A:$AA,MATCH(Y$1,Sheet1!$A$1:$AA$1,0),FALSE)=0,"",VLOOKUP($A21,Sheet1!$A:$AA,MATCH(Y$1,Sheet1!$A$1:$AA$1,0),FALSE))</f>
        <v>5.0</v>
      </c>
      <c r="Z21" t="str">
        <f>IF(VLOOKUP($A21,Sheet1!$A:$AA,MATCH(Z$1,Sheet1!$A$1:$AA$1,0),FALSE)=0,"",VLOOKUP($A21,Sheet1!$A:$AA,MATCH(Z$1,Sheet1!$A$1:$AA$1,0),FALSE))</f>
        <v/>
      </c>
      <c r="AA21">
        <f ca="1">IF(VLOOKUP($A21,Sheet1!$A:$AA,MATCH(AA$1,Sheet1!$A$1:$AA$1,0),FALSE)=0,"",VLOOKUP($A21,Sheet1!$A:$AA,MATCH(AA$1,Sheet1!$A$1:$AA$1,0),FALSE))</f>
        <v>36</v>
      </c>
    </row>
    <row r="22" spans="1:27" x14ac:dyDescent="0.25">
      <c r="A22">
        <v>11855501</v>
      </c>
      <c r="B22" t="str">
        <f>IF(VLOOKUP($A22,Sheet1!$A:$AA,MATCH(B$1,Sheet1!$A$1:$AA$1,0),FALSE)=0,"",VLOOKUP($A22,Sheet1!$A:$AA,MATCH(B$1,Sheet1!$A$1:$AA$1,0),FALSE))</f>
        <v>Caymel Romero, Claudia</v>
      </c>
      <c r="C22" t="str">
        <f>IF(VLOOKUP($A22,Sheet1!$A:$AA,MATCH(C$1,Sheet1!$A$1:$AA$1,0),FALSE)=0,"",VLOOKUP($A22,Sheet1!$A:$AA,MATCH(C$1,Sheet1!$A$1:$AA$1,0),FALSE))</f>
        <v>Caymel Romero</v>
      </c>
      <c r="D22" t="str">
        <f>IF(VLOOKUP($A22,Sheet1!$A:$AA,MATCH(D$1,Sheet1!$A$1:$AA$1,0),FALSE)=0,"",VLOOKUP($A22,Sheet1!$A:$AA,MATCH(D$1,Sheet1!$A$1:$AA$1,0),FALSE))</f>
        <v>Claudia</v>
      </c>
      <c r="E22" t="str">
        <f>IF(VLOOKUP($A22,Sheet1!$A:$AA,MATCH(E$1,Sheet1!$A$1:$AA$1,0),FALSE)=0,"",VLOOKUP($A22,Sheet1!$A:$AA,MATCH(E$1,Sheet1!$A$1:$AA$1,0),FALSE))</f>
        <v>Claudia Caymel Romero</v>
      </c>
      <c r="F22" t="str">
        <f>IF(VLOOKUP($A22,Sheet1!$A:$AA,MATCH(F$1,Sheet1!$A$1:$AA$1,0),FALSE)=0,"",VLOOKUP($A22,Sheet1!$A:$AA,MATCH(F$1,Sheet1!$A$1:$AA$1,0),FALSE))</f>
        <v/>
      </c>
      <c r="G22" t="str">
        <f>IF(VLOOKUP($A22,Sheet1!$A:$AA,MATCH(G$1,Sheet1!$A$1:$AA$1,0),FALSE)=0,"",VLOOKUP($A22,Sheet1!$A:$AA,MATCH(G$1,Sheet1!$A$1:$AA$1,0),FALSE))</f>
        <v/>
      </c>
      <c r="H22" t="str">
        <f>IF(VLOOKUP($A22,Sheet1!$A:$AA,MATCH(H$1,Sheet1!$A$1:$AA$1,0),FALSE)=0,"",VLOOKUP($A22,Sheet1!$A:$AA,MATCH(H$1,Sheet1!$A$1:$AA$1,0),FALSE))</f>
        <v/>
      </c>
      <c r="I22" t="str">
        <f>IF(VLOOKUP($A22,Sheet1!$A:$AA,MATCH(I$1,Sheet1!$A$1:$AA$1,0),FALSE)=0,"",VLOOKUP($A22,Sheet1!$A:$AA,MATCH(I$1,Sheet1!$A$1:$AA$1,0),FALSE))</f>
        <v/>
      </c>
      <c r="J22" t="str">
        <f>IF(VLOOKUP($A22,Sheet1!$A:$AA,MATCH(J$1,Sheet1!$A$1:$AA$1,0),FALSE)=0,"",VLOOKUP($A22,Sheet1!$A:$AA,MATCH(J$1,Sheet1!$A$1:$AA$1,0),FALSE))</f>
        <v/>
      </c>
      <c r="K22" t="str">
        <f>IF(VLOOKUP($A22,Sheet1!$A:$AA,MATCH(K$1,Sheet1!$A$1:$AA$1,0),FALSE)=0,"",VLOOKUP($A22,Sheet1!$A:$AA,MATCH(K$1,Sheet1!$A$1:$AA$1,0),FALSE))</f>
        <v>CATALUÑA</v>
      </c>
      <c r="L22" t="str">
        <f>IF(VLOOKUP($A22,Sheet1!$A:$AA,MATCH(L$1,Sheet1!$A$1:$AA$1,0),FALSE)=0,"",VLOOKUP($A22,Sheet1!$A:$AA,MATCH(L$1,Sheet1!$A$1:$AA$1,0),FALSE))</f>
        <v/>
      </c>
      <c r="M22" t="str">
        <f>IF(VLOOKUP($A22,Sheet1!$A:$AA,MATCH(M$1,Sheet1!$A$1:$AA$1,0),FALSE)=0,"",VLOOKUP($A22,Sheet1!$A:$AA,MATCH(M$1,Sheet1!$A$1:$AA$1,0),FALSE))</f>
        <v/>
      </c>
      <c r="N22" t="str">
        <f>IF(VLOOKUP($A22,Sheet1!$A:$AA,MATCH(N$1,Sheet1!$A$1:$AA$1,0),FALSE)=0,"",VLOOKUP($A22,Sheet1!$A:$AA,MATCH(N$1,Sheet1!$A$1:$AA$1,0),FALSE))</f>
        <v/>
      </c>
      <c r="O22" t="str">
        <f>IF(VLOOKUP($A22,Sheet1!$A:$AA,MATCH(O$1,Sheet1!$A$1:$AA$1,0),FALSE)=0,"",VLOOKUP($A22,Sheet1!$A:$AA,MATCH(O$1,Sheet1!$A$1:$AA$1,0),FALSE))</f>
        <v/>
      </c>
      <c r="P22" t="str">
        <f>IF(VLOOKUP($A22,Sheet1!$A:$AA,MATCH(P$1,Sheet1!$A$1:$AA$1,0),FALSE)=0,"",VLOOKUP($A22,Sheet1!$A:$AA,MATCH(P$1,Sheet1!$A$1:$AA$1,0),FALSE))</f>
        <v/>
      </c>
      <c r="Q22" t="str">
        <f>IF(VLOOKUP($A22,Sheet1!$A:$AA,MATCH(Q$1,Sheet1!$A$1:$AA$1,0),FALSE)=0,"",VLOOKUP($A22,Sheet1!$A:$AA,MATCH(Q$1,Sheet1!$A$1:$AA$1,0),FALSE))</f>
        <v>F</v>
      </c>
      <c r="R22" s="2" t="str">
        <f>IF(VLOOKUP($A22,Sheet1!$A:$AA,MATCH(R$1,Sheet1!$A$1:$AA$1,0),FALSE)=0,"",VLOOKUP($A22,Sheet1!$A:$AA,MATCH(R$1,Sheet1!$A$1:$AA$1,0),FALSE))</f>
        <v/>
      </c>
      <c r="S22" t="str">
        <f>IF(VLOOKUP($A22,Sheet1!$A:$AA,MATCH(S$1,Sheet1!$A$1:$AA$1,0),FALSE)=0,"",VLOOKUP($A22,Sheet1!$A:$AA,MATCH(S$1,Sheet1!$A$1:$AA$1,0),FALSE))</f>
        <v>IF</v>
      </c>
      <c r="T22" t="str">
        <f>IF(VLOOKUP($A22,Sheet1!$A:$AA,MATCH(T$1,Sheet1!$A$1:$AA$1,0),FALSE)=0,"",VLOOKUP($A22,Sheet1!$A:$AA,MATCH(T$1,Sheet1!$A$1:$AA$1,0),FALSE))</f>
        <v>DF</v>
      </c>
      <c r="U22" t="str">
        <f>IF(VLOOKUP($A22,Sheet1!$A:$AA,MATCH(U$1,Sheet1!$A$1:$AA$1,0),FALSE)=0,"",VLOOKUP($A22,Sheet1!$A:$AA,MATCH(U$1,Sheet1!$A$1:$AA$1,0),FALSE))</f>
        <v>DX</v>
      </c>
      <c r="V22" t="str">
        <f>IF(VLOOKUP($A22,Sheet1!$A:$AA,MATCH(V$1,Sheet1!$A$1:$AA$1,0),FALSE)=0,"",VLOOKUP($A22,Sheet1!$A:$AA,MATCH(V$1,Sheet1!$A$1:$AA$1,0),FALSE))</f>
        <v/>
      </c>
      <c r="W22" t="str">
        <f>IF(VLOOKUP($A22,Sheet1!$A:$AA,MATCH(W$1,Sheet1!$A$1:$AA$1,0),FALSE)=0,"",VLOOKUP($A22,Sheet1!$A:$AA,MATCH(W$1,Sheet1!$A$1:$AA$1,0),FALSE))</f>
        <v>5.0</v>
      </c>
      <c r="X22" t="str">
        <f>IF(VLOOKUP($A22,Sheet1!$A:$AA,MATCH(X$1,Sheet1!$A$1:$AA$1,0),FALSE)=0,"",VLOOKUP($A22,Sheet1!$A:$AA,MATCH(X$1,Sheet1!$A$1:$AA$1,0),FALSE))</f>
        <v>5.0</v>
      </c>
      <c r="Y22" t="str">
        <f>IF(VLOOKUP($A22,Sheet1!$A:$AA,MATCH(Y$1,Sheet1!$A$1:$AA$1,0),FALSE)=0,"",VLOOKUP($A22,Sheet1!$A:$AA,MATCH(Y$1,Sheet1!$A$1:$AA$1,0),FALSE))</f>
        <v>5.0</v>
      </c>
      <c r="Z22" t="str">
        <f>IF(VLOOKUP($A22,Sheet1!$A:$AA,MATCH(Z$1,Sheet1!$A$1:$AA$1,0),FALSE)=0,"",VLOOKUP($A22,Sheet1!$A:$AA,MATCH(Z$1,Sheet1!$A$1:$AA$1,0),FALSE))</f>
        <v/>
      </c>
      <c r="AA22" t="str">
        <f ca="1">IF(VLOOKUP($A22,Sheet1!$A:$AA,MATCH(AA$1,Sheet1!$A$1:$AA$1,0),FALSE)=0,"",VLOOKUP($A22,Sheet1!$A:$AA,MATCH(AA$1,Sheet1!$A$1:$AA$1,0),FALSE))</f>
        <v/>
      </c>
    </row>
    <row r="23" spans="1:27" x14ac:dyDescent="0.25">
      <c r="A23">
        <v>10768078</v>
      </c>
      <c r="B23" t="str">
        <f>IF(VLOOKUP($A23,Sheet1!$A:$AA,MATCH(B$1,Sheet1!$A$1:$AA$1,0),FALSE)=0,"",VLOOKUP($A23,Sheet1!$A:$AA,MATCH(B$1,Sheet1!$A$1:$AA$1,0),FALSE))</f>
        <v>Vazquez Ranz, Karina</v>
      </c>
      <c r="C23" t="str">
        <f>IF(VLOOKUP($A23,Sheet1!$A:$AA,MATCH(C$1,Sheet1!$A$1:$AA$1,0),FALSE)=0,"",VLOOKUP($A23,Sheet1!$A:$AA,MATCH(C$1,Sheet1!$A$1:$AA$1,0),FALSE))</f>
        <v>Vazquez Ranz</v>
      </c>
      <c r="D23" t="str">
        <f>IF(VLOOKUP($A23,Sheet1!$A:$AA,MATCH(D$1,Sheet1!$A$1:$AA$1,0),FALSE)=0,"",VLOOKUP($A23,Sheet1!$A:$AA,MATCH(D$1,Sheet1!$A$1:$AA$1,0),FALSE))</f>
        <v>Karina</v>
      </c>
      <c r="E23" t="str">
        <f>IF(VLOOKUP($A23,Sheet1!$A:$AA,MATCH(E$1,Sheet1!$A$1:$AA$1,0),FALSE)=0,"",VLOOKUP($A23,Sheet1!$A:$AA,MATCH(E$1,Sheet1!$A$1:$AA$1,0),FALSE))</f>
        <v>Karina Vazquez Ranz</v>
      </c>
      <c r="F23" t="str">
        <f>IF(VLOOKUP($A23,Sheet1!$A:$AA,MATCH(F$1,Sheet1!$A$1:$AA$1,0),FALSE)=0,"",VLOOKUP($A23,Sheet1!$A:$AA,MATCH(F$1,Sheet1!$A$1:$AA$1,0),FALSE))</f>
        <v/>
      </c>
      <c r="G23" t="str">
        <f>IF(VLOOKUP($A23,Sheet1!$A:$AA,MATCH(G$1,Sheet1!$A$1:$AA$1,0),FALSE)=0,"",VLOOKUP($A23,Sheet1!$A:$AA,MATCH(G$1,Sheet1!$A$1:$AA$1,0),FALSE))</f>
        <v/>
      </c>
      <c r="H23" t="str">
        <f>IF(VLOOKUP($A23,Sheet1!$A:$AA,MATCH(H$1,Sheet1!$A$1:$AA$1,0),FALSE)=0,"",VLOOKUP($A23,Sheet1!$A:$AA,MATCH(H$1,Sheet1!$A$1:$AA$1,0),FALSE))</f>
        <v/>
      </c>
      <c r="I23" t="str">
        <f>IF(VLOOKUP($A23,Sheet1!$A:$AA,MATCH(I$1,Sheet1!$A$1:$AA$1,0),FALSE)=0,"",VLOOKUP($A23,Sheet1!$A:$AA,MATCH(I$1,Sheet1!$A$1:$AA$1,0),FALSE))</f>
        <v/>
      </c>
      <c r="J23" t="str">
        <f>IF(VLOOKUP($A23,Sheet1!$A:$AA,MATCH(J$1,Sheet1!$A$1:$AA$1,0),FALSE)=0,"",VLOOKUP($A23,Sheet1!$A:$AA,MATCH(J$1,Sheet1!$A$1:$AA$1,0),FALSE))</f>
        <v/>
      </c>
      <c r="K23" t="str">
        <f>IF(VLOOKUP($A23,Sheet1!$A:$AA,MATCH(K$1,Sheet1!$A$1:$AA$1,0),FALSE)=0,"",VLOOKUP($A23,Sheet1!$A:$AA,MATCH(K$1,Sheet1!$A$1:$AA$1,0),FALSE))</f>
        <v>MADRID</v>
      </c>
      <c r="L23" t="str">
        <f>IF(VLOOKUP($A23,Sheet1!$A:$AA,MATCH(L$1,Sheet1!$A$1:$AA$1,0),FALSE)=0,"",VLOOKUP($A23,Sheet1!$A:$AA,MATCH(L$1,Sheet1!$A$1:$AA$1,0),FALSE))</f>
        <v/>
      </c>
      <c r="M23" t="str">
        <f>IF(VLOOKUP($A23,Sheet1!$A:$AA,MATCH(M$1,Sheet1!$A$1:$AA$1,0),FALSE)=0,"",VLOOKUP($A23,Sheet1!$A:$AA,MATCH(M$1,Sheet1!$A$1:$AA$1,0),FALSE))</f>
        <v/>
      </c>
      <c r="N23" t="str">
        <f>IF(VLOOKUP($A23,Sheet1!$A:$AA,MATCH(N$1,Sheet1!$A$1:$AA$1,0),FALSE)=0,"",VLOOKUP($A23,Sheet1!$A:$AA,MATCH(N$1,Sheet1!$A$1:$AA$1,0),FALSE))</f>
        <v/>
      </c>
      <c r="O23" t="str">
        <f>IF(VLOOKUP($A23,Sheet1!$A:$AA,MATCH(O$1,Sheet1!$A$1:$AA$1,0),FALSE)=0,"",VLOOKUP($A23,Sheet1!$A:$AA,MATCH(O$1,Sheet1!$A$1:$AA$1,0),FALSE))</f>
        <v/>
      </c>
      <c r="P23" t="str">
        <f>IF(VLOOKUP($A23,Sheet1!$A:$AA,MATCH(P$1,Sheet1!$A$1:$AA$1,0),FALSE)=0,"",VLOOKUP($A23,Sheet1!$A:$AA,MATCH(P$1,Sheet1!$A$1:$AA$1,0),FALSE))</f>
        <v/>
      </c>
      <c r="Q23" t="str">
        <f>IF(VLOOKUP($A23,Sheet1!$A:$AA,MATCH(Q$1,Sheet1!$A$1:$AA$1,0),FALSE)=0,"",VLOOKUP($A23,Sheet1!$A:$AA,MATCH(Q$1,Sheet1!$A$1:$AA$1,0),FALSE))</f>
        <v>F</v>
      </c>
      <c r="R23" s="2" t="str">
        <f>IF(VLOOKUP($A23,Sheet1!$A:$AA,MATCH(R$1,Sheet1!$A$1:$AA$1,0),FALSE)=0,"",VLOOKUP($A23,Sheet1!$A:$AA,MATCH(R$1,Sheet1!$A$1:$AA$1,0),FALSE))</f>
        <v/>
      </c>
      <c r="S23" t="str">
        <f>IF(VLOOKUP($A23,Sheet1!$A:$AA,MATCH(S$1,Sheet1!$A$1:$AA$1,0),FALSE)=0,"",VLOOKUP($A23,Sheet1!$A:$AA,MATCH(S$1,Sheet1!$A$1:$AA$1,0),FALSE))</f>
        <v>IF</v>
      </c>
      <c r="T23" t="str">
        <f>IF(VLOOKUP($A23,Sheet1!$A:$AA,MATCH(T$1,Sheet1!$A$1:$AA$1,0),FALSE)=0,"",VLOOKUP($A23,Sheet1!$A:$AA,MATCH(T$1,Sheet1!$A$1:$AA$1,0),FALSE))</f>
        <v>DF</v>
      </c>
      <c r="U23" t="str">
        <f>IF(VLOOKUP($A23,Sheet1!$A:$AA,MATCH(U$1,Sheet1!$A$1:$AA$1,0),FALSE)=0,"",VLOOKUP($A23,Sheet1!$A:$AA,MATCH(U$1,Sheet1!$A$1:$AA$1,0),FALSE))</f>
        <v>DX</v>
      </c>
      <c r="V23" t="str">
        <f>IF(VLOOKUP($A23,Sheet1!$A:$AA,MATCH(V$1,Sheet1!$A$1:$AA$1,0),FALSE)=0,"",VLOOKUP($A23,Sheet1!$A:$AA,MATCH(V$1,Sheet1!$A$1:$AA$1,0),FALSE))</f>
        <v/>
      </c>
      <c r="W23" t="str">
        <f>IF(VLOOKUP($A23,Sheet1!$A:$AA,MATCH(W$1,Sheet1!$A$1:$AA$1,0),FALSE)=0,"",VLOOKUP($A23,Sheet1!$A:$AA,MATCH(W$1,Sheet1!$A$1:$AA$1,0),FALSE))</f>
        <v>5.0</v>
      </c>
      <c r="X23" t="str">
        <f>IF(VLOOKUP($A23,Sheet1!$A:$AA,MATCH(X$1,Sheet1!$A$1:$AA$1,0),FALSE)=0,"",VLOOKUP($A23,Sheet1!$A:$AA,MATCH(X$1,Sheet1!$A$1:$AA$1,0),FALSE))</f>
        <v/>
      </c>
      <c r="Y23" t="str">
        <f>IF(VLOOKUP($A23,Sheet1!$A:$AA,MATCH(Y$1,Sheet1!$A$1:$AA$1,0),FALSE)=0,"",VLOOKUP($A23,Sheet1!$A:$AA,MATCH(Y$1,Sheet1!$A$1:$AA$1,0),FALSE))</f>
        <v>5.0</v>
      </c>
      <c r="Z23" t="str">
        <f>IF(VLOOKUP($A23,Sheet1!$A:$AA,MATCH(Z$1,Sheet1!$A$1:$AA$1,0),FALSE)=0,"",VLOOKUP($A23,Sheet1!$A:$AA,MATCH(Z$1,Sheet1!$A$1:$AA$1,0),FALSE))</f>
        <v/>
      </c>
      <c r="AA23" t="str">
        <f ca="1">IF(VLOOKUP($A23,Sheet1!$A:$AA,MATCH(AA$1,Sheet1!$A$1:$AA$1,0),FALSE)=0,"",VLOOKUP($A23,Sheet1!$A:$AA,MATCH(AA$1,Sheet1!$A$1:$AA$1,0),FALSE))</f>
        <v/>
      </c>
    </row>
    <row r="24" spans="1:27" x14ac:dyDescent="0.25">
      <c r="A24">
        <v>9573397</v>
      </c>
      <c r="B24" t="str">
        <f>IF(VLOOKUP($A24,Sheet1!$A:$AA,MATCH(B$1,Sheet1!$A$1:$AA$1,0),FALSE)=0,"",VLOOKUP($A24,Sheet1!$A:$AA,MATCH(B$1,Sheet1!$A$1:$AA$1,0),FALSE))</f>
        <v>García Álvarez, Alicia</v>
      </c>
      <c r="C24" t="str">
        <f>IF(VLOOKUP($A24,Sheet1!$A:$AA,MATCH(C$1,Sheet1!$A$1:$AA$1,0),FALSE)=0,"",VLOOKUP($A24,Sheet1!$A:$AA,MATCH(C$1,Sheet1!$A$1:$AA$1,0),FALSE))</f>
        <v>García Álvarez</v>
      </c>
      <c r="D24" t="str">
        <f>IF(VLOOKUP($A24,Sheet1!$A:$AA,MATCH(D$1,Sheet1!$A$1:$AA$1,0),FALSE)=0,"",VLOOKUP($A24,Sheet1!$A:$AA,MATCH(D$1,Sheet1!$A$1:$AA$1,0),FALSE))</f>
        <v>Alicia</v>
      </c>
      <c r="E24" t="str">
        <f>IF(VLOOKUP($A24,Sheet1!$A:$AA,MATCH(E$1,Sheet1!$A$1:$AA$1,0),FALSE)=0,"",VLOOKUP($A24,Sheet1!$A:$AA,MATCH(E$1,Sheet1!$A$1:$AA$1,0),FALSE))</f>
        <v>Alicia García Álvarez</v>
      </c>
      <c r="F24" t="str">
        <f>IF(VLOOKUP($A24,Sheet1!$A:$AA,MATCH(F$1,Sheet1!$A$1:$AA$1,0),FALSE)=0,"",VLOOKUP($A24,Sheet1!$A:$AA,MATCH(F$1,Sheet1!$A$1:$AA$1,0),FALSE))</f>
        <v/>
      </c>
      <c r="G24" t="str">
        <f>IF(VLOOKUP($A24,Sheet1!$A:$AA,MATCH(G$1,Sheet1!$A$1:$AA$1,0),FALSE)=0,"",VLOOKUP($A24,Sheet1!$A:$AA,MATCH(G$1,Sheet1!$A$1:$AA$1,0),FALSE))</f>
        <v/>
      </c>
      <c r="H24" t="str">
        <f>IF(VLOOKUP($A24,Sheet1!$A:$AA,MATCH(H$1,Sheet1!$A$1:$AA$1,0),FALSE)=0,"",VLOOKUP($A24,Sheet1!$A:$AA,MATCH(H$1,Sheet1!$A$1:$AA$1,0),FALSE))</f>
        <v/>
      </c>
      <c r="I24" t="str">
        <f>IF(VLOOKUP($A24,Sheet1!$A:$AA,MATCH(I$1,Sheet1!$A$1:$AA$1,0),FALSE)=0,"",VLOOKUP($A24,Sheet1!$A:$AA,MATCH(I$1,Sheet1!$A$1:$AA$1,0),FALSE))</f>
        <v/>
      </c>
      <c r="J24" t="str">
        <f>IF(VLOOKUP($A24,Sheet1!$A:$AA,MATCH(J$1,Sheet1!$A$1:$AA$1,0),FALSE)=0,"",VLOOKUP($A24,Sheet1!$A:$AA,MATCH(J$1,Sheet1!$A$1:$AA$1,0),FALSE))</f>
        <v/>
      </c>
      <c r="K24" t="str">
        <f>IF(VLOOKUP($A24,Sheet1!$A:$AA,MATCH(K$1,Sheet1!$A$1:$AA$1,0),FALSE)=0,"",VLOOKUP($A24,Sheet1!$A:$AA,MATCH(K$1,Sheet1!$A$1:$AA$1,0),FALSE))</f>
        <v>ANDALUCIA</v>
      </c>
      <c r="L24" t="str">
        <f>IF(VLOOKUP($A24,Sheet1!$A:$AA,MATCH(L$1,Sheet1!$A$1:$AA$1,0),FALSE)=0,"",VLOOKUP($A24,Sheet1!$A:$AA,MATCH(L$1,Sheet1!$A$1:$AA$1,0),FALSE))</f>
        <v/>
      </c>
      <c r="M24" t="str">
        <f>IF(VLOOKUP($A24,Sheet1!$A:$AA,MATCH(M$1,Sheet1!$A$1:$AA$1,0),FALSE)=0,"",VLOOKUP($A24,Sheet1!$A:$AA,MATCH(M$1,Sheet1!$A$1:$AA$1,0),FALSE))</f>
        <v/>
      </c>
      <c r="N24" t="str">
        <f>IF(VLOOKUP($A24,Sheet1!$A:$AA,MATCH(N$1,Sheet1!$A$1:$AA$1,0),FALSE)=0,"",VLOOKUP($A24,Sheet1!$A:$AA,MATCH(N$1,Sheet1!$A$1:$AA$1,0),FALSE))</f>
        <v/>
      </c>
      <c r="O24" t="str">
        <f>IF(VLOOKUP($A24,Sheet1!$A:$AA,MATCH(O$1,Sheet1!$A$1:$AA$1,0),FALSE)=0,"",VLOOKUP($A24,Sheet1!$A:$AA,MATCH(O$1,Sheet1!$A$1:$AA$1,0),FALSE))</f>
        <v/>
      </c>
      <c r="P24" t="str">
        <f>IF(VLOOKUP($A24,Sheet1!$A:$AA,MATCH(P$1,Sheet1!$A$1:$AA$1,0),FALSE)=0,"",VLOOKUP($A24,Sheet1!$A:$AA,MATCH(P$1,Sheet1!$A$1:$AA$1,0),FALSE))</f>
        <v/>
      </c>
      <c r="Q24" t="str">
        <f>IF(VLOOKUP($A24,Sheet1!$A:$AA,MATCH(Q$1,Sheet1!$A$1:$AA$1,0),FALSE)=0,"",VLOOKUP($A24,Sheet1!$A:$AA,MATCH(Q$1,Sheet1!$A$1:$AA$1,0),FALSE))</f>
        <v>F</v>
      </c>
      <c r="R24" s="2" t="str">
        <f>IF(VLOOKUP($A24,Sheet1!$A:$AA,MATCH(R$1,Sheet1!$A$1:$AA$1,0),FALSE)=0,"",VLOOKUP($A24,Sheet1!$A:$AA,MATCH(R$1,Sheet1!$A$1:$AA$1,0),FALSE))</f>
        <v/>
      </c>
      <c r="S24" t="str">
        <f>IF(VLOOKUP($A24,Sheet1!$A:$AA,MATCH(S$1,Sheet1!$A$1:$AA$1,0),FALSE)=0,"",VLOOKUP($A24,Sheet1!$A:$AA,MATCH(S$1,Sheet1!$A$1:$AA$1,0),FALSE))</f>
        <v>IF</v>
      </c>
      <c r="T24" t="str">
        <f>IF(VLOOKUP($A24,Sheet1!$A:$AA,MATCH(T$1,Sheet1!$A$1:$AA$1,0),FALSE)=0,"",VLOOKUP($A24,Sheet1!$A:$AA,MATCH(T$1,Sheet1!$A$1:$AA$1,0),FALSE))</f>
        <v>DF</v>
      </c>
      <c r="U24" t="str">
        <f>IF(VLOOKUP($A24,Sheet1!$A:$AA,MATCH(U$1,Sheet1!$A$1:$AA$1,0),FALSE)=0,"",VLOOKUP($A24,Sheet1!$A:$AA,MATCH(U$1,Sheet1!$A$1:$AA$1,0),FALSE))</f>
        <v>DX</v>
      </c>
      <c r="V24" t="str">
        <f>IF(VLOOKUP($A24,Sheet1!$A:$AA,MATCH(V$1,Sheet1!$A$1:$AA$1,0),FALSE)=0,"",VLOOKUP($A24,Sheet1!$A:$AA,MATCH(V$1,Sheet1!$A$1:$AA$1,0),FALSE))</f>
        <v/>
      </c>
      <c r="W24" t="str">
        <f>IF(VLOOKUP($A24,Sheet1!$A:$AA,MATCH(W$1,Sheet1!$A$1:$AA$1,0),FALSE)=0,"",VLOOKUP($A24,Sheet1!$A:$AA,MATCH(W$1,Sheet1!$A$1:$AA$1,0),FALSE))</f>
        <v>4.5</v>
      </c>
      <c r="X24" t="str">
        <f>IF(VLOOKUP($A24,Sheet1!$A:$AA,MATCH(X$1,Sheet1!$A$1:$AA$1,0),FALSE)=0,"",VLOOKUP($A24,Sheet1!$A:$AA,MATCH(X$1,Sheet1!$A$1:$AA$1,0),FALSE))</f>
        <v>4.5</v>
      </c>
      <c r="Y24" t="str">
        <f>IF(VLOOKUP($A24,Sheet1!$A:$AA,MATCH(Y$1,Sheet1!$A$1:$AA$1,0),FALSE)=0,"",VLOOKUP($A24,Sheet1!$A:$AA,MATCH(Y$1,Sheet1!$A$1:$AA$1,0),FALSE))</f>
        <v>4.5</v>
      </c>
      <c r="Z24" t="str">
        <f>IF(VLOOKUP($A24,Sheet1!$A:$AA,MATCH(Z$1,Sheet1!$A$1:$AA$1,0),FALSE)=0,"",VLOOKUP($A24,Sheet1!$A:$AA,MATCH(Z$1,Sheet1!$A$1:$AA$1,0),FALSE))</f>
        <v/>
      </c>
      <c r="AA24" t="str">
        <f ca="1">IF(VLOOKUP($A24,Sheet1!$A:$AA,MATCH(AA$1,Sheet1!$A$1:$AA$1,0),FALSE)=0,"",VLOOKUP($A24,Sheet1!$A:$AA,MATCH(AA$1,Sheet1!$A$1:$AA$1,0),FALSE))</f>
        <v/>
      </c>
    </row>
    <row r="25" spans="1:27" x14ac:dyDescent="0.25">
      <c r="A25">
        <v>16951726</v>
      </c>
      <c r="B25" t="str">
        <f>IF(VLOOKUP($A25,Sheet1!$A:$AA,MATCH(B$1,Sheet1!$A$1:$AA$1,0),FALSE)=0,"",VLOOKUP($A25,Sheet1!$A:$AA,MATCH(B$1,Sheet1!$A$1:$AA$1,0),FALSE))</f>
        <v>Millon Soto, Celia</v>
      </c>
      <c r="C25" t="str">
        <f>IF(VLOOKUP($A25,Sheet1!$A:$AA,MATCH(C$1,Sheet1!$A$1:$AA$1,0),FALSE)=0,"",VLOOKUP($A25,Sheet1!$A:$AA,MATCH(C$1,Sheet1!$A$1:$AA$1,0),FALSE))</f>
        <v>Millon Soto</v>
      </c>
      <c r="D25" t="str">
        <f>IF(VLOOKUP($A25,Sheet1!$A:$AA,MATCH(D$1,Sheet1!$A$1:$AA$1,0),FALSE)=0,"",VLOOKUP($A25,Sheet1!$A:$AA,MATCH(D$1,Sheet1!$A$1:$AA$1,0),FALSE))</f>
        <v>Celia</v>
      </c>
      <c r="E25" t="str">
        <f>IF(VLOOKUP($A25,Sheet1!$A:$AA,MATCH(E$1,Sheet1!$A$1:$AA$1,0),FALSE)=0,"",VLOOKUP($A25,Sheet1!$A:$AA,MATCH(E$1,Sheet1!$A$1:$AA$1,0),FALSE))</f>
        <v>Celia Millon Soto</v>
      </c>
      <c r="F25" t="str">
        <f>IF(VLOOKUP($A25,Sheet1!$A:$AA,MATCH(F$1,Sheet1!$A$1:$AA$1,0),FALSE)=0,"",VLOOKUP($A25,Sheet1!$A:$AA,MATCH(F$1,Sheet1!$A$1:$AA$1,0),FALSE))</f>
        <v/>
      </c>
      <c r="G25" t="str">
        <f>IF(VLOOKUP($A25,Sheet1!$A:$AA,MATCH(G$1,Sheet1!$A$1:$AA$1,0),FALSE)=0,"",VLOOKUP($A25,Sheet1!$A:$AA,MATCH(G$1,Sheet1!$A$1:$AA$1,0),FALSE))</f>
        <v/>
      </c>
      <c r="H25" t="str">
        <f>IF(VLOOKUP($A25,Sheet1!$A:$AA,MATCH(H$1,Sheet1!$A$1:$AA$1,0),FALSE)=0,"",VLOOKUP($A25,Sheet1!$A:$AA,MATCH(H$1,Sheet1!$A$1:$AA$1,0),FALSE))</f>
        <v/>
      </c>
      <c r="I25" t="str">
        <f>IF(VLOOKUP($A25,Sheet1!$A:$AA,MATCH(I$1,Sheet1!$A$1:$AA$1,0),FALSE)=0,"",VLOOKUP($A25,Sheet1!$A:$AA,MATCH(I$1,Sheet1!$A$1:$AA$1,0),FALSE))</f>
        <v/>
      </c>
      <c r="J25" t="str">
        <f>IF(VLOOKUP($A25,Sheet1!$A:$AA,MATCH(J$1,Sheet1!$A$1:$AA$1,0),FALSE)=0,"",VLOOKUP($A25,Sheet1!$A:$AA,MATCH(J$1,Sheet1!$A$1:$AA$1,0),FALSE))</f>
        <v/>
      </c>
      <c r="K25" t="str">
        <f>IF(VLOOKUP($A25,Sheet1!$A:$AA,MATCH(K$1,Sheet1!$A$1:$AA$1,0),FALSE)=0,"",VLOOKUP($A25,Sheet1!$A:$AA,MATCH(K$1,Sheet1!$A$1:$AA$1,0),FALSE))</f>
        <v>ANDALUCIA</v>
      </c>
      <c r="L25" t="str">
        <f>IF(VLOOKUP($A25,Sheet1!$A:$AA,MATCH(L$1,Sheet1!$A$1:$AA$1,0),FALSE)=0,"",VLOOKUP($A25,Sheet1!$A:$AA,MATCH(L$1,Sheet1!$A$1:$AA$1,0),FALSE))</f>
        <v/>
      </c>
      <c r="M25" t="str">
        <f>IF(VLOOKUP($A25,Sheet1!$A:$AA,MATCH(M$1,Sheet1!$A$1:$AA$1,0),FALSE)=0,"",VLOOKUP($A25,Sheet1!$A:$AA,MATCH(M$1,Sheet1!$A$1:$AA$1,0),FALSE))</f>
        <v/>
      </c>
      <c r="N25" t="str">
        <f>IF(VLOOKUP($A25,Sheet1!$A:$AA,MATCH(N$1,Sheet1!$A$1:$AA$1,0),FALSE)=0,"",VLOOKUP($A25,Sheet1!$A:$AA,MATCH(N$1,Sheet1!$A$1:$AA$1,0),FALSE))</f>
        <v/>
      </c>
      <c r="O25" t="str">
        <f>IF(VLOOKUP($A25,Sheet1!$A:$AA,MATCH(O$1,Sheet1!$A$1:$AA$1,0),FALSE)=0,"",VLOOKUP($A25,Sheet1!$A:$AA,MATCH(O$1,Sheet1!$A$1:$AA$1,0),FALSE))</f>
        <v/>
      </c>
      <c r="P25" t="str">
        <f>IF(VLOOKUP($A25,Sheet1!$A:$AA,MATCH(P$1,Sheet1!$A$1:$AA$1,0),FALSE)=0,"",VLOOKUP($A25,Sheet1!$A:$AA,MATCH(P$1,Sheet1!$A$1:$AA$1,0),FALSE))</f>
        <v/>
      </c>
      <c r="Q25" t="str">
        <f>IF(VLOOKUP($A25,Sheet1!$A:$AA,MATCH(Q$1,Sheet1!$A$1:$AA$1,0),FALSE)=0,"",VLOOKUP($A25,Sheet1!$A:$AA,MATCH(Q$1,Sheet1!$A$1:$AA$1,0),FALSE))</f>
        <v>F</v>
      </c>
      <c r="R25" s="2" t="str">
        <f>IF(VLOOKUP($A25,Sheet1!$A:$AA,MATCH(R$1,Sheet1!$A$1:$AA$1,0),FALSE)=0,"",VLOOKUP($A25,Sheet1!$A:$AA,MATCH(R$1,Sheet1!$A$1:$AA$1,0),FALSE))</f>
        <v/>
      </c>
      <c r="S25" t="str">
        <f>IF(VLOOKUP($A25,Sheet1!$A:$AA,MATCH(S$1,Sheet1!$A$1:$AA$1,0),FALSE)=0,"",VLOOKUP($A25,Sheet1!$A:$AA,MATCH(S$1,Sheet1!$A$1:$AA$1,0),FALSE))</f>
        <v>IF</v>
      </c>
      <c r="T25" t="str">
        <f>IF(VLOOKUP($A25,Sheet1!$A:$AA,MATCH(T$1,Sheet1!$A$1:$AA$1,0),FALSE)=0,"",VLOOKUP($A25,Sheet1!$A:$AA,MATCH(T$1,Sheet1!$A$1:$AA$1,0),FALSE))</f>
        <v>DF</v>
      </c>
      <c r="U25" t="str">
        <f>IF(VLOOKUP($A25,Sheet1!$A:$AA,MATCH(U$1,Sheet1!$A$1:$AA$1,0),FALSE)=0,"",VLOOKUP($A25,Sheet1!$A:$AA,MATCH(U$1,Sheet1!$A$1:$AA$1,0),FALSE))</f>
        <v>DX</v>
      </c>
      <c r="V25" t="str">
        <f>IF(VLOOKUP($A25,Sheet1!$A:$AA,MATCH(V$1,Sheet1!$A$1:$AA$1,0),FALSE)=0,"",VLOOKUP($A25,Sheet1!$A:$AA,MATCH(V$1,Sheet1!$A$1:$AA$1,0),FALSE))</f>
        <v/>
      </c>
      <c r="W25" t="str">
        <f>IF(VLOOKUP($A25,Sheet1!$A:$AA,MATCH(W$1,Sheet1!$A$1:$AA$1,0),FALSE)=0,"",VLOOKUP($A25,Sheet1!$A:$AA,MATCH(W$1,Sheet1!$A$1:$AA$1,0),FALSE))</f>
        <v>4.5</v>
      </c>
      <c r="X25" t="str">
        <f>IF(VLOOKUP($A25,Sheet1!$A:$AA,MATCH(X$1,Sheet1!$A$1:$AA$1,0),FALSE)=0,"",VLOOKUP($A25,Sheet1!$A:$AA,MATCH(X$1,Sheet1!$A$1:$AA$1,0),FALSE))</f>
        <v>4.5</v>
      </c>
      <c r="Y25" t="str">
        <f>IF(VLOOKUP($A25,Sheet1!$A:$AA,MATCH(Y$1,Sheet1!$A$1:$AA$1,0),FALSE)=0,"",VLOOKUP($A25,Sheet1!$A:$AA,MATCH(Y$1,Sheet1!$A$1:$AA$1,0),FALSE))</f>
        <v>4.5</v>
      </c>
      <c r="Z25" t="str">
        <f>IF(VLOOKUP($A25,Sheet1!$A:$AA,MATCH(Z$1,Sheet1!$A$1:$AA$1,0),FALSE)=0,"",VLOOKUP($A25,Sheet1!$A:$AA,MATCH(Z$1,Sheet1!$A$1:$AA$1,0),FALSE))</f>
        <v/>
      </c>
      <c r="AA25" t="str">
        <f ca="1">IF(VLOOKUP($A25,Sheet1!$A:$AA,MATCH(AA$1,Sheet1!$A$1:$AA$1,0),FALSE)=0,"",VLOOKUP($A25,Sheet1!$A:$AA,MATCH(AA$1,Sheet1!$A$1:$AA$1,0),FALSE))</f>
        <v/>
      </c>
    </row>
    <row r="26" spans="1:27" x14ac:dyDescent="0.25">
      <c r="A26">
        <v>11855163</v>
      </c>
      <c r="B26" t="str">
        <f>IF(VLOOKUP($A26,Sheet1!$A:$AA,MATCH(B$1,Sheet1!$A$1:$AA$1,0),FALSE)=0,"",VLOOKUP($A26,Sheet1!$A:$AA,MATCH(B$1,Sheet1!$A$1:$AA$1,0),FALSE))</f>
        <v>Serrano Lopez, Katherine Vanessa</v>
      </c>
      <c r="C26" t="str">
        <f>IF(VLOOKUP($A26,Sheet1!$A:$AA,MATCH(C$1,Sheet1!$A$1:$AA$1,0),FALSE)=0,"",VLOOKUP($A26,Sheet1!$A:$AA,MATCH(C$1,Sheet1!$A$1:$AA$1,0),FALSE))</f>
        <v>Serrano Lopez</v>
      </c>
      <c r="D26" t="str">
        <f>IF(VLOOKUP($A26,Sheet1!$A:$AA,MATCH(D$1,Sheet1!$A$1:$AA$1,0),FALSE)=0,"",VLOOKUP($A26,Sheet1!$A:$AA,MATCH(D$1,Sheet1!$A$1:$AA$1,0),FALSE))</f>
        <v>Katherine Vanessa</v>
      </c>
      <c r="E26" t="str">
        <f>IF(VLOOKUP($A26,Sheet1!$A:$AA,MATCH(E$1,Sheet1!$A$1:$AA$1,0),FALSE)=0,"",VLOOKUP($A26,Sheet1!$A:$AA,MATCH(E$1,Sheet1!$A$1:$AA$1,0),FALSE))</f>
        <v>Katherine Vanessa Serrano Lopez</v>
      </c>
      <c r="F26" t="str">
        <f>IF(VLOOKUP($A26,Sheet1!$A:$AA,MATCH(F$1,Sheet1!$A$1:$AA$1,0),FALSE)=0,"",VLOOKUP($A26,Sheet1!$A:$AA,MATCH(F$1,Sheet1!$A$1:$AA$1,0),FALSE))</f>
        <v/>
      </c>
      <c r="G26" t="str">
        <f>IF(VLOOKUP($A26,Sheet1!$A:$AA,MATCH(G$1,Sheet1!$A$1:$AA$1,0),FALSE)=0,"",VLOOKUP($A26,Sheet1!$A:$AA,MATCH(G$1,Sheet1!$A$1:$AA$1,0),FALSE))</f>
        <v/>
      </c>
      <c r="H26" t="str">
        <f>IF(VLOOKUP($A26,Sheet1!$A:$AA,MATCH(H$1,Sheet1!$A$1:$AA$1,0),FALSE)=0,"",VLOOKUP($A26,Sheet1!$A:$AA,MATCH(H$1,Sheet1!$A$1:$AA$1,0),FALSE))</f>
        <v/>
      </c>
      <c r="I26" t="str">
        <f>IF(VLOOKUP($A26,Sheet1!$A:$AA,MATCH(I$1,Sheet1!$A$1:$AA$1,0),FALSE)=0,"",VLOOKUP($A26,Sheet1!$A:$AA,MATCH(I$1,Sheet1!$A$1:$AA$1,0),FALSE))</f>
        <v/>
      </c>
      <c r="J26" t="str">
        <f>IF(VLOOKUP($A26,Sheet1!$A:$AA,MATCH(J$1,Sheet1!$A$1:$AA$1,0),FALSE)=0,"",VLOOKUP($A26,Sheet1!$A:$AA,MATCH(J$1,Sheet1!$A$1:$AA$1,0),FALSE))</f>
        <v/>
      </c>
      <c r="K26" t="str">
        <f>IF(VLOOKUP($A26,Sheet1!$A:$AA,MATCH(K$1,Sheet1!$A$1:$AA$1,0),FALSE)=0,"",VLOOKUP($A26,Sheet1!$A:$AA,MATCH(K$1,Sheet1!$A$1:$AA$1,0),FALSE))</f>
        <v>CATALUÑA</v>
      </c>
      <c r="L26" t="str">
        <f>IF(VLOOKUP($A26,Sheet1!$A:$AA,MATCH(L$1,Sheet1!$A$1:$AA$1,0),FALSE)=0,"",VLOOKUP($A26,Sheet1!$A:$AA,MATCH(L$1,Sheet1!$A$1:$AA$1,0),FALSE))</f>
        <v/>
      </c>
      <c r="M26" t="str">
        <f>IF(VLOOKUP($A26,Sheet1!$A:$AA,MATCH(M$1,Sheet1!$A$1:$AA$1,0),FALSE)=0,"",VLOOKUP($A26,Sheet1!$A:$AA,MATCH(M$1,Sheet1!$A$1:$AA$1,0),FALSE))</f>
        <v/>
      </c>
      <c r="N26" t="str">
        <f>IF(VLOOKUP($A26,Sheet1!$A:$AA,MATCH(N$1,Sheet1!$A$1:$AA$1,0),FALSE)=0,"",VLOOKUP($A26,Sheet1!$A:$AA,MATCH(N$1,Sheet1!$A$1:$AA$1,0),FALSE))</f>
        <v/>
      </c>
      <c r="O26" t="str">
        <f>IF(VLOOKUP($A26,Sheet1!$A:$AA,MATCH(O$1,Sheet1!$A$1:$AA$1,0),FALSE)=0,"",VLOOKUP($A26,Sheet1!$A:$AA,MATCH(O$1,Sheet1!$A$1:$AA$1,0),FALSE))</f>
        <v/>
      </c>
      <c r="P26" t="str">
        <f>IF(VLOOKUP($A26,Sheet1!$A:$AA,MATCH(P$1,Sheet1!$A$1:$AA$1,0),FALSE)=0,"",VLOOKUP($A26,Sheet1!$A:$AA,MATCH(P$1,Sheet1!$A$1:$AA$1,0),FALSE))</f>
        <v/>
      </c>
      <c r="Q26" t="str">
        <f>IF(VLOOKUP($A26,Sheet1!$A:$AA,MATCH(Q$1,Sheet1!$A$1:$AA$1,0),FALSE)=0,"",VLOOKUP($A26,Sheet1!$A:$AA,MATCH(Q$1,Sheet1!$A$1:$AA$1,0),FALSE))</f>
        <v>F</v>
      </c>
      <c r="R26" s="2" t="str">
        <f>IF(VLOOKUP($A26,Sheet1!$A:$AA,MATCH(R$1,Sheet1!$A$1:$AA$1,0),FALSE)=0,"",VLOOKUP($A26,Sheet1!$A:$AA,MATCH(R$1,Sheet1!$A$1:$AA$1,0),FALSE))</f>
        <v/>
      </c>
      <c r="S26" t="str">
        <f>IF(VLOOKUP($A26,Sheet1!$A:$AA,MATCH(S$1,Sheet1!$A$1:$AA$1,0),FALSE)=0,"",VLOOKUP($A26,Sheet1!$A:$AA,MATCH(S$1,Sheet1!$A$1:$AA$1,0),FALSE))</f>
        <v>IF</v>
      </c>
      <c r="T26" t="str">
        <f>IF(VLOOKUP($A26,Sheet1!$A:$AA,MATCH(T$1,Sheet1!$A$1:$AA$1,0),FALSE)=0,"",VLOOKUP($A26,Sheet1!$A:$AA,MATCH(T$1,Sheet1!$A$1:$AA$1,0),FALSE))</f>
        <v>DF</v>
      </c>
      <c r="U26" t="str">
        <f>IF(VLOOKUP($A26,Sheet1!$A:$AA,MATCH(U$1,Sheet1!$A$1:$AA$1,0),FALSE)=0,"",VLOOKUP($A26,Sheet1!$A:$AA,MATCH(U$1,Sheet1!$A$1:$AA$1,0),FALSE))</f>
        <v>DX</v>
      </c>
      <c r="V26" t="str">
        <f>IF(VLOOKUP($A26,Sheet1!$A:$AA,MATCH(V$1,Sheet1!$A$1:$AA$1,0),FALSE)=0,"",VLOOKUP($A26,Sheet1!$A:$AA,MATCH(V$1,Sheet1!$A$1:$AA$1,0),FALSE))</f>
        <v/>
      </c>
      <c r="W26" t="str">
        <f>IF(VLOOKUP($A26,Sheet1!$A:$AA,MATCH(W$1,Sheet1!$A$1:$AA$1,0),FALSE)=0,"",VLOOKUP($A26,Sheet1!$A:$AA,MATCH(W$1,Sheet1!$A$1:$AA$1,0),FALSE))</f>
        <v>4.5</v>
      </c>
      <c r="X26" t="str">
        <f>IF(VLOOKUP($A26,Sheet1!$A:$AA,MATCH(X$1,Sheet1!$A$1:$AA$1,0),FALSE)=0,"",VLOOKUP($A26,Sheet1!$A:$AA,MATCH(X$1,Sheet1!$A$1:$AA$1,0),FALSE))</f>
        <v>4.5</v>
      </c>
      <c r="Y26" t="str">
        <f>IF(VLOOKUP($A26,Sheet1!$A:$AA,MATCH(Y$1,Sheet1!$A$1:$AA$1,0),FALSE)=0,"",VLOOKUP($A26,Sheet1!$A:$AA,MATCH(Y$1,Sheet1!$A$1:$AA$1,0),FALSE))</f>
        <v>4.5</v>
      </c>
      <c r="Z26" t="str">
        <f>IF(VLOOKUP($A26,Sheet1!$A:$AA,MATCH(Z$1,Sheet1!$A$1:$AA$1,0),FALSE)=0,"",VLOOKUP($A26,Sheet1!$A:$AA,MATCH(Z$1,Sheet1!$A$1:$AA$1,0),FALSE))</f>
        <v/>
      </c>
      <c r="AA26" t="str">
        <f ca="1">IF(VLOOKUP($A26,Sheet1!$A:$AA,MATCH(AA$1,Sheet1!$A$1:$AA$1,0),FALSE)=0,"",VLOOKUP($A26,Sheet1!$A:$AA,MATCH(AA$1,Sheet1!$A$1:$AA$1,0),FALSE))</f>
        <v/>
      </c>
    </row>
    <row r="27" spans="1:27" x14ac:dyDescent="0.25">
      <c r="A27">
        <v>10768804</v>
      </c>
      <c r="B27" t="str">
        <f>IF(VLOOKUP($A27,Sheet1!$A:$AA,MATCH(B$1,Sheet1!$A$1:$AA$1,0),FALSE)=0,"",VLOOKUP($A27,Sheet1!$A:$AA,MATCH(B$1,Sheet1!$A$1:$AA$1,0),FALSE))</f>
        <v>De Miguel Gonzalez, Maria</v>
      </c>
      <c r="C27" t="str">
        <f>IF(VLOOKUP($A27,Sheet1!$A:$AA,MATCH(C$1,Sheet1!$A$1:$AA$1,0),FALSE)=0,"",VLOOKUP($A27,Sheet1!$A:$AA,MATCH(C$1,Sheet1!$A$1:$AA$1,0),FALSE))</f>
        <v>De Miguel Gonzalez</v>
      </c>
      <c r="D27" t="str">
        <f>IF(VLOOKUP($A27,Sheet1!$A:$AA,MATCH(D$1,Sheet1!$A$1:$AA$1,0),FALSE)=0,"",VLOOKUP($A27,Sheet1!$A:$AA,MATCH(D$1,Sheet1!$A$1:$AA$1,0),FALSE))</f>
        <v>Maria</v>
      </c>
      <c r="E27" t="str">
        <f>IF(VLOOKUP($A27,Sheet1!$A:$AA,MATCH(E$1,Sheet1!$A$1:$AA$1,0),FALSE)=0,"",VLOOKUP($A27,Sheet1!$A:$AA,MATCH(E$1,Sheet1!$A$1:$AA$1,0),FALSE))</f>
        <v>Maria De Miguel Gonzalez</v>
      </c>
      <c r="F27" t="str">
        <f>IF(VLOOKUP($A27,Sheet1!$A:$AA,MATCH(F$1,Sheet1!$A$1:$AA$1,0),FALSE)=0,"",VLOOKUP($A27,Sheet1!$A:$AA,MATCH(F$1,Sheet1!$A$1:$AA$1,0),FALSE))</f>
        <v/>
      </c>
      <c r="G27" t="str">
        <f>IF(VLOOKUP($A27,Sheet1!$A:$AA,MATCH(G$1,Sheet1!$A$1:$AA$1,0),FALSE)=0,"",VLOOKUP($A27,Sheet1!$A:$AA,MATCH(G$1,Sheet1!$A$1:$AA$1,0),FALSE))</f>
        <v/>
      </c>
      <c r="H27" t="str">
        <f>IF(VLOOKUP($A27,Sheet1!$A:$AA,MATCH(H$1,Sheet1!$A$1:$AA$1,0),FALSE)=0,"",VLOOKUP($A27,Sheet1!$A:$AA,MATCH(H$1,Sheet1!$A$1:$AA$1,0),FALSE))</f>
        <v/>
      </c>
      <c r="I27" t="str">
        <f>IF(VLOOKUP($A27,Sheet1!$A:$AA,MATCH(I$1,Sheet1!$A$1:$AA$1,0),FALSE)=0,"",VLOOKUP($A27,Sheet1!$A:$AA,MATCH(I$1,Sheet1!$A$1:$AA$1,0),FALSE))</f>
        <v/>
      </c>
      <c r="J27" t="str">
        <f>IF(VLOOKUP($A27,Sheet1!$A:$AA,MATCH(J$1,Sheet1!$A$1:$AA$1,0),FALSE)=0,"",VLOOKUP($A27,Sheet1!$A:$AA,MATCH(J$1,Sheet1!$A$1:$AA$1,0),FALSE))</f>
        <v/>
      </c>
      <c r="K27" t="str">
        <f>IF(VLOOKUP($A27,Sheet1!$A:$AA,MATCH(K$1,Sheet1!$A$1:$AA$1,0),FALSE)=0,"",VLOOKUP($A27,Sheet1!$A:$AA,MATCH(K$1,Sheet1!$A$1:$AA$1,0),FALSE))</f>
        <v>MADRID</v>
      </c>
      <c r="L27" t="str">
        <f>IF(VLOOKUP($A27,Sheet1!$A:$AA,MATCH(L$1,Sheet1!$A$1:$AA$1,0),FALSE)=0,"",VLOOKUP($A27,Sheet1!$A:$AA,MATCH(L$1,Sheet1!$A$1:$AA$1,0),FALSE))</f>
        <v/>
      </c>
      <c r="M27" t="str">
        <f>IF(VLOOKUP($A27,Sheet1!$A:$AA,MATCH(M$1,Sheet1!$A$1:$AA$1,0),FALSE)=0,"",VLOOKUP($A27,Sheet1!$A:$AA,MATCH(M$1,Sheet1!$A$1:$AA$1,0),FALSE))</f>
        <v/>
      </c>
      <c r="N27" t="str">
        <f>IF(VLOOKUP($A27,Sheet1!$A:$AA,MATCH(N$1,Sheet1!$A$1:$AA$1,0),FALSE)=0,"",VLOOKUP($A27,Sheet1!$A:$AA,MATCH(N$1,Sheet1!$A$1:$AA$1,0),FALSE))</f>
        <v/>
      </c>
      <c r="O27" t="str">
        <f>IF(VLOOKUP($A27,Sheet1!$A:$AA,MATCH(O$1,Sheet1!$A$1:$AA$1,0),FALSE)=0,"",VLOOKUP($A27,Sheet1!$A:$AA,MATCH(O$1,Sheet1!$A$1:$AA$1,0),FALSE))</f>
        <v/>
      </c>
      <c r="P27" t="str">
        <f>IF(VLOOKUP($A27,Sheet1!$A:$AA,MATCH(P$1,Sheet1!$A$1:$AA$1,0),FALSE)=0,"",VLOOKUP($A27,Sheet1!$A:$AA,MATCH(P$1,Sheet1!$A$1:$AA$1,0),FALSE))</f>
        <v/>
      </c>
      <c r="Q27" t="str">
        <f>IF(VLOOKUP($A27,Sheet1!$A:$AA,MATCH(Q$1,Sheet1!$A$1:$AA$1,0),FALSE)=0,"",VLOOKUP($A27,Sheet1!$A:$AA,MATCH(Q$1,Sheet1!$A$1:$AA$1,0),FALSE))</f>
        <v>F</v>
      </c>
      <c r="R27" s="2">
        <f>IF(VLOOKUP($A27,Sheet1!$A:$AA,MATCH(R$1,Sheet1!$A$1:$AA$1,0),FALSE)=0,"",VLOOKUP($A27,Sheet1!$A:$AA,MATCH(R$1,Sheet1!$A$1:$AA$1,0),FALSE))</f>
        <v>31433</v>
      </c>
      <c r="S27" t="str">
        <f>IF(VLOOKUP($A27,Sheet1!$A:$AA,MATCH(S$1,Sheet1!$A$1:$AA$1,0),FALSE)=0,"",VLOOKUP($A27,Sheet1!$A:$AA,MATCH(S$1,Sheet1!$A$1:$AA$1,0),FALSE))</f>
        <v>IF</v>
      </c>
      <c r="T27" t="str">
        <f>IF(VLOOKUP($A27,Sheet1!$A:$AA,MATCH(T$1,Sheet1!$A$1:$AA$1,0),FALSE)=0,"",VLOOKUP($A27,Sheet1!$A:$AA,MATCH(T$1,Sheet1!$A$1:$AA$1,0),FALSE))</f>
        <v>DF</v>
      </c>
      <c r="U27" t="str">
        <f>IF(VLOOKUP($A27,Sheet1!$A:$AA,MATCH(U$1,Sheet1!$A$1:$AA$1,0),FALSE)=0,"",VLOOKUP($A27,Sheet1!$A:$AA,MATCH(U$1,Sheet1!$A$1:$AA$1,0),FALSE))</f>
        <v/>
      </c>
      <c r="V27" t="str">
        <f>IF(VLOOKUP($A27,Sheet1!$A:$AA,MATCH(V$1,Sheet1!$A$1:$AA$1,0),FALSE)=0,"",VLOOKUP($A27,Sheet1!$A:$AA,MATCH(V$1,Sheet1!$A$1:$AA$1,0),FALSE))</f>
        <v/>
      </c>
      <c r="W27" t="str">
        <f>IF(VLOOKUP($A27,Sheet1!$A:$AA,MATCH(W$1,Sheet1!$A$1:$AA$1,0),FALSE)=0,"",VLOOKUP($A27,Sheet1!$A:$AA,MATCH(W$1,Sheet1!$A$1:$AA$1,0),FALSE))</f>
        <v>4.5</v>
      </c>
      <c r="X27" t="str">
        <f>IF(VLOOKUP($A27,Sheet1!$A:$AA,MATCH(X$1,Sheet1!$A$1:$AA$1,0),FALSE)=0,"",VLOOKUP($A27,Sheet1!$A:$AA,MATCH(X$1,Sheet1!$A$1:$AA$1,0),FALSE))</f>
        <v/>
      </c>
      <c r="Y27" t="str">
        <f>IF(VLOOKUP($A27,Sheet1!$A:$AA,MATCH(Y$1,Sheet1!$A$1:$AA$1,0),FALSE)=0,"",VLOOKUP($A27,Sheet1!$A:$AA,MATCH(Y$1,Sheet1!$A$1:$AA$1,0),FALSE))</f>
        <v/>
      </c>
      <c r="Z27" t="str">
        <f>IF(VLOOKUP($A27,Sheet1!$A:$AA,MATCH(Z$1,Sheet1!$A$1:$AA$1,0),FALSE)=0,"",VLOOKUP($A27,Sheet1!$A:$AA,MATCH(Z$1,Sheet1!$A$1:$AA$1,0),FALSE))</f>
        <v/>
      </c>
      <c r="AA27">
        <f ca="1">IF(VLOOKUP($A27,Sheet1!$A:$AA,MATCH(AA$1,Sheet1!$A$1:$AA$1,0),FALSE)=0,"",VLOOKUP($A27,Sheet1!$A:$AA,MATCH(AA$1,Sheet1!$A$1:$AA$1,0),FALSE))</f>
        <v>38</v>
      </c>
    </row>
    <row r="28" spans="1:27" x14ac:dyDescent="0.25">
      <c r="A28">
        <v>10767418</v>
      </c>
      <c r="B28" t="str">
        <f>IF(VLOOKUP($A28,Sheet1!$A:$AA,MATCH(B$1,Sheet1!$A$1:$AA$1,0),FALSE)=0,"",VLOOKUP($A28,Sheet1!$A:$AA,MATCH(B$1,Sheet1!$A$1:$AA$1,0),FALSE))</f>
        <v>Bitaine , Alex</v>
      </c>
      <c r="C28" t="str">
        <f>IF(VLOOKUP($A28,Sheet1!$A:$AA,MATCH(C$1,Sheet1!$A$1:$AA$1,0),FALSE)=0,"",VLOOKUP($A28,Sheet1!$A:$AA,MATCH(C$1,Sheet1!$A$1:$AA$1,0),FALSE))</f>
        <v xml:space="preserve">Bitaine </v>
      </c>
      <c r="D28" t="str">
        <f>IF(VLOOKUP($A28,Sheet1!$A:$AA,MATCH(D$1,Sheet1!$A$1:$AA$1,0),FALSE)=0,"",VLOOKUP($A28,Sheet1!$A:$AA,MATCH(D$1,Sheet1!$A$1:$AA$1,0),FALSE))</f>
        <v>Alex</v>
      </c>
      <c r="E28" t="str">
        <f>IF(VLOOKUP($A28,Sheet1!$A:$AA,MATCH(E$1,Sheet1!$A$1:$AA$1,0),FALSE)=0,"",VLOOKUP($A28,Sheet1!$A:$AA,MATCH(E$1,Sheet1!$A$1:$AA$1,0),FALSE))</f>
        <v xml:space="preserve">Alex Bitaine </v>
      </c>
      <c r="F28" t="str">
        <f>IF(VLOOKUP($A28,Sheet1!$A:$AA,MATCH(F$1,Sheet1!$A$1:$AA$1,0),FALSE)=0,"",VLOOKUP($A28,Sheet1!$A:$AA,MATCH(F$1,Sheet1!$A$1:$AA$1,0),FALSE))</f>
        <v/>
      </c>
      <c r="G28" t="str">
        <f>IF(VLOOKUP($A28,Sheet1!$A:$AA,MATCH(G$1,Sheet1!$A$1:$AA$1,0),FALSE)=0,"",VLOOKUP($A28,Sheet1!$A:$AA,MATCH(G$1,Sheet1!$A$1:$AA$1,0),FALSE))</f>
        <v/>
      </c>
      <c r="H28" t="str">
        <f>IF(VLOOKUP($A28,Sheet1!$A:$AA,MATCH(H$1,Sheet1!$A$1:$AA$1,0),FALSE)=0,"",VLOOKUP($A28,Sheet1!$A:$AA,MATCH(H$1,Sheet1!$A$1:$AA$1,0),FALSE))</f>
        <v/>
      </c>
      <c r="I28" t="str">
        <f>IF(VLOOKUP($A28,Sheet1!$A:$AA,MATCH(I$1,Sheet1!$A$1:$AA$1,0),FALSE)=0,"",VLOOKUP($A28,Sheet1!$A:$AA,MATCH(I$1,Sheet1!$A$1:$AA$1,0),FALSE))</f>
        <v/>
      </c>
      <c r="J28" t="str">
        <f>IF(VLOOKUP($A28,Sheet1!$A:$AA,MATCH(J$1,Sheet1!$A$1:$AA$1,0),FALSE)=0,"",VLOOKUP($A28,Sheet1!$A:$AA,MATCH(J$1,Sheet1!$A$1:$AA$1,0),FALSE))</f>
        <v/>
      </c>
      <c r="K28" t="str">
        <f>IF(VLOOKUP($A28,Sheet1!$A:$AA,MATCH(K$1,Sheet1!$A$1:$AA$1,0),FALSE)=0,"",VLOOKUP($A28,Sheet1!$A:$AA,MATCH(K$1,Sheet1!$A$1:$AA$1,0),FALSE))</f>
        <v>MADRID</v>
      </c>
      <c r="L28" t="str">
        <f>IF(VLOOKUP($A28,Sheet1!$A:$AA,MATCH(L$1,Sheet1!$A$1:$AA$1,0),FALSE)=0,"",VLOOKUP($A28,Sheet1!$A:$AA,MATCH(L$1,Sheet1!$A$1:$AA$1,0),FALSE))</f>
        <v/>
      </c>
      <c r="M28" t="str">
        <f>IF(VLOOKUP($A28,Sheet1!$A:$AA,MATCH(M$1,Sheet1!$A$1:$AA$1,0),FALSE)=0,"",VLOOKUP($A28,Sheet1!$A:$AA,MATCH(M$1,Sheet1!$A$1:$AA$1,0),FALSE))</f>
        <v/>
      </c>
      <c r="N28" t="str">
        <f>IF(VLOOKUP($A28,Sheet1!$A:$AA,MATCH(N$1,Sheet1!$A$1:$AA$1,0),FALSE)=0,"",VLOOKUP($A28,Sheet1!$A:$AA,MATCH(N$1,Sheet1!$A$1:$AA$1,0),FALSE))</f>
        <v/>
      </c>
      <c r="O28" t="str">
        <f>IF(VLOOKUP($A28,Sheet1!$A:$AA,MATCH(O$1,Sheet1!$A$1:$AA$1,0),FALSE)=0,"",VLOOKUP($A28,Sheet1!$A:$AA,MATCH(O$1,Sheet1!$A$1:$AA$1,0),FALSE))</f>
        <v/>
      </c>
      <c r="P28" t="str">
        <f>IF(VLOOKUP($A28,Sheet1!$A:$AA,MATCH(P$1,Sheet1!$A$1:$AA$1,0),FALSE)=0,"",VLOOKUP($A28,Sheet1!$A:$AA,MATCH(P$1,Sheet1!$A$1:$AA$1,0),FALSE))</f>
        <v/>
      </c>
      <c r="Q28" t="str">
        <f>IF(VLOOKUP($A28,Sheet1!$A:$AA,MATCH(Q$1,Sheet1!$A$1:$AA$1,0),FALSE)=0,"",VLOOKUP($A28,Sheet1!$A:$AA,MATCH(Q$1,Sheet1!$A$1:$AA$1,0),FALSE))</f>
        <v>F</v>
      </c>
      <c r="R28" s="2" t="str">
        <f>IF(VLOOKUP($A28,Sheet1!$A:$AA,MATCH(R$1,Sheet1!$A$1:$AA$1,0),FALSE)=0,"",VLOOKUP($A28,Sheet1!$A:$AA,MATCH(R$1,Sheet1!$A$1:$AA$1,0),FALSE))</f>
        <v/>
      </c>
      <c r="S28" t="str">
        <f>IF(VLOOKUP($A28,Sheet1!$A:$AA,MATCH(S$1,Sheet1!$A$1:$AA$1,0),FALSE)=0,"",VLOOKUP($A28,Sheet1!$A:$AA,MATCH(S$1,Sheet1!$A$1:$AA$1,0),FALSE))</f>
        <v>IF</v>
      </c>
      <c r="T28" t="str">
        <f>IF(VLOOKUP($A28,Sheet1!$A:$AA,MATCH(T$1,Sheet1!$A$1:$AA$1,0),FALSE)=0,"",VLOOKUP($A28,Sheet1!$A:$AA,MATCH(T$1,Sheet1!$A$1:$AA$1,0),FALSE))</f>
        <v>DF</v>
      </c>
      <c r="U28" t="str">
        <f>IF(VLOOKUP($A28,Sheet1!$A:$AA,MATCH(U$1,Sheet1!$A$1:$AA$1,0),FALSE)=0,"",VLOOKUP($A28,Sheet1!$A:$AA,MATCH(U$1,Sheet1!$A$1:$AA$1,0),FALSE))</f>
        <v>DX</v>
      </c>
      <c r="V28" t="str">
        <f>IF(VLOOKUP($A28,Sheet1!$A:$AA,MATCH(V$1,Sheet1!$A$1:$AA$1,0),FALSE)=0,"",VLOOKUP($A28,Sheet1!$A:$AA,MATCH(V$1,Sheet1!$A$1:$AA$1,0),FALSE))</f>
        <v/>
      </c>
      <c r="W28" t="str">
        <f>IF(VLOOKUP($A28,Sheet1!$A:$AA,MATCH(W$1,Sheet1!$A$1:$AA$1,0),FALSE)=0,"",VLOOKUP($A28,Sheet1!$A:$AA,MATCH(W$1,Sheet1!$A$1:$AA$1,0),FALSE))</f>
        <v>4.5</v>
      </c>
      <c r="X28" t="str">
        <f>IF(VLOOKUP($A28,Sheet1!$A:$AA,MATCH(X$1,Sheet1!$A$1:$AA$1,0),FALSE)=0,"",VLOOKUP($A28,Sheet1!$A:$AA,MATCH(X$1,Sheet1!$A$1:$AA$1,0),FALSE))</f>
        <v>4.5</v>
      </c>
      <c r="Y28" t="str">
        <f>IF(VLOOKUP($A28,Sheet1!$A:$AA,MATCH(Y$1,Sheet1!$A$1:$AA$1,0),FALSE)=0,"",VLOOKUP($A28,Sheet1!$A:$AA,MATCH(Y$1,Sheet1!$A$1:$AA$1,0),FALSE))</f>
        <v>4.5</v>
      </c>
      <c r="Z28" t="str">
        <f>IF(VLOOKUP($A28,Sheet1!$A:$AA,MATCH(Z$1,Sheet1!$A$1:$AA$1,0),FALSE)=0,"",VLOOKUP($A28,Sheet1!$A:$AA,MATCH(Z$1,Sheet1!$A$1:$AA$1,0),FALSE))</f>
        <v/>
      </c>
      <c r="AA28" t="str">
        <f ca="1">IF(VLOOKUP($A28,Sheet1!$A:$AA,MATCH(AA$1,Sheet1!$A$1:$AA$1,0),FALSE)=0,"",VLOOKUP($A28,Sheet1!$A:$AA,MATCH(AA$1,Sheet1!$A$1:$AA$1,0),FALSE))</f>
        <v/>
      </c>
    </row>
    <row r="29" spans="1:27" x14ac:dyDescent="0.25">
      <c r="A29">
        <v>10058320</v>
      </c>
      <c r="B29" t="str">
        <f>IF(VLOOKUP($A29,Sheet1!$A:$AA,MATCH(B$1,Sheet1!$A$1:$AA$1,0),FALSE)=0,"",VLOOKUP($A29,Sheet1!$A:$AA,MATCH(B$1,Sheet1!$A$1:$AA$1,0),FALSE))</f>
        <v>Cartagena, Carlota</v>
      </c>
      <c r="C29" t="str">
        <f>IF(VLOOKUP($A29,Sheet1!$A:$AA,MATCH(C$1,Sheet1!$A$1:$AA$1,0),FALSE)=0,"",VLOOKUP($A29,Sheet1!$A:$AA,MATCH(C$1,Sheet1!$A$1:$AA$1,0),FALSE))</f>
        <v>Cartagena</v>
      </c>
      <c r="D29" t="str">
        <f>IF(VLOOKUP($A29,Sheet1!$A:$AA,MATCH(D$1,Sheet1!$A$1:$AA$1,0),FALSE)=0,"",VLOOKUP($A29,Sheet1!$A:$AA,MATCH(D$1,Sheet1!$A$1:$AA$1,0),FALSE))</f>
        <v>Carlota</v>
      </c>
      <c r="E29" t="str">
        <f>IF(VLOOKUP($A29,Sheet1!$A:$AA,MATCH(E$1,Sheet1!$A$1:$AA$1,0),FALSE)=0,"",VLOOKUP($A29,Sheet1!$A:$AA,MATCH(E$1,Sheet1!$A$1:$AA$1,0),FALSE))</f>
        <v>Carlota Cartagena</v>
      </c>
      <c r="F29" t="str">
        <f>IF(VLOOKUP($A29,Sheet1!$A:$AA,MATCH(F$1,Sheet1!$A$1:$AA$1,0),FALSE)=0,"",VLOOKUP($A29,Sheet1!$A:$AA,MATCH(F$1,Sheet1!$A$1:$AA$1,0),FALSE))</f>
        <v/>
      </c>
      <c r="G29" t="str">
        <f>IF(VLOOKUP($A29,Sheet1!$A:$AA,MATCH(G$1,Sheet1!$A$1:$AA$1,0),FALSE)=0,"",VLOOKUP($A29,Sheet1!$A:$AA,MATCH(G$1,Sheet1!$A$1:$AA$1,0),FALSE))</f>
        <v/>
      </c>
      <c r="H29" t="str">
        <f>IF(VLOOKUP($A29,Sheet1!$A:$AA,MATCH(H$1,Sheet1!$A$1:$AA$1,0),FALSE)=0,"",VLOOKUP($A29,Sheet1!$A:$AA,MATCH(H$1,Sheet1!$A$1:$AA$1,0),FALSE))</f>
        <v/>
      </c>
      <c r="I29" t="str">
        <f>IF(VLOOKUP($A29,Sheet1!$A:$AA,MATCH(I$1,Sheet1!$A$1:$AA$1,0),FALSE)=0,"",VLOOKUP($A29,Sheet1!$A:$AA,MATCH(I$1,Sheet1!$A$1:$AA$1,0),FALSE))</f>
        <v/>
      </c>
      <c r="J29" t="str">
        <f>IF(VLOOKUP($A29,Sheet1!$A:$AA,MATCH(J$1,Sheet1!$A$1:$AA$1,0),FALSE)=0,"",VLOOKUP($A29,Sheet1!$A:$AA,MATCH(J$1,Sheet1!$A$1:$AA$1,0),FALSE))</f>
        <v/>
      </c>
      <c r="K29" t="str">
        <f>IF(VLOOKUP($A29,Sheet1!$A:$AA,MATCH(K$1,Sheet1!$A$1:$AA$1,0),FALSE)=0,"",VLOOKUP($A29,Sheet1!$A:$AA,MATCH(K$1,Sheet1!$A$1:$AA$1,0),FALSE))</f>
        <v>MADRID</v>
      </c>
      <c r="L29" t="str">
        <f>IF(VLOOKUP($A29,Sheet1!$A:$AA,MATCH(L$1,Sheet1!$A$1:$AA$1,0),FALSE)=0,"",VLOOKUP($A29,Sheet1!$A:$AA,MATCH(L$1,Sheet1!$A$1:$AA$1,0),FALSE))</f>
        <v/>
      </c>
      <c r="M29" t="str">
        <f>IF(VLOOKUP($A29,Sheet1!$A:$AA,MATCH(M$1,Sheet1!$A$1:$AA$1,0),FALSE)=0,"",VLOOKUP($A29,Sheet1!$A:$AA,MATCH(M$1,Sheet1!$A$1:$AA$1,0),FALSE))</f>
        <v/>
      </c>
      <c r="N29" t="str">
        <f>IF(VLOOKUP($A29,Sheet1!$A:$AA,MATCH(N$1,Sheet1!$A$1:$AA$1,0),FALSE)=0,"",VLOOKUP($A29,Sheet1!$A:$AA,MATCH(N$1,Sheet1!$A$1:$AA$1,0),FALSE))</f>
        <v/>
      </c>
      <c r="O29" t="str">
        <f>IF(VLOOKUP($A29,Sheet1!$A:$AA,MATCH(O$1,Sheet1!$A$1:$AA$1,0),FALSE)=0,"",VLOOKUP($A29,Sheet1!$A:$AA,MATCH(O$1,Sheet1!$A$1:$AA$1,0),FALSE))</f>
        <v/>
      </c>
      <c r="P29" t="str">
        <f>IF(VLOOKUP($A29,Sheet1!$A:$AA,MATCH(P$1,Sheet1!$A$1:$AA$1,0),FALSE)=0,"",VLOOKUP($A29,Sheet1!$A:$AA,MATCH(P$1,Sheet1!$A$1:$AA$1,0),FALSE))</f>
        <v/>
      </c>
      <c r="Q29" t="str">
        <f>IF(VLOOKUP($A29,Sheet1!$A:$AA,MATCH(Q$1,Sheet1!$A$1:$AA$1,0),FALSE)=0,"",VLOOKUP($A29,Sheet1!$A:$AA,MATCH(Q$1,Sheet1!$A$1:$AA$1,0),FALSE))</f>
        <v>F</v>
      </c>
      <c r="R29" s="2">
        <f>IF(VLOOKUP($A29,Sheet1!$A:$AA,MATCH(R$1,Sheet1!$A$1:$AA$1,0),FALSE)=0,"",VLOOKUP($A29,Sheet1!$A:$AA,MATCH(R$1,Sheet1!$A$1:$AA$1,0),FALSE))</f>
        <v>35899</v>
      </c>
      <c r="S29" t="str">
        <f>IF(VLOOKUP($A29,Sheet1!$A:$AA,MATCH(S$1,Sheet1!$A$1:$AA$1,0),FALSE)=0,"",VLOOKUP($A29,Sheet1!$A:$AA,MATCH(S$1,Sheet1!$A$1:$AA$1,0),FALSE))</f>
        <v>IF</v>
      </c>
      <c r="T29" t="str">
        <f>IF(VLOOKUP($A29,Sheet1!$A:$AA,MATCH(T$1,Sheet1!$A$1:$AA$1,0),FALSE)=0,"",VLOOKUP($A29,Sheet1!$A:$AA,MATCH(T$1,Sheet1!$A$1:$AA$1,0),FALSE))</f>
        <v>DF</v>
      </c>
      <c r="U29" t="str">
        <f>IF(VLOOKUP($A29,Sheet1!$A:$AA,MATCH(U$1,Sheet1!$A$1:$AA$1,0),FALSE)=0,"",VLOOKUP($A29,Sheet1!$A:$AA,MATCH(U$1,Sheet1!$A$1:$AA$1,0),FALSE))</f>
        <v/>
      </c>
      <c r="V29" t="str">
        <f>IF(VLOOKUP($A29,Sheet1!$A:$AA,MATCH(V$1,Sheet1!$A$1:$AA$1,0),FALSE)=0,"",VLOOKUP($A29,Sheet1!$A:$AA,MATCH(V$1,Sheet1!$A$1:$AA$1,0),FALSE))</f>
        <v/>
      </c>
      <c r="W29" t="str">
        <f>IF(VLOOKUP($A29,Sheet1!$A:$AA,MATCH(W$1,Sheet1!$A$1:$AA$1,0),FALSE)=0,"",VLOOKUP($A29,Sheet1!$A:$AA,MATCH(W$1,Sheet1!$A$1:$AA$1,0),FALSE))</f>
        <v>4.5</v>
      </c>
      <c r="X29" t="str">
        <f>IF(VLOOKUP($A29,Sheet1!$A:$AA,MATCH(X$1,Sheet1!$A$1:$AA$1,0),FALSE)=0,"",VLOOKUP($A29,Sheet1!$A:$AA,MATCH(X$1,Sheet1!$A$1:$AA$1,0),FALSE))</f>
        <v/>
      </c>
      <c r="Y29" t="str">
        <f>IF(VLOOKUP($A29,Sheet1!$A:$AA,MATCH(Y$1,Sheet1!$A$1:$AA$1,0),FALSE)=0,"",VLOOKUP($A29,Sheet1!$A:$AA,MATCH(Y$1,Sheet1!$A$1:$AA$1,0),FALSE))</f>
        <v/>
      </c>
      <c r="Z29" t="str">
        <f>IF(VLOOKUP($A29,Sheet1!$A:$AA,MATCH(Z$1,Sheet1!$A$1:$AA$1,0),FALSE)=0,"",VLOOKUP($A29,Sheet1!$A:$AA,MATCH(Z$1,Sheet1!$A$1:$AA$1,0),FALSE))</f>
        <v/>
      </c>
      <c r="AA29">
        <f ca="1">IF(VLOOKUP($A29,Sheet1!$A:$AA,MATCH(AA$1,Sheet1!$A$1:$AA$1,0),FALSE)=0,"",VLOOKUP($A29,Sheet1!$A:$AA,MATCH(AA$1,Sheet1!$A$1:$AA$1,0),FALSE))</f>
        <v>26</v>
      </c>
    </row>
    <row r="30" spans="1:27" x14ac:dyDescent="0.25">
      <c r="A30">
        <v>10767161</v>
      </c>
      <c r="B30" t="str">
        <f>IF(VLOOKUP($A30,Sheet1!$A:$AA,MATCH(B$1,Sheet1!$A$1:$AA$1,0),FALSE)=0,"",VLOOKUP($A30,Sheet1!$A:$AA,MATCH(B$1,Sheet1!$A$1:$AA$1,0),FALSE))</f>
        <v>Fierro Gonzalez, Monica</v>
      </c>
      <c r="C30" t="str">
        <f>IF(VLOOKUP($A30,Sheet1!$A:$AA,MATCH(C$1,Sheet1!$A$1:$AA$1,0),FALSE)=0,"",VLOOKUP($A30,Sheet1!$A:$AA,MATCH(C$1,Sheet1!$A$1:$AA$1,0),FALSE))</f>
        <v>Fierro Gonzalez</v>
      </c>
      <c r="D30" t="str">
        <f>IF(VLOOKUP($A30,Sheet1!$A:$AA,MATCH(D$1,Sheet1!$A$1:$AA$1,0),FALSE)=0,"",VLOOKUP($A30,Sheet1!$A:$AA,MATCH(D$1,Sheet1!$A$1:$AA$1,0),FALSE))</f>
        <v>Monica</v>
      </c>
      <c r="E30" t="str">
        <f>IF(VLOOKUP($A30,Sheet1!$A:$AA,MATCH(E$1,Sheet1!$A$1:$AA$1,0),FALSE)=0,"",VLOOKUP($A30,Sheet1!$A:$AA,MATCH(E$1,Sheet1!$A$1:$AA$1,0),FALSE))</f>
        <v>Monica Fierro Gonzalez</v>
      </c>
      <c r="F30" t="str">
        <f>IF(VLOOKUP($A30,Sheet1!$A:$AA,MATCH(F$1,Sheet1!$A$1:$AA$1,0),FALSE)=0,"",VLOOKUP($A30,Sheet1!$A:$AA,MATCH(F$1,Sheet1!$A$1:$AA$1,0),FALSE))</f>
        <v/>
      </c>
      <c r="G30" t="str">
        <f>IF(VLOOKUP($A30,Sheet1!$A:$AA,MATCH(G$1,Sheet1!$A$1:$AA$1,0),FALSE)=0,"",VLOOKUP($A30,Sheet1!$A:$AA,MATCH(G$1,Sheet1!$A$1:$AA$1,0),FALSE))</f>
        <v/>
      </c>
      <c r="H30" t="str">
        <f>IF(VLOOKUP($A30,Sheet1!$A:$AA,MATCH(H$1,Sheet1!$A$1:$AA$1,0),FALSE)=0,"",VLOOKUP($A30,Sheet1!$A:$AA,MATCH(H$1,Sheet1!$A$1:$AA$1,0),FALSE))</f>
        <v/>
      </c>
      <c r="I30" t="str">
        <f>IF(VLOOKUP($A30,Sheet1!$A:$AA,MATCH(I$1,Sheet1!$A$1:$AA$1,0),FALSE)=0,"",VLOOKUP($A30,Sheet1!$A:$AA,MATCH(I$1,Sheet1!$A$1:$AA$1,0),FALSE))</f>
        <v/>
      </c>
      <c r="J30" t="str">
        <f>IF(VLOOKUP($A30,Sheet1!$A:$AA,MATCH(J$1,Sheet1!$A$1:$AA$1,0),FALSE)=0,"",VLOOKUP($A30,Sheet1!$A:$AA,MATCH(J$1,Sheet1!$A$1:$AA$1,0),FALSE))</f>
        <v/>
      </c>
      <c r="K30" t="str">
        <f>IF(VLOOKUP($A30,Sheet1!$A:$AA,MATCH(K$1,Sheet1!$A$1:$AA$1,0),FALSE)=0,"",VLOOKUP($A30,Sheet1!$A:$AA,MATCH(K$1,Sheet1!$A$1:$AA$1,0),FALSE))</f>
        <v>MADRID</v>
      </c>
      <c r="L30" t="str">
        <f>IF(VLOOKUP($A30,Sheet1!$A:$AA,MATCH(L$1,Sheet1!$A$1:$AA$1,0),FALSE)=0,"",VLOOKUP($A30,Sheet1!$A:$AA,MATCH(L$1,Sheet1!$A$1:$AA$1,0),FALSE))</f>
        <v/>
      </c>
      <c r="M30" t="str">
        <f>IF(VLOOKUP($A30,Sheet1!$A:$AA,MATCH(M$1,Sheet1!$A$1:$AA$1,0),FALSE)=0,"",VLOOKUP($A30,Sheet1!$A:$AA,MATCH(M$1,Sheet1!$A$1:$AA$1,0),FALSE))</f>
        <v/>
      </c>
      <c r="N30" t="str">
        <f>IF(VLOOKUP($A30,Sheet1!$A:$AA,MATCH(N$1,Sheet1!$A$1:$AA$1,0),FALSE)=0,"",VLOOKUP($A30,Sheet1!$A:$AA,MATCH(N$1,Sheet1!$A$1:$AA$1,0),FALSE))</f>
        <v/>
      </c>
      <c r="O30" t="str">
        <f>IF(VLOOKUP($A30,Sheet1!$A:$AA,MATCH(O$1,Sheet1!$A$1:$AA$1,0),FALSE)=0,"",VLOOKUP($A30,Sheet1!$A:$AA,MATCH(O$1,Sheet1!$A$1:$AA$1,0),FALSE))</f>
        <v/>
      </c>
      <c r="P30" t="str">
        <f>IF(VLOOKUP($A30,Sheet1!$A:$AA,MATCH(P$1,Sheet1!$A$1:$AA$1,0),FALSE)=0,"",VLOOKUP($A30,Sheet1!$A:$AA,MATCH(P$1,Sheet1!$A$1:$AA$1,0),FALSE))</f>
        <v/>
      </c>
      <c r="Q30" t="str">
        <f>IF(VLOOKUP($A30,Sheet1!$A:$AA,MATCH(Q$1,Sheet1!$A$1:$AA$1,0),FALSE)=0,"",VLOOKUP($A30,Sheet1!$A:$AA,MATCH(Q$1,Sheet1!$A$1:$AA$1,0),FALSE))</f>
        <v>F</v>
      </c>
      <c r="R30" s="2" t="str">
        <f>IF(VLOOKUP($A30,Sheet1!$A:$AA,MATCH(R$1,Sheet1!$A$1:$AA$1,0),FALSE)=0,"",VLOOKUP($A30,Sheet1!$A:$AA,MATCH(R$1,Sheet1!$A$1:$AA$1,0),FALSE))</f>
        <v/>
      </c>
      <c r="S30" t="str">
        <f>IF(VLOOKUP($A30,Sheet1!$A:$AA,MATCH(S$1,Sheet1!$A$1:$AA$1,0),FALSE)=0,"",VLOOKUP($A30,Sheet1!$A:$AA,MATCH(S$1,Sheet1!$A$1:$AA$1,0),FALSE))</f>
        <v/>
      </c>
      <c r="T30" t="str">
        <f>IF(VLOOKUP($A30,Sheet1!$A:$AA,MATCH(T$1,Sheet1!$A$1:$AA$1,0),FALSE)=0,"",VLOOKUP($A30,Sheet1!$A:$AA,MATCH(T$1,Sheet1!$A$1:$AA$1,0),FALSE))</f>
        <v/>
      </c>
      <c r="U30" t="str">
        <f>IF(VLOOKUP($A30,Sheet1!$A:$AA,MATCH(U$1,Sheet1!$A$1:$AA$1,0),FALSE)=0,"",VLOOKUP($A30,Sheet1!$A:$AA,MATCH(U$1,Sheet1!$A$1:$AA$1,0),FALSE))</f>
        <v>DX</v>
      </c>
      <c r="V30" t="str">
        <f>IF(VLOOKUP($A30,Sheet1!$A:$AA,MATCH(V$1,Sheet1!$A$1:$AA$1,0),FALSE)=0,"",VLOOKUP($A30,Sheet1!$A:$AA,MATCH(V$1,Sheet1!$A$1:$AA$1,0),FALSE))</f>
        <v/>
      </c>
      <c r="W30" t="str">
        <f>IF(VLOOKUP($A30,Sheet1!$A:$AA,MATCH(W$1,Sheet1!$A$1:$AA$1,0),FALSE)=0,"",VLOOKUP($A30,Sheet1!$A:$AA,MATCH(W$1,Sheet1!$A$1:$AA$1,0),FALSE))</f>
        <v/>
      </c>
      <c r="X30" t="str">
        <f>IF(VLOOKUP($A30,Sheet1!$A:$AA,MATCH(X$1,Sheet1!$A$1:$AA$1,0),FALSE)=0,"",VLOOKUP($A30,Sheet1!$A:$AA,MATCH(X$1,Sheet1!$A$1:$AA$1,0),FALSE))</f>
        <v/>
      </c>
      <c r="Y30" t="str">
        <f>IF(VLOOKUP($A30,Sheet1!$A:$AA,MATCH(Y$1,Sheet1!$A$1:$AA$1,0),FALSE)=0,"",VLOOKUP($A30,Sheet1!$A:$AA,MATCH(Y$1,Sheet1!$A$1:$AA$1,0),FALSE))</f>
        <v>4.5</v>
      </c>
      <c r="Z30" t="str">
        <f>IF(VLOOKUP($A30,Sheet1!$A:$AA,MATCH(Z$1,Sheet1!$A$1:$AA$1,0),FALSE)=0,"",VLOOKUP($A30,Sheet1!$A:$AA,MATCH(Z$1,Sheet1!$A$1:$AA$1,0),FALSE))</f>
        <v/>
      </c>
      <c r="AA30" t="str">
        <f ca="1">IF(VLOOKUP($A30,Sheet1!$A:$AA,MATCH(AA$1,Sheet1!$A$1:$AA$1,0),FALSE)=0,"",VLOOKUP($A30,Sheet1!$A:$AA,MATCH(AA$1,Sheet1!$A$1:$AA$1,0),FALSE))</f>
        <v/>
      </c>
    </row>
    <row r="31" spans="1:27" x14ac:dyDescent="0.25">
      <c r="A31">
        <v>16953045</v>
      </c>
      <c r="B31" t="str">
        <f>IF(VLOOKUP($A31,Sheet1!$A:$AA,MATCH(B$1,Sheet1!$A$1:$AA$1,0),FALSE)=0,"",VLOOKUP($A31,Sheet1!$A:$AA,MATCH(B$1,Sheet1!$A$1:$AA$1,0),FALSE))</f>
        <v>Varo Martínez, Vanessa</v>
      </c>
      <c r="C31" t="str">
        <f>IF(VLOOKUP($A31,Sheet1!$A:$AA,MATCH(C$1,Sheet1!$A$1:$AA$1,0),FALSE)=0,"",VLOOKUP($A31,Sheet1!$A:$AA,MATCH(C$1,Sheet1!$A$1:$AA$1,0),FALSE))</f>
        <v>Varo Martínez</v>
      </c>
      <c r="D31" t="str">
        <f>IF(VLOOKUP($A31,Sheet1!$A:$AA,MATCH(D$1,Sheet1!$A$1:$AA$1,0),FALSE)=0,"",VLOOKUP($A31,Sheet1!$A:$AA,MATCH(D$1,Sheet1!$A$1:$AA$1,0),FALSE))</f>
        <v>Vanessa</v>
      </c>
      <c r="E31" t="str">
        <f>IF(VLOOKUP($A31,Sheet1!$A:$AA,MATCH(E$1,Sheet1!$A$1:$AA$1,0),FALSE)=0,"",VLOOKUP($A31,Sheet1!$A:$AA,MATCH(E$1,Sheet1!$A$1:$AA$1,0),FALSE))</f>
        <v>Vanessa Varo Martínez</v>
      </c>
      <c r="F31" t="str">
        <f>IF(VLOOKUP($A31,Sheet1!$A:$AA,MATCH(F$1,Sheet1!$A$1:$AA$1,0),FALSE)=0,"",VLOOKUP($A31,Sheet1!$A:$AA,MATCH(F$1,Sheet1!$A$1:$AA$1,0),FALSE))</f>
        <v/>
      </c>
      <c r="G31" t="str">
        <f>IF(VLOOKUP($A31,Sheet1!$A:$AA,MATCH(G$1,Sheet1!$A$1:$AA$1,0),FALSE)=0,"",VLOOKUP($A31,Sheet1!$A:$AA,MATCH(G$1,Sheet1!$A$1:$AA$1,0),FALSE))</f>
        <v/>
      </c>
      <c r="H31" t="str">
        <f>IF(VLOOKUP($A31,Sheet1!$A:$AA,MATCH(H$1,Sheet1!$A$1:$AA$1,0),FALSE)=0,"",VLOOKUP($A31,Sheet1!$A:$AA,MATCH(H$1,Sheet1!$A$1:$AA$1,0),FALSE))</f>
        <v/>
      </c>
      <c r="I31" t="str">
        <f>IF(VLOOKUP($A31,Sheet1!$A:$AA,MATCH(I$1,Sheet1!$A$1:$AA$1,0),FALSE)=0,"",VLOOKUP($A31,Sheet1!$A:$AA,MATCH(I$1,Sheet1!$A$1:$AA$1,0),FALSE))</f>
        <v/>
      </c>
      <c r="J31" t="str">
        <f>IF(VLOOKUP($A31,Sheet1!$A:$AA,MATCH(J$1,Sheet1!$A$1:$AA$1,0),FALSE)=0,"",VLOOKUP($A31,Sheet1!$A:$AA,MATCH(J$1,Sheet1!$A$1:$AA$1,0),FALSE))</f>
        <v/>
      </c>
      <c r="K31" t="str">
        <f>IF(VLOOKUP($A31,Sheet1!$A:$AA,MATCH(K$1,Sheet1!$A$1:$AA$1,0),FALSE)=0,"",VLOOKUP($A31,Sheet1!$A:$AA,MATCH(K$1,Sheet1!$A$1:$AA$1,0),FALSE))</f>
        <v>ANDALUCIA</v>
      </c>
      <c r="L31" t="str">
        <f>IF(VLOOKUP($A31,Sheet1!$A:$AA,MATCH(L$1,Sheet1!$A$1:$AA$1,0),FALSE)=0,"",VLOOKUP($A31,Sheet1!$A:$AA,MATCH(L$1,Sheet1!$A$1:$AA$1,0),FALSE))</f>
        <v/>
      </c>
      <c r="M31" t="str">
        <f>IF(VLOOKUP($A31,Sheet1!$A:$AA,MATCH(M$1,Sheet1!$A$1:$AA$1,0),FALSE)=0,"",VLOOKUP($A31,Sheet1!$A:$AA,MATCH(M$1,Sheet1!$A$1:$AA$1,0),FALSE))</f>
        <v/>
      </c>
      <c r="N31" t="str">
        <f>IF(VLOOKUP($A31,Sheet1!$A:$AA,MATCH(N$1,Sheet1!$A$1:$AA$1,0),FALSE)=0,"",VLOOKUP($A31,Sheet1!$A:$AA,MATCH(N$1,Sheet1!$A$1:$AA$1,0),FALSE))</f>
        <v/>
      </c>
      <c r="O31" t="str">
        <f>IF(VLOOKUP($A31,Sheet1!$A:$AA,MATCH(O$1,Sheet1!$A$1:$AA$1,0),FALSE)=0,"",VLOOKUP($A31,Sheet1!$A:$AA,MATCH(O$1,Sheet1!$A$1:$AA$1,0),FALSE))</f>
        <v/>
      </c>
      <c r="P31" t="str">
        <f>IF(VLOOKUP($A31,Sheet1!$A:$AA,MATCH(P$1,Sheet1!$A$1:$AA$1,0),FALSE)=0,"",VLOOKUP($A31,Sheet1!$A:$AA,MATCH(P$1,Sheet1!$A$1:$AA$1,0),FALSE))</f>
        <v/>
      </c>
      <c r="Q31" t="str">
        <f>IF(VLOOKUP($A31,Sheet1!$A:$AA,MATCH(Q$1,Sheet1!$A$1:$AA$1,0),FALSE)=0,"",VLOOKUP($A31,Sheet1!$A:$AA,MATCH(Q$1,Sheet1!$A$1:$AA$1,0),FALSE))</f>
        <v>F</v>
      </c>
      <c r="R31" s="2" t="str">
        <f>IF(VLOOKUP($A31,Sheet1!$A:$AA,MATCH(R$1,Sheet1!$A$1:$AA$1,0),FALSE)=0,"",VLOOKUP($A31,Sheet1!$A:$AA,MATCH(R$1,Sheet1!$A$1:$AA$1,0),FALSE))</f>
        <v/>
      </c>
      <c r="S31" t="str">
        <f>IF(VLOOKUP($A31,Sheet1!$A:$AA,MATCH(S$1,Sheet1!$A$1:$AA$1,0),FALSE)=0,"",VLOOKUP($A31,Sheet1!$A:$AA,MATCH(S$1,Sheet1!$A$1:$AA$1,0),FALSE))</f>
        <v>IF</v>
      </c>
      <c r="T31" t="str">
        <f>IF(VLOOKUP($A31,Sheet1!$A:$AA,MATCH(T$1,Sheet1!$A$1:$AA$1,0),FALSE)=0,"",VLOOKUP($A31,Sheet1!$A:$AA,MATCH(T$1,Sheet1!$A$1:$AA$1,0),FALSE))</f>
        <v>DF</v>
      </c>
      <c r="U31" t="str">
        <f>IF(VLOOKUP($A31,Sheet1!$A:$AA,MATCH(U$1,Sheet1!$A$1:$AA$1,0),FALSE)=0,"",VLOOKUP($A31,Sheet1!$A:$AA,MATCH(U$1,Sheet1!$A$1:$AA$1,0),FALSE))</f>
        <v>DX</v>
      </c>
      <c r="V31" t="str">
        <f>IF(VLOOKUP($A31,Sheet1!$A:$AA,MATCH(V$1,Sheet1!$A$1:$AA$1,0),FALSE)=0,"",VLOOKUP($A31,Sheet1!$A:$AA,MATCH(V$1,Sheet1!$A$1:$AA$1,0),FALSE))</f>
        <v/>
      </c>
      <c r="W31" t="str">
        <f>IF(VLOOKUP($A31,Sheet1!$A:$AA,MATCH(W$1,Sheet1!$A$1:$AA$1,0),FALSE)=0,"",VLOOKUP($A31,Sheet1!$A:$AA,MATCH(W$1,Sheet1!$A$1:$AA$1,0),FALSE))</f>
        <v>4.5</v>
      </c>
      <c r="X31" t="str">
        <f>IF(VLOOKUP($A31,Sheet1!$A:$AA,MATCH(X$1,Sheet1!$A$1:$AA$1,0),FALSE)=0,"",VLOOKUP($A31,Sheet1!$A:$AA,MATCH(X$1,Sheet1!$A$1:$AA$1,0),FALSE))</f>
        <v>4.5</v>
      </c>
      <c r="Y31" t="str">
        <f>IF(VLOOKUP($A31,Sheet1!$A:$AA,MATCH(Y$1,Sheet1!$A$1:$AA$1,0),FALSE)=0,"",VLOOKUP($A31,Sheet1!$A:$AA,MATCH(Y$1,Sheet1!$A$1:$AA$1,0),FALSE))</f>
        <v>4.5</v>
      </c>
      <c r="Z31" t="str">
        <f>IF(VLOOKUP($A31,Sheet1!$A:$AA,MATCH(Z$1,Sheet1!$A$1:$AA$1,0),FALSE)=0,"",VLOOKUP($A31,Sheet1!$A:$AA,MATCH(Z$1,Sheet1!$A$1:$AA$1,0),FALSE))</f>
        <v/>
      </c>
      <c r="AA31" t="str">
        <f ca="1">IF(VLOOKUP($A31,Sheet1!$A:$AA,MATCH(AA$1,Sheet1!$A$1:$AA$1,0),FALSE)=0,"",VLOOKUP($A31,Sheet1!$A:$AA,MATCH(AA$1,Sheet1!$A$1:$AA$1,0),FALSE))</f>
        <v/>
      </c>
    </row>
    <row r="32" spans="1:27" x14ac:dyDescent="0.25">
      <c r="A32">
        <v>11087344</v>
      </c>
      <c r="B32" t="str">
        <f>IF(VLOOKUP($A32,Sheet1!$A:$AA,MATCH(B$1,Sheet1!$A$1:$AA$1,0),FALSE)=0,"",VLOOKUP($A32,Sheet1!$A:$AA,MATCH(B$1,Sheet1!$A$1:$AA$1,0),FALSE))</f>
        <v>Dominguez Luna, Sheila</v>
      </c>
      <c r="C32" t="str">
        <f>IF(VLOOKUP($A32,Sheet1!$A:$AA,MATCH(C$1,Sheet1!$A$1:$AA$1,0),FALSE)=0,"",VLOOKUP($A32,Sheet1!$A:$AA,MATCH(C$1,Sheet1!$A$1:$AA$1,0),FALSE))</f>
        <v>Dominguez Luna</v>
      </c>
      <c r="D32" t="str">
        <f>IF(VLOOKUP($A32,Sheet1!$A:$AA,MATCH(D$1,Sheet1!$A$1:$AA$1,0),FALSE)=0,"",VLOOKUP($A32,Sheet1!$A:$AA,MATCH(D$1,Sheet1!$A$1:$AA$1,0),FALSE))</f>
        <v>Sheila</v>
      </c>
      <c r="E32" t="str">
        <f>IF(VLOOKUP($A32,Sheet1!$A:$AA,MATCH(E$1,Sheet1!$A$1:$AA$1,0),FALSE)=0,"",VLOOKUP($A32,Sheet1!$A:$AA,MATCH(E$1,Sheet1!$A$1:$AA$1,0),FALSE))</f>
        <v>Sheila Dominguez Luna</v>
      </c>
      <c r="F32" t="str">
        <f>IF(VLOOKUP($A32,Sheet1!$A:$AA,MATCH(F$1,Sheet1!$A$1:$AA$1,0),FALSE)=0,"",VLOOKUP($A32,Sheet1!$A:$AA,MATCH(F$1,Sheet1!$A$1:$AA$1,0),FALSE))</f>
        <v/>
      </c>
      <c r="G32" t="str">
        <f>IF(VLOOKUP($A32,Sheet1!$A:$AA,MATCH(G$1,Sheet1!$A$1:$AA$1,0),FALSE)=0,"",VLOOKUP($A32,Sheet1!$A:$AA,MATCH(G$1,Sheet1!$A$1:$AA$1,0),FALSE))</f>
        <v/>
      </c>
      <c r="H32" t="str">
        <f>IF(VLOOKUP($A32,Sheet1!$A:$AA,MATCH(H$1,Sheet1!$A$1:$AA$1,0),FALSE)=0,"",VLOOKUP($A32,Sheet1!$A:$AA,MATCH(H$1,Sheet1!$A$1:$AA$1,0),FALSE))</f>
        <v/>
      </c>
      <c r="I32" t="str">
        <f>IF(VLOOKUP($A32,Sheet1!$A:$AA,MATCH(I$1,Sheet1!$A$1:$AA$1,0),FALSE)=0,"",VLOOKUP($A32,Sheet1!$A:$AA,MATCH(I$1,Sheet1!$A$1:$AA$1,0),FALSE))</f>
        <v/>
      </c>
      <c r="J32" t="str">
        <f>IF(VLOOKUP($A32,Sheet1!$A:$AA,MATCH(J$1,Sheet1!$A$1:$AA$1,0),FALSE)=0,"",VLOOKUP($A32,Sheet1!$A:$AA,MATCH(J$1,Sheet1!$A$1:$AA$1,0),FALSE))</f>
        <v/>
      </c>
      <c r="K32" t="str">
        <f>IF(VLOOKUP($A32,Sheet1!$A:$AA,MATCH(K$1,Sheet1!$A$1:$AA$1,0),FALSE)=0,"",VLOOKUP($A32,Sheet1!$A:$AA,MATCH(K$1,Sheet1!$A$1:$AA$1,0),FALSE))</f>
        <v>CATALUÑA</v>
      </c>
      <c r="L32" t="str">
        <f>IF(VLOOKUP($A32,Sheet1!$A:$AA,MATCH(L$1,Sheet1!$A$1:$AA$1,0),FALSE)=0,"",VLOOKUP($A32,Sheet1!$A:$AA,MATCH(L$1,Sheet1!$A$1:$AA$1,0),FALSE))</f>
        <v/>
      </c>
      <c r="M32" t="str">
        <f>IF(VLOOKUP($A32,Sheet1!$A:$AA,MATCH(M$1,Sheet1!$A$1:$AA$1,0),FALSE)=0,"",VLOOKUP($A32,Sheet1!$A:$AA,MATCH(M$1,Sheet1!$A$1:$AA$1,0),FALSE))</f>
        <v/>
      </c>
      <c r="N32" t="str">
        <f>IF(VLOOKUP($A32,Sheet1!$A:$AA,MATCH(N$1,Sheet1!$A$1:$AA$1,0),FALSE)=0,"",VLOOKUP($A32,Sheet1!$A:$AA,MATCH(N$1,Sheet1!$A$1:$AA$1,0),FALSE))</f>
        <v/>
      </c>
      <c r="O32" t="str">
        <f>IF(VLOOKUP($A32,Sheet1!$A:$AA,MATCH(O$1,Sheet1!$A$1:$AA$1,0),FALSE)=0,"",VLOOKUP($A32,Sheet1!$A:$AA,MATCH(O$1,Sheet1!$A$1:$AA$1,0),FALSE))</f>
        <v/>
      </c>
      <c r="P32" t="str">
        <f>IF(VLOOKUP($A32,Sheet1!$A:$AA,MATCH(P$1,Sheet1!$A$1:$AA$1,0),FALSE)=0,"",VLOOKUP($A32,Sheet1!$A:$AA,MATCH(P$1,Sheet1!$A$1:$AA$1,0),FALSE))</f>
        <v/>
      </c>
      <c r="Q32" t="str">
        <f>IF(VLOOKUP($A32,Sheet1!$A:$AA,MATCH(Q$1,Sheet1!$A$1:$AA$1,0),FALSE)=0,"",VLOOKUP($A32,Sheet1!$A:$AA,MATCH(Q$1,Sheet1!$A$1:$AA$1,0),FALSE))</f>
        <v>F</v>
      </c>
      <c r="R32" s="2" t="str">
        <f>IF(VLOOKUP($A32,Sheet1!$A:$AA,MATCH(R$1,Sheet1!$A$1:$AA$1,0),FALSE)=0,"",VLOOKUP($A32,Sheet1!$A:$AA,MATCH(R$1,Sheet1!$A$1:$AA$1,0),FALSE))</f>
        <v/>
      </c>
      <c r="S32" t="str">
        <f>IF(VLOOKUP($A32,Sheet1!$A:$AA,MATCH(S$1,Sheet1!$A$1:$AA$1,0),FALSE)=0,"",VLOOKUP($A32,Sheet1!$A:$AA,MATCH(S$1,Sheet1!$A$1:$AA$1,0),FALSE))</f>
        <v>IF</v>
      </c>
      <c r="T32" t="str">
        <f>IF(VLOOKUP($A32,Sheet1!$A:$AA,MATCH(T$1,Sheet1!$A$1:$AA$1,0),FALSE)=0,"",VLOOKUP($A32,Sheet1!$A:$AA,MATCH(T$1,Sheet1!$A$1:$AA$1,0),FALSE))</f>
        <v/>
      </c>
      <c r="U32" t="str">
        <f>IF(VLOOKUP($A32,Sheet1!$A:$AA,MATCH(U$1,Sheet1!$A$1:$AA$1,0),FALSE)=0,"",VLOOKUP($A32,Sheet1!$A:$AA,MATCH(U$1,Sheet1!$A$1:$AA$1,0),FALSE))</f>
        <v/>
      </c>
      <c r="V32" t="str">
        <f>IF(VLOOKUP($A32,Sheet1!$A:$AA,MATCH(V$1,Sheet1!$A$1:$AA$1,0),FALSE)=0,"",VLOOKUP($A32,Sheet1!$A:$AA,MATCH(V$1,Sheet1!$A$1:$AA$1,0),FALSE))</f>
        <v/>
      </c>
      <c r="W32" t="str">
        <f>IF(VLOOKUP($A32,Sheet1!$A:$AA,MATCH(W$1,Sheet1!$A$1:$AA$1,0),FALSE)=0,"",VLOOKUP($A32,Sheet1!$A:$AA,MATCH(W$1,Sheet1!$A$1:$AA$1,0),FALSE))</f>
        <v>3.5</v>
      </c>
      <c r="X32" t="str">
        <f>IF(VLOOKUP($A32,Sheet1!$A:$AA,MATCH(X$1,Sheet1!$A$1:$AA$1,0),FALSE)=0,"",VLOOKUP($A32,Sheet1!$A:$AA,MATCH(X$1,Sheet1!$A$1:$AA$1,0),FALSE))</f>
        <v/>
      </c>
      <c r="Y32" t="str">
        <f>IF(VLOOKUP($A32,Sheet1!$A:$AA,MATCH(Y$1,Sheet1!$A$1:$AA$1,0),FALSE)=0,"",VLOOKUP($A32,Sheet1!$A:$AA,MATCH(Y$1,Sheet1!$A$1:$AA$1,0),FALSE))</f>
        <v/>
      </c>
      <c r="Z32" t="str">
        <f>IF(VLOOKUP($A32,Sheet1!$A:$AA,MATCH(Z$1,Sheet1!$A$1:$AA$1,0),FALSE)=0,"",VLOOKUP($A32,Sheet1!$A:$AA,MATCH(Z$1,Sheet1!$A$1:$AA$1,0),FALSE))</f>
        <v/>
      </c>
      <c r="AA32" t="str">
        <f ca="1">IF(VLOOKUP($A32,Sheet1!$A:$AA,MATCH(AA$1,Sheet1!$A$1:$AA$1,0),FALSE)=0,"",VLOOKUP($A32,Sheet1!$A:$AA,MATCH(AA$1,Sheet1!$A$1:$AA$1,0),FALSE))</f>
        <v/>
      </c>
    </row>
    <row r="33" spans="1:27" x14ac:dyDescent="0.25">
      <c r="A33">
        <v>11855626</v>
      </c>
      <c r="B33" t="str">
        <f>IF(VLOOKUP($A33,Sheet1!$A:$AA,MATCH(B$1,Sheet1!$A$1:$AA$1,0),FALSE)=0,"",VLOOKUP($A33,Sheet1!$A:$AA,MATCH(B$1,Sheet1!$A$1:$AA$1,0),FALSE))</f>
        <v>Castells Carbonell, Anna</v>
      </c>
      <c r="C33" t="str">
        <f>IF(VLOOKUP($A33,Sheet1!$A:$AA,MATCH(C$1,Sheet1!$A$1:$AA$1,0),FALSE)=0,"",VLOOKUP($A33,Sheet1!$A:$AA,MATCH(C$1,Sheet1!$A$1:$AA$1,0),FALSE))</f>
        <v>Castells Carbonell</v>
      </c>
      <c r="D33" t="str">
        <f>IF(VLOOKUP($A33,Sheet1!$A:$AA,MATCH(D$1,Sheet1!$A$1:$AA$1,0),FALSE)=0,"",VLOOKUP($A33,Sheet1!$A:$AA,MATCH(D$1,Sheet1!$A$1:$AA$1,0),FALSE))</f>
        <v>Anna</v>
      </c>
      <c r="E33" t="str">
        <f>IF(VLOOKUP($A33,Sheet1!$A:$AA,MATCH(E$1,Sheet1!$A$1:$AA$1,0),FALSE)=0,"",VLOOKUP($A33,Sheet1!$A:$AA,MATCH(E$1,Sheet1!$A$1:$AA$1,0),FALSE))</f>
        <v>Anna Castells Carbonell</v>
      </c>
      <c r="F33" t="str">
        <f>IF(VLOOKUP($A33,Sheet1!$A:$AA,MATCH(F$1,Sheet1!$A$1:$AA$1,0),FALSE)=0,"",VLOOKUP($A33,Sheet1!$A:$AA,MATCH(F$1,Sheet1!$A$1:$AA$1,0),FALSE))</f>
        <v/>
      </c>
      <c r="G33" t="str">
        <f>IF(VLOOKUP($A33,Sheet1!$A:$AA,MATCH(G$1,Sheet1!$A$1:$AA$1,0),FALSE)=0,"",VLOOKUP($A33,Sheet1!$A:$AA,MATCH(G$1,Sheet1!$A$1:$AA$1,0),FALSE))</f>
        <v/>
      </c>
      <c r="H33" t="str">
        <f>IF(VLOOKUP($A33,Sheet1!$A:$AA,MATCH(H$1,Sheet1!$A$1:$AA$1,0),FALSE)=0,"",VLOOKUP($A33,Sheet1!$A:$AA,MATCH(H$1,Sheet1!$A$1:$AA$1,0),FALSE))</f>
        <v/>
      </c>
      <c r="I33" t="str">
        <f>IF(VLOOKUP($A33,Sheet1!$A:$AA,MATCH(I$1,Sheet1!$A$1:$AA$1,0),FALSE)=0,"",VLOOKUP($A33,Sheet1!$A:$AA,MATCH(I$1,Sheet1!$A$1:$AA$1,0),FALSE))</f>
        <v/>
      </c>
      <c r="J33" t="str">
        <f>IF(VLOOKUP($A33,Sheet1!$A:$AA,MATCH(J$1,Sheet1!$A$1:$AA$1,0),FALSE)=0,"",VLOOKUP($A33,Sheet1!$A:$AA,MATCH(J$1,Sheet1!$A$1:$AA$1,0),FALSE))</f>
        <v/>
      </c>
      <c r="K33" t="str">
        <f>IF(VLOOKUP($A33,Sheet1!$A:$AA,MATCH(K$1,Sheet1!$A$1:$AA$1,0),FALSE)=0,"",VLOOKUP($A33,Sheet1!$A:$AA,MATCH(K$1,Sheet1!$A$1:$AA$1,0),FALSE))</f>
        <v>CATALUÑA</v>
      </c>
      <c r="L33" t="str">
        <f>IF(VLOOKUP($A33,Sheet1!$A:$AA,MATCH(L$1,Sheet1!$A$1:$AA$1,0),FALSE)=0,"",VLOOKUP($A33,Sheet1!$A:$AA,MATCH(L$1,Sheet1!$A$1:$AA$1,0),FALSE))</f>
        <v/>
      </c>
      <c r="M33" t="str">
        <f>IF(VLOOKUP($A33,Sheet1!$A:$AA,MATCH(M$1,Sheet1!$A$1:$AA$1,0),FALSE)=0,"",VLOOKUP($A33,Sheet1!$A:$AA,MATCH(M$1,Sheet1!$A$1:$AA$1,0),FALSE))</f>
        <v/>
      </c>
      <c r="N33" t="str">
        <f>IF(VLOOKUP($A33,Sheet1!$A:$AA,MATCH(N$1,Sheet1!$A$1:$AA$1,0),FALSE)=0,"",VLOOKUP($A33,Sheet1!$A:$AA,MATCH(N$1,Sheet1!$A$1:$AA$1,0),FALSE))</f>
        <v/>
      </c>
      <c r="O33" t="str">
        <f>IF(VLOOKUP($A33,Sheet1!$A:$AA,MATCH(O$1,Sheet1!$A$1:$AA$1,0),FALSE)=0,"",VLOOKUP($A33,Sheet1!$A:$AA,MATCH(O$1,Sheet1!$A$1:$AA$1,0),FALSE))</f>
        <v/>
      </c>
      <c r="P33" t="str">
        <f>IF(VLOOKUP($A33,Sheet1!$A:$AA,MATCH(P$1,Sheet1!$A$1:$AA$1,0),FALSE)=0,"",VLOOKUP($A33,Sheet1!$A:$AA,MATCH(P$1,Sheet1!$A$1:$AA$1,0),FALSE))</f>
        <v/>
      </c>
      <c r="Q33" t="str">
        <f>IF(VLOOKUP($A33,Sheet1!$A:$AA,MATCH(Q$1,Sheet1!$A$1:$AA$1,0),FALSE)=0,"",VLOOKUP($A33,Sheet1!$A:$AA,MATCH(Q$1,Sheet1!$A$1:$AA$1,0),FALSE))</f>
        <v>F</v>
      </c>
      <c r="R33" s="2" t="str">
        <f>IF(VLOOKUP($A33,Sheet1!$A:$AA,MATCH(R$1,Sheet1!$A$1:$AA$1,0),FALSE)=0,"",VLOOKUP($A33,Sheet1!$A:$AA,MATCH(R$1,Sheet1!$A$1:$AA$1,0),FALSE))</f>
        <v/>
      </c>
      <c r="S33" t="str">
        <f>IF(VLOOKUP($A33,Sheet1!$A:$AA,MATCH(S$1,Sheet1!$A$1:$AA$1,0),FALSE)=0,"",VLOOKUP($A33,Sheet1!$A:$AA,MATCH(S$1,Sheet1!$A$1:$AA$1,0),FALSE))</f>
        <v>IF</v>
      </c>
      <c r="T33" t="str">
        <f>IF(VLOOKUP($A33,Sheet1!$A:$AA,MATCH(T$1,Sheet1!$A$1:$AA$1,0),FALSE)=0,"",VLOOKUP($A33,Sheet1!$A:$AA,MATCH(T$1,Sheet1!$A$1:$AA$1,0),FALSE))</f>
        <v>DF</v>
      </c>
      <c r="U33" t="str">
        <f>IF(VLOOKUP($A33,Sheet1!$A:$AA,MATCH(U$1,Sheet1!$A$1:$AA$1,0),FALSE)=0,"",VLOOKUP($A33,Sheet1!$A:$AA,MATCH(U$1,Sheet1!$A$1:$AA$1,0),FALSE))</f>
        <v/>
      </c>
      <c r="V33" t="str">
        <f>IF(VLOOKUP($A33,Sheet1!$A:$AA,MATCH(V$1,Sheet1!$A$1:$AA$1,0),FALSE)=0,"",VLOOKUP($A33,Sheet1!$A:$AA,MATCH(V$1,Sheet1!$A$1:$AA$1,0),FALSE))</f>
        <v/>
      </c>
      <c r="W33" t="str">
        <f>IF(VLOOKUP($A33,Sheet1!$A:$AA,MATCH(W$1,Sheet1!$A$1:$AA$1,0),FALSE)=0,"",VLOOKUP($A33,Sheet1!$A:$AA,MATCH(W$1,Sheet1!$A$1:$AA$1,0),FALSE))</f>
        <v>3.5</v>
      </c>
      <c r="X33" t="str">
        <f>IF(VLOOKUP($A33,Sheet1!$A:$AA,MATCH(X$1,Sheet1!$A$1:$AA$1,0),FALSE)=0,"",VLOOKUP($A33,Sheet1!$A:$AA,MATCH(X$1,Sheet1!$A$1:$AA$1,0),FALSE))</f>
        <v/>
      </c>
      <c r="Y33" t="str">
        <f>IF(VLOOKUP($A33,Sheet1!$A:$AA,MATCH(Y$1,Sheet1!$A$1:$AA$1,0),FALSE)=0,"",VLOOKUP($A33,Sheet1!$A:$AA,MATCH(Y$1,Sheet1!$A$1:$AA$1,0),FALSE))</f>
        <v/>
      </c>
      <c r="Z33" t="str">
        <f>IF(VLOOKUP($A33,Sheet1!$A:$AA,MATCH(Z$1,Sheet1!$A$1:$AA$1,0),FALSE)=0,"",VLOOKUP($A33,Sheet1!$A:$AA,MATCH(Z$1,Sheet1!$A$1:$AA$1,0),FALSE))</f>
        <v/>
      </c>
      <c r="AA33" t="str">
        <f ca="1">IF(VLOOKUP($A33,Sheet1!$A:$AA,MATCH(AA$1,Sheet1!$A$1:$AA$1,0),FALSE)=0,"",VLOOKUP($A33,Sheet1!$A:$AA,MATCH(AA$1,Sheet1!$A$1:$AA$1,0),FALSE))</f>
        <v/>
      </c>
    </row>
    <row r="34" spans="1:27" x14ac:dyDescent="0.25">
      <c r="A34">
        <v>11856046</v>
      </c>
      <c r="B34" t="str">
        <f>IF(VLOOKUP($A34,Sheet1!$A:$AA,MATCH(B$1,Sheet1!$A$1:$AA$1,0),FALSE)=0,"",VLOOKUP($A34,Sheet1!$A:$AA,MATCH(B$1,Sheet1!$A$1:$AA$1,0),FALSE))</f>
        <v>Ferrer Ramon, Marta</v>
      </c>
      <c r="C34" t="str">
        <f>IF(VLOOKUP($A34,Sheet1!$A:$AA,MATCH(C$1,Sheet1!$A$1:$AA$1,0),FALSE)=0,"",VLOOKUP($A34,Sheet1!$A:$AA,MATCH(C$1,Sheet1!$A$1:$AA$1,0),FALSE))</f>
        <v>Ferrer Ramon</v>
      </c>
      <c r="D34" t="str">
        <f>IF(VLOOKUP($A34,Sheet1!$A:$AA,MATCH(D$1,Sheet1!$A$1:$AA$1,0),FALSE)=0,"",VLOOKUP($A34,Sheet1!$A:$AA,MATCH(D$1,Sheet1!$A$1:$AA$1,0),FALSE))</f>
        <v>Marta</v>
      </c>
      <c r="E34" t="str">
        <f>IF(VLOOKUP($A34,Sheet1!$A:$AA,MATCH(E$1,Sheet1!$A$1:$AA$1,0),FALSE)=0,"",VLOOKUP($A34,Sheet1!$A:$AA,MATCH(E$1,Sheet1!$A$1:$AA$1,0),FALSE))</f>
        <v>Marta Ferrer Ramon</v>
      </c>
      <c r="F34" t="str">
        <f>IF(VLOOKUP($A34,Sheet1!$A:$AA,MATCH(F$1,Sheet1!$A$1:$AA$1,0),FALSE)=0,"",VLOOKUP($A34,Sheet1!$A:$AA,MATCH(F$1,Sheet1!$A$1:$AA$1,0),FALSE))</f>
        <v/>
      </c>
      <c r="G34" t="str">
        <f>IF(VLOOKUP($A34,Sheet1!$A:$AA,MATCH(G$1,Sheet1!$A$1:$AA$1,0),FALSE)=0,"",VLOOKUP($A34,Sheet1!$A:$AA,MATCH(G$1,Sheet1!$A$1:$AA$1,0),FALSE))</f>
        <v/>
      </c>
      <c r="H34" t="str">
        <f>IF(VLOOKUP($A34,Sheet1!$A:$AA,MATCH(H$1,Sheet1!$A$1:$AA$1,0),FALSE)=0,"",VLOOKUP($A34,Sheet1!$A:$AA,MATCH(H$1,Sheet1!$A$1:$AA$1,0),FALSE))</f>
        <v/>
      </c>
      <c r="I34" t="str">
        <f>IF(VLOOKUP($A34,Sheet1!$A:$AA,MATCH(I$1,Sheet1!$A$1:$AA$1,0),FALSE)=0,"",VLOOKUP($A34,Sheet1!$A:$AA,MATCH(I$1,Sheet1!$A$1:$AA$1,0),FALSE))</f>
        <v/>
      </c>
      <c r="J34" t="str">
        <f>IF(VLOOKUP($A34,Sheet1!$A:$AA,MATCH(J$1,Sheet1!$A$1:$AA$1,0),FALSE)=0,"",VLOOKUP($A34,Sheet1!$A:$AA,MATCH(J$1,Sheet1!$A$1:$AA$1,0),FALSE))</f>
        <v/>
      </c>
      <c r="K34" t="str">
        <f>IF(VLOOKUP($A34,Sheet1!$A:$AA,MATCH(K$1,Sheet1!$A$1:$AA$1,0),FALSE)=0,"",VLOOKUP($A34,Sheet1!$A:$AA,MATCH(K$1,Sheet1!$A$1:$AA$1,0),FALSE))</f>
        <v>CATALUÑA</v>
      </c>
      <c r="L34" t="str">
        <f>IF(VLOOKUP($A34,Sheet1!$A:$AA,MATCH(L$1,Sheet1!$A$1:$AA$1,0),FALSE)=0,"",VLOOKUP($A34,Sheet1!$A:$AA,MATCH(L$1,Sheet1!$A$1:$AA$1,0),FALSE))</f>
        <v/>
      </c>
      <c r="M34" t="str">
        <f>IF(VLOOKUP($A34,Sheet1!$A:$AA,MATCH(M$1,Sheet1!$A$1:$AA$1,0),FALSE)=0,"",VLOOKUP($A34,Sheet1!$A:$AA,MATCH(M$1,Sheet1!$A$1:$AA$1,0),FALSE))</f>
        <v/>
      </c>
      <c r="N34" t="str">
        <f>IF(VLOOKUP($A34,Sheet1!$A:$AA,MATCH(N$1,Sheet1!$A$1:$AA$1,0),FALSE)=0,"",VLOOKUP($A34,Sheet1!$A:$AA,MATCH(N$1,Sheet1!$A$1:$AA$1,0),FALSE))</f>
        <v/>
      </c>
      <c r="O34" t="str">
        <f>IF(VLOOKUP($A34,Sheet1!$A:$AA,MATCH(O$1,Sheet1!$A$1:$AA$1,0),FALSE)=0,"",VLOOKUP($A34,Sheet1!$A:$AA,MATCH(O$1,Sheet1!$A$1:$AA$1,0),FALSE))</f>
        <v/>
      </c>
      <c r="P34" t="str">
        <f>IF(VLOOKUP($A34,Sheet1!$A:$AA,MATCH(P$1,Sheet1!$A$1:$AA$1,0),FALSE)=0,"",VLOOKUP($A34,Sheet1!$A:$AA,MATCH(P$1,Sheet1!$A$1:$AA$1,0),FALSE))</f>
        <v/>
      </c>
      <c r="Q34" t="str">
        <f>IF(VLOOKUP($A34,Sheet1!$A:$AA,MATCH(Q$1,Sheet1!$A$1:$AA$1,0),FALSE)=0,"",VLOOKUP($A34,Sheet1!$A:$AA,MATCH(Q$1,Sheet1!$A$1:$AA$1,0),FALSE))</f>
        <v>F</v>
      </c>
      <c r="R34" s="2" t="str">
        <f>IF(VLOOKUP($A34,Sheet1!$A:$AA,MATCH(R$1,Sheet1!$A$1:$AA$1,0),FALSE)=0,"",VLOOKUP($A34,Sheet1!$A:$AA,MATCH(R$1,Sheet1!$A$1:$AA$1,0),FALSE))</f>
        <v/>
      </c>
      <c r="S34" t="str">
        <f>IF(VLOOKUP($A34,Sheet1!$A:$AA,MATCH(S$1,Sheet1!$A$1:$AA$1,0),FALSE)=0,"",VLOOKUP($A34,Sheet1!$A:$AA,MATCH(S$1,Sheet1!$A$1:$AA$1,0),FALSE))</f>
        <v>IF</v>
      </c>
      <c r="T34" t="str">
        <f>IF(VLOOKUP($A34,Sheet1!$A:$AA,MATCH(T$1,Sheet1!$A$1:$AA$1,0),FALSE)=0,"",VLOOKUP($A34,Sheet1!$A:$AA,MATCH(T$1,Sheet1!$A$1:$AA$1,0),FALSE))</f>
        <v>DF</v>
      </c>
      <c r="U34" t="str">
        <f>IF(VLOOKUP($A34,Sheet1!$A:$AA,MATCH(U$1,Sheet1!$A$1:$AA$1,0),FALSE)=0,"",VLOOKUP($A34,Sheet1!$A:$AA,MATCH(U$1,Sheet1!$A$1:$AA$1,0),FALSE))</f>
        <v/>
      </c>
      <c r="V34" t="str">
        <f>IF(VLOOKUP($A34,Sheet1!$A:$AA,MATCH(V$1,Sheet1!$A$1:$AA$1,0),FALSE)=0,"",VLOOKUP($A34,Sheet1!$A:$AA,MATCH(V$1,Sheet1!$A$1:$AA$1,0),FALSE))</f>
        <v/>
      </c>
      <c r="W34" t="str">
        <f>IF(VLOOKUP($A34,Sheet1!$A:$AA,MATCH(W$1,Sheet1!$A$1:$AA$1,0),FALSE)=0,"",VLOOKUP($A34,Sheet1!$A:$AA,MATCH(W$1,Sheet1!$A$1:$AA$1,0),FALSE))</f>
        <v>3.5</v>
      </c>
      <c r="X34" t="str">
        <f>IF(VLOOKUP($A34,Sheet1!$A:$AA,MATCH(X$1,Sheet1!$A$1:$AA$1,0),FALSE)=0,"",VLOOKUP($A34,Sheet1!$A:$AA,MATCH(X$1,Sheet1!$A$1:$AA$1,0),FALSE))</f>
        <v/>
      </c>
      <c r="Y34" t="str">
        <f>IF(VLOOKUP($A34,Sheet1!$A:$AA,MATCH(Y$1,Sheet1!$A$1:$AA$1,0),FALSE)=0,"",VLOOKUP($A34,Sheet1!$A:$AA,MATCH(Y$1,Sheet1!$A$1:$AA$1,0),FALSE))</f>
        <v/>
      </c>
      <c r="Z34" t="str">
        <f>IF(VLOOKUP($A34,Sheet1!$A:$AA,MATCH(Z$1,Sheet1!$A$1:$AA$1,0),FALSE)=0,"",VLOOKUP($A34,Sheet1!$A:$AA,MATCH(Z$1,Sheet1!$A$1:$AA$1,0),FALSE))</f>
        <v/>
      </c>
      <c r="AA34" t="str">
        <f ca="1">IF(VLOOKUP($A34,Sheet1!$A:$AA,MATCH(AA$1,Sheet1!$A$1:$AA$1,0),FALSE)=0,"",VLOOKUP($A34,Sheet1!$A:$AA,MATCH(AA$1,Sheet1!$A$1:$AA$1,0),FALSE))</f>
        <v/>
      </c>
    </row>
    <row r="35" spans="1:27" x14ac:dyDescent="0.25">
      <c r="A35">
        <v>11855288</v>
      </c>
      <c r="B35" t="str">
        <f>IF(VLOOKUP($A35,Sheet1!$A:$AA,MATCH(B$1,Sheet1!$A$1:$AA$1,0),FALSE)=0,"",VLOOKUP($A35,Sheet1!$A:$AA,MATCH(B$1,Sheet1!$A$1:$AA$1,0),FALSE))</f>
        <v>Hernández , Laura</v>
      </c>
      <c r="C35" t="str">
        <f>IF(VLOOKUP($A35,Sheet1!$A:$AA,MATCH(C$1,Sheet1!$A$1:$AA$1,0),FALSE)=0,"",VLOOKUP($A35,Sheet1!$A:$AA,MATCH(C$1,Sheet1!$A$1:$AA$1,0),FALSE))</f>
        <v xml:space="preserve">Hernández </v>
      </c>
      <c r="D35" t="str">
        <f>IF(VLOOKUP($A35,Sheet1!$A:$AA,MATCH(D$1,Sheet1!$A$1:$AA$1,0),FALSE)=0,"",VLOOKUP($A35,Sheet1!$A:$AA,MATCH(D$1,Sheet1!$A$1:$AA$1,0),FALSE))</f>
        <v>Laura</v>
      </c>
      <c r="E35" t="str">
        <f>IF(VLOOKUP($A35,Sheet1!$A:$AA,MATCH(E$1,Sheet1!$A$1:$AA$1,0),FALSE)=0,"",VLOOKUP($A35,Sheet1!$A:$AA,MATCH(E$1,Sheet1!$A$1:$AA$1,0),FALSE))</f>
        <v xml:space="preserve">Laura Hernández </v>
      </c>
      <c r="F35" t="str">
        <f>IF(VLOOKUP($A35,Sheet1!$A:$AA,MATCH(F$1,Sheet1!$A$1:$AA$1,0),FALSE)=0,"",VLOOKUP($A35,Sheet1!$A:$AA,MATCH(F$1,Sheet1!$A$1:$AA$1,0),FALSE))</f>
        <v/>
      </c>
      <c r="G35" t="str">
        <f>IF(VLOOKUP($A35,Sheet1!$A:$AA,MATCH(G$1,Sheet1!$A$1:$AA$1,0),FALSE)=0,"",VLOOKUP($A35,Sheet1!$A:$AA,MATCH(G$1,Sheet1!$A$1:$AA$1,0),FALSE))</f>
        <v/>
      </c>
      <c r="H35" t="str">
        <f>IF(VLOOKUP($A35,Sheet1!$A:$AA,MATCH(H$1,Sheet1!$A$1:$AA$1,0),FALSE)=0,"",VLOOKUP($A35,Sheet1!$A:$AA,MATCH(H$1,Sheet1!$A$1:$AA$1,0),FALSE))</f>
        <v/>
      </c>
      <c r="I35" t="str">
        <f>IF(VLOOKUP($A35,Sheet1!$A:$AA,MATCH(I$1,Sheet1!$A$1:$AA$1,0),FALSE)=0,"",VLOOKUP($A35,Sheet1!$A:$AA,MATCH(I$1,Sheet1!$A$1:$AA$1,0),FALSE))</f>
        <v/>
      </c>
      <c r="J35" t="str">
        <f>IF(VLOOKUP($A35,Sheet1!$A:$AA,MATCH(J$1,Sheet1!$A$1:$AA$1,0),FALSE)=0,"",VLOOKUP($A35,Sheet1!$A:$AA,MATCH(J$1,Sheet1!$A$1:$AA$1,0),FALSE))</f>
        <v/>
      </c>
      <c r="K35" t="str">
        <f>IF(VLOOKUP($A35,Sheet1!$A:$AA,MATCH(K$1,Sheet1!$A$1:$AA$1,0),FALSE)=0,"",VLOOKUP($A35,Sheet1!$A:$AA,MATCH(K$1,Sheet1!$A$1:$AA$1,0),FALSE))</f>
        <v>CATALUÑA</v>
      </c>
      <c r="L35" t="str">
        <f>IF(VLOOKUP($A35,Sheet1!$A:$AA,MATCH(L$1,Sheet1!$A$1:$AA$1,0),FALSE)=0,"",VLOOKUP($A35,Sheet1!$A:$AA,MATCH(L$1,Sheet1!$A$1:$AA$1,0),FALSE))</f>
        <v/>
      </c>
      <c r="M35" t="str">
        <f>IF(VLOOKUP($A35,Sheet1!$A:$AA,MATCH(M$1,Sheet1!$A$1:$AA$1,0),FALSE)=0,"",VLOOKUP($A35,Sheet1!$A:$AA,MATCH(M$1,Sheet1!$A$1:$AA$1,0),FALSE))</f>
        <v/>
      </c>
      <c r="N35" t="str">
        <f>IF(VLOOKUP($A35,Sheet1!$A:$AA,MATCH(N$1,Sheet1!$A$1:$AA$1,0),FALSE)=0,"",VLOOKUP($A35,Sheet1!$A:$AA,MATCH(N$1,Sheet1!$A$1:$AA$1,0),FALSE))</f>
        <v/>
      </c>
      <c r="O35" t="str">
        <f>IF(VLOOKUP($A35,Sheet1!$A:$AA,MATCH(O$1,Sheet1!$A$1:$AA$1,0),FALSE)=0,"",VLOOKUP($A35,Sheet1!$A:$AA,MATCH(O$1,Sheet1!$A$1:$AA$1,0),FALSE))</f>
        <v/>
      </c>
      <c r="P35" t="str">
        <f>IF(VLOOKUP($A35,Sheet1!$A:$AA,MATCH(P$1,Sheet1!$A$1:$AA$1,0),FALSE)=0,"",VLOOKUP($A35,Sheet1!$A:$AA,MATCH(P$1,Sheet1!$A$1:$AA$1,0),FALSE))</f>
        <v/>
      </c>
      <c r="Q35" t="str">
        <f>IF(VLOOKUP($A35,Sheet1!$A:$AA,MATCH(Q$1,Sheet1!$A$1:$AA$1,0),FALSE)=0,"",VLOOKUP($A35,Sheet1!$A:$AA,MATCH(Q$1,Sheet1!$A$1:$AA$1,0),FALSE))</f>
        <v>F</v>
      </c>
      <c r="R35" s="2" t="str">
        <f>IF(VLOOKUP($A35,Sheet1!$A:$AA,MATCH(R$1,Sheet1!$A$1:$AA$1,0),FALSE)=0,"",VLOOKUP($A35,Sheet1!$A:$AA,MATCH(R$1,Sheet1!$A$1:$AA$1,0),FALSE))</f>
        <v/>
      </c>
      <c r="S35" t="str">
        <f>IF(VLOOKUP($A35,Sheet1!$A:$AA,MATCH(S$1,Sheet1!$A$1:$AA$1,0),FALSE)=0,"",VLOOKUP($A35,Sheet1!$A:$AA,MATCH(S$1,Sheet1!$A$1:$AA$1,0),FALSE))</f>
        <v>IF</v>
      </c>
      <c r="T35" t="str">
        <f>IF(VLOOKUP($A35,Sheet1!$A:$AA,MATCH(T$1,Sheet1!$A$1:$AA$1,0),FALSE)=0,"",VLOOKUP($A35,Sheet1!$A:$AA,MATCH(T$1,Sheet1!$A$1:$AA$1,0),FALSE))</f>
        <v>DF</v>
      </c>
      <c r="U35" t="str">
        <f>IF(VLOOKUP($A35,Sheet1!$A:$AA,MATCH(U$1,Sheet1!$A$1:$AA$1,0),FALSE)=0,"",VLOOKUP($A35,Sheet1!$A:$AA,MATCH(U$1,Sheet1!$A$1:$AA$1,0),FALSE))</f>
        <v/>
      </c>
      <c r="V35" t="str">
        <f>IF(VLOOKUP($A35,Sheet1!$A:$AA,MATCH(V$1,Sheet1!$A$1:$AA$1,0),FALSE)=0,"",VLOOKUP($A35,Sheet1!$A:$AA,MATCH(V$1,Sheet1!$A$1:$AA$1,0),FALSE))</f>
        <v/>
      </c>
      <c r="W35" t="str">
        <f>IF(VLOOKUP($A35,Sheet1!$A:$AA,MATCH(W$1,Sheet1!$A$1:$AA$1,0),FALSE)=0,"",VLOOKUP($A35,Sheet1!$A:$AA,MATCH(W$1,Sheet1!$A$1:$AA$1,0),FALSE))</f>
        <v>3.5</v>
      </c>
      <c r="X35" t="str">
        <f>IF(VLOOKUP($A35,Sheet1!$A:$AA,MATCH(X$1,Sheet1!$A$1:$AA$1,0),FALSE)=0,"",VLOOKUP($A35,Sheet1!$A:$AA,MATCH(X$1,Sheet1!$A$1:$AA$1,0),FALSE))</f>
        <v/>
      </c>
      <c r="Y35" t="str">
        <f>IF(VLOOKUP($A35,Sheet1!$A:$AA,MATCH(Y$1,Sheet1!$A$1:$AA$1,0),FALSE)=0,"",VLOOKUP($A35,Sheet1!$A:$AA,MATCH(Y$1,Sheet1!$A$1:$AA$1,0),FALSE))</f>
        <v/>
      </c>
      <c r="Z35" t="str">
        <f>IF(VLOOKUP($A35,Sheet1!$A:$AA,MATCH(Z$1,Sheet1!$A$1:$AA$1,0),FALSE)=0,"",VLOOKUP($A35,Sheet1!$A:$AA,MATCH(Z$1,Sheet1!$A$1:$AA$1,0),FALSE))</f>
        <v/>
      </c>
      <c r="AA35" t="str">
        <f ca="1">IF(VLOOKUP($A35,Sheet1!$A:$AA,MATCH(AA$1,Sheet1!$A$1:$AA$1,0),FALSE)=0,"",VLOOKUP($A35,Sheet1!$A:$AA,MATCH(AA$1,Sheet1!$A$1:$AA$1,0),FALSE))</f>
        <v/>
      </c>
    </row>
    <row r="36" spans="1:27" x14ac:dyDescent="0.25">
      <c r="A36">
        <v>16953342</v>
      </c>
      <c r="B36" t="str">
        <f>IF(VLOOKUP($A36,Sheet1!$A:$AA,MATCH(B$1,Sheet1!$A$1:$AA$1,0),FALSE)=0,"",VLOOKUP($A36,Sheet1!$A:$AA,MATCH(B$1,Sheet1!$A$1:$AA$1,0),FALSE))</f>
        <v>Gallego Ruiz-Mateos, Javier</v>
      </c>
      <c r="C36" t="str">
        <f>IF(VLOOKUP($A36,Sheet1!$A:$AA,MATCH(C$1,Sheet1!$A$1:$AA$1,0),FALSE)=0,"",VLOOKUP($A36,Sheet1!$A:$AA,MATCH(C$1,Sheet1!$A$1:$AA$1,0),FALSE))</f>
        <v>Gallego Ruiz-Mateos</v>
      </c>
      <c r="D36" t="str">
        <f>IF(VLOOKUP($A36,Sheet1!$A:$AA,MATCH(D$1,Sheet1!$A$1:$AA$1,0),FALSE)=0,"",VLOOKUP($A36,Sheet1!$A:$AA,MATCH(D$1,Sheet1!$A$1:$AA$1,0),FALSE))</f>
        <v>Javier</v>
      </c>
      <c r="E36" t="str">
        <f>IF(VLOOKUP($A36,Sheet1!$A:$AA,MATCH(E$1,Sheet1!$A$1:$AA$1,0),FALSE)=0,"",VLOOKUP($A36,Sheet1!$A:$AA,MATCH(E$1,Sheet1!$A$1:$AA$1,0),FALSE))</f>
        <v>Javier Gallego Ruiz-Mateos</v>
      </c>
      <c r="F36" t="str">
        <f>IF(VLOOKUP($A36,Sheet1!$A:$AA,MATCH(F$1,Sheet1!$A$1:$AA$1,0),FALSE)=0,"",VLOOKUP($A36,Sheet1!$A:$AA,MATCH(F$1,Sheet1!$A$1:$AA$1,0),FALSE))</f>
        <v/>
      </c>
      <c r="G36" t="str">
        <f>IF(VLOOKUP($A36,Sheet1!$A:$AA,MATCH(G$1,Sheet1!$A$1:$AA$1,0),FALSE)=0,"",VLOOKUP($A36,Sheet1!$A:$AA,MATCH(G$1,Sheet1!$A$1:$AA$1,0),FALSE))</f>
        <v/>
      </c>
      <c r="H36" t="str">
        <f>IF(VLOOKUP($A36,Sheet1!$A:$AA,MATCH(H$1,Sheet1!$A$1:$AA$1,0),FALSE)=0,"",VLOOKUP($A36,Sheet1!$A:$AA,MATCH(H$1,Sheet1!$A$1:$AA$1,0),FALSE))</f>
        <v/>
      </c>
      <c r="I36" t="str">
        <f>IF(VLOOKUP($A36,Sheet1!$A:$AA,MATCH(I$1,Sheet1!$A$1:$AA$1,0),FALSE)=0,"",VLOOKUP($A36,Sheet1!$A:$AA,MATCH(I$1,Sheet1!$A$1:$AA$1,0),FALSE))</f>
        <v/>
      </c>
      <c r="J36" t="str">
        <f>IF(VLOOKUP($A36,Sheet1!$A:$AA,MATCH(J$1,Sheet1!$A$1:$AA$1,0),FALSE)=0,"",VLOOKUP($A36,Sheet1!$A:$AA,MATCH(J$1,Sheet1!$A$1:$AA$1,0),FALSE))</f>
        <v/>
      </c>
      <c r="K36" t="str">
        <f>IF(VLOOKUP($A36,Sheet1!$A:$AA,MATCH(K$1,Sheet1!$A$1:$AA$1,0),FALSE)=0,"",VLOOKUP($A36,Sheet1!$A:$AA,MATCH(K$1,Sheet1!$A$1:$AA$1,0),FALSE))</f>
        <v>ANDALUCIA</v>
      </c>
      <c r="L36" t="str">
        <f>IF(VLOOKUP($A36,Sheet1!$A:$AA,MATCH(L$1,Sheet1!$A$1:$AA$1,0),FALSE)=0,"",VLOOKUP($A36,Sheet1!$A:$AA,MATCH(L$1,Sheet1!$A$1:$AA$1,0),FALSE))</f>
        <v/>
      </c>
      <c r="M36" t="str">
        <f>IF(VLOOKUP($A36,Sheet1!$A:$AA,MATCH(M$1,Sheet1!$A$1:$AA$1,0),FALSE)=0,"",VLOOKUP($A36,Sheet1!$A:$AA,MATCH(M$1,Sheet1!$A$1:$AA$1,0),FALSE))</f>
        <v/>
      </c>
      <c r="N36" t="str">
        <f>IF(VLOOKUP($A36,Sheet1!$A:$AA,MATCH(N$1,Sheet1!$A$1:$AA$1,0),FALSE)=0,"",VLOOKUP($A36,Sheet1!$A:$AA,MATCH(N$1,Sheet1!$A$1:$AA$1,0),FALSE))</f>
        <v/>
      </c>
      <c r="O36" t="str">
        <f>IF(VLOOKUP($A36,Sheet1!$A:$AA,MATCH(O$1,Sheet1!$A$1:$AA$1,0),FALSE)=0,"",VLOOKUP($A36,Sheet1!$A:$AA,MATCH(O$1,Sheet1!$A$1:$AA$1,0),FALSE))</f>
        <v/>
      </c>
      <c r="P36" t="str">
        <f>IF(VLOOKUP($A36,Sheet1!$A:$AA,MATCH(P$1,Sheet1!$A$1:$AA$1,0),FALSE)=0,"",VLOOKUP($A36,Sheet1!$A:$AA,MATCH(P$1,Sheet1!$A$1:$AA$1,0),FALSE))</f>
        <v/>
      </c>
      <c r="Q36" t="str">
        <f>IF(VLOOKUP($A36,Sheet1!$A:$AA,MATCH(Q$1,Sheet1!$A$1:$AA$1,0),FALSE)=0,"",VLOOKUP($A36,Sheet1!$A:$AA,MATCH(Q$1,Sheet1!$A$1:$AA$1,0),FALSE))</f>
        <v>M</v>
      </c>
      <c r="R36" s="2" t="str">
        <f>IF(VLOOKUP($A36,Sheet1!$A:$AA,MATCH(R$1,Sheet1!$A$1:$AA$1,0),FALSE)=0,"",VLOOKUP($A36,Sheet1!$A:$AA,MATCH(R$1,Sheet1!$A$1:$AA$1,0),FALSE))</f>
        <v/>
      </c>
      <c r="S36" t="str">
        <f>IF(VLOOKUP($A36,Sheet1!$A:$AA,MATCH(S$1,Sheet1!$A$1:$AA$1,0),FALSE)=0,"",VLOOKUP($A36,Sheet1!$A:$AA,MATCH(S$1,Sheet1!$A$1:$AA$1,0),FALSE))</f>
        <v>IM</v>
      </c>
      <c r="T36" t="str">
        <f>IF(VLOOKUP($A36,Sheet1!$A:$AA,MATCH(T$1,Sheet1!$A$1:$AA$1,0),FALSE)=0,"",VLOOKUP($A36,Sheet1!$A:$AA,MATCH(T$1,Sheet1!$A$1:$AA$1,0),FALSE))</f>
        <v>DM</v>
      </c>
      <c r="U36" t="str">
        <f>IF(VLOOKUP($A36,Sheet1!$A:$AA,MATCH(U$1,Sheet1!$A$1:$AA$1,0),FALSE)=0,"",VLOOKUP($A36,Sheet1!$A:$AA,MATCH(U$1,Sheet1!$A$1:$AA$1,0),FALSE))</f>
        <v>DX</v>
      </c>
      <c r="V36" t="str">
        <f>IF(VLOOKUP($A36,Sheet1!$A:$AA,MATCH(V$1,Sheet1!$A$1:$AA$1,0),FALSE)=0,"",VLOOKUP($A36,Sheet1!$A:$AA,MATCH(V$1,Sheet1!$A$1:$AA$1,0),FALSE))</f>
        <v/>
      </c>
      <c r="W36" t="str">
        <f>IF(VLOOKUP($A36,Sheet1!$A:$AA,MATCH(W$1,Sheet1!$A$1:$AA$1,0),FALSE)=0,"",VLOOKUP($A36,Sheet1!$A:$AA,MATCH(W$1,Sheet1!$A$1:$AA$1,0),FALSE))</f>
        <v>5.0</v>
      </c>
      <c r="X36" t="str">
        <f>IF(VLOOKUP($A36,Sheet1!$A:$AA,MATCH(X$1,Sheet1!$A$1:$AA$1,0),FALSE)=0,"",VLOOKUP($A36,Sheet1!$A:$AA,MATCH(X$1,Sheet1!$A$1:$AA$1,0),FALSE))</f>
        <v>5.0</v>
      </c>
      <c r="Y36" t="str">
        <f>IF(VLOOKUP($A36,Sheet1!$A:$AA,MATCH(Y$1,Sheet1!$A$1:$AA$1,0),FALSE)=0,"",VLOOKUP($A36,Sheet1!$A:$AA,MATCH(Y$1,Sheet1!$A$1:$AA$1,0),FALSE))</f>
        <v>5.0</v>
      </c>
      <c r="Z36" t="str">
        <f>IF(VLOOKUP($A36,Sheet1!$A:$AA,MATCH(Z$1,Sheet1!$A$1:$AA$1,0),FALSE)=0,"",VLOOKUP($A36,Sheet1!$A:$AA,MATCH(Z$1,Sheet1!$A$1:$AA$1,0),FALSE))</f>
        <v/>
      </c>
      <c r="AA36" t="str">
        <f ca="1">IF(VLOOKUP($A36,Sheet1!$A:$AA,MATCH(AA$1,Sheet1!$A$1:$AA$1,0),FALSE)=0,"",VLOOKUP($A36,Sheet1!$A:$AA,MATCH(AA$1,Sheet1!$A$1:$AA$1,0),FALSE))</f>
        <v/>
      </c>
    </row>
    <row r="37" spans="1:27" x14ac:dyDescent="0.25">
      <c r="A37">
        <v>10768961</v>
      </c>
      <c r="B37" t="str">
        <f>IF(VLOOKUP($A37,Sheet1!$A:$AA,MATCH(B$1,Sheet1!$A$1:$AA$1,0),FALSE)=0,"",VLOOKUP($A37,Sheet1!$A:$AA,MATCH(B$1,Sheet1!$A$1:$AA$1,0),FALSE))</f>
        <v>Prieto Perez, Álvaro</v>
      </c>
      <c r="C37" t="str">
        <f>IF(VLOOKUP($A37,Sheet1!$A:$AA,MATCH(C$1,Sheet1!$A$1:$AA$1,0),FALSE)=0,"",VLOOKUP($A37,Sheet1!$A:$AA,MATCH(C$1,Sheet1!$A$1:$AA$1,0),FALSE))</f>
        <v>Prieto Perez</v>
      </c>
      <c r="D37" t="str">
        <f>IF(VLOOKUP($A37,Sheet1!$A:$AA,MATCH(D$1,Sheet1!$A$1:$AA$1,0),FALSE)=0,"",VLOOKUP($A37,Sheet1!$A:$AA,MATCH(D$1,Sheet1!$A$1:$AA$1,0),FALSE))</f>
        <v>Álvaro</v>
      </c>
      <c r="E37" t="str">
        <f>IF(VLOOKUP($A37,Sheet1!$A:$AA,MATCH(E$1,Sheet1!$A$1:$AA$1,0),FALSE)=0,"",VLOOKUP($A37,Sheet1!$A:$AA,MATCH(E$1,Sheet1!$A$1:$AA$1,0),FALSE))</f>
        <v>Álvaro Prieto Perez</v>
      </c>
      <c r="F37" t="str">
        <f>IF(VLOOKUP($A37,Sheet1!$A:$AA,MATCH(F$1,Sheet1!$A$1:$AA$1,0),FALSE)=0,"",VLOOKUP($A37,Sheet1!$A:$AA,MATCH(F$1,Sheet1!$A$1:$AA$1,0),FALSE))</f>
        <v/>
      </c>
      <c r="G37" t="str">
        <f>IF(VLOOKUP($A37,Sheet1!$A:$AA,MATCH(G$1,Sheet1!$A$1:$AA$1,0),FALSE)=0,"",VLOOKUP($A37,Sheet1!$A:$AA,MATCH(G$1,Sheet1!$A$1:$AA$1,0),FALSE))</f>
        <v/>
      </c>
      <c r="H37" t="str">
        <f>IF(VLOOKUP($A37,Sheet1!$A:$AA,MATCH(H$1,Sheet1!$A$1:$AA$1,0),FALSE)=0,"",VLOOKUP($A37,Sheet1!$A:$AA,MATCH(H$1,Sheet1!$A$1:$AA$1,0),FALSE))</f>
        <v/>
      </c>
      <c r="I37" t="str">
        <f>IF(VLOOKUP($A37,Sheet1!$A:$AA,MATCH(I$1,Sheet1!$A$1:$AA$1,0),FALSE)=0,"",VLOOKUP($A37,Sheet1!$A:$AA,MATCH(I$1,Sheet1!$A$1:$AA$1,0),FALSE))</f>
        <v/>
      </c>
      <c r="J37" t="str">
        <f>IF(VLOOKUP($A37,Sheet1!$A:$AA,MATCH(J$1,Sheet1!$A$1:$AA$1,0),FALSE)=0,"",VLOOKUP($A37,Sheet1!$A:$AA,MATCH(J$1,Sheet1!$A$1:$AA$1,0),FALSE))</f>
        <v/>
      </c>
      <c r="K37" t="str">
        <f>IF(VLOOKUP($A37,Sheet1!$A:$AA,MATCH(K$1,Sheet1!$A$1:$AA$1,0),FALSE)=0,"",VLOOKUP($A37,Sheet1!$A:$AA,MATCH(K$1,Sheet1!$A$1:$AA$1,0),FALSE))</f>
        <v>MADRID</v>
      </c>
      <c r="L37" t="str">
        <f>IF(VLOOKUP($A37,Sheet1!$A:$AA,MATCH(L$1,Sheet1!$A$1:$AA$1,0),FALSE)=0,"",VLOOKUP($A37,Sheet1!$A:$AA,MATCH(L$1,Sheet1!$A$1:$AA$1,0),FALSE))</f>
        <v/>
      </c>
      <c r="M37" t="str">
        <f>IF(VLOOKUP($A37,Sheet1!$A:$AA,MATCH(M$1,Sheet1!$A$1:$AA$1,0),FALSE)=0,"",VLOOKUP($A37,Sheet1!$A:$AA,MATCH(M$1,Sheet1!$A$1:$AA$1,0),FALSE))</f>
        <v/>
      </c>
      <c r="N37" t="str">
        <f>IF(VLOOKUP($A37,Sheet1!$A:$AA,MATCH(N$1,Sheet1!$A$1:$AA$1,0),FALSE)=0,"",VLOOKUP($A37,Sheet1!$A:$AA,MATCH(N$1,Sheet1!$A$1:$AA$1,0),FALSE))</f>
        <v/>
      </c>
      <c r="O37" t="str">
        <f>IF(VLOOKUP($A37,Sheet1!$A:$AA,MATCH(O$1,Sheet1!$A$1:$AA$1,0),FALSE)=0,"",VLOOKUP($A37,Sheet1!$A:$AA,MATCH(O$1,Sheet1!$A$1:$AA$1,0),FALSE))</f>
        <v/>
      </c>
      <c r="P37" t="str">
        <f>IF(VLOOKUP($A37,Sheet1!$A:$AA,MATCH(P$1,Sheet1!$A$1:$AA$1,0),FALSE)=0,"",VLOOKUP($A37,Sheet1!$A:$AA,MATCH(P$1,Sheet1!$A$1:$AA$1,0),FALSE))</f>
        <v/>
      </c>
      <c r="Q37" t="str">
        <f>IF(VLOOKUP($A37,Sheet1!$A:$AA,MATCH(Q$1,Sheet1!$A$1:$AA$1,0),FALSE)=0,"",VLOOKUP($A37,Sheet1!$A:$AA,MATCH(Q$1,Sheet1!$A$1:$AA$1,0),FALSE))</f>
        <v>M</v>
      </c>
      <c r="R37" s="2">
        <f>IF(VLOOKUP($A37,Sheet1!$A:$AA,MATCH(R$1,Sheet1!$A$1:$AA$1,0),FALSE)=0,"",VLOOKUP($A37,Sheet1!$A:$AA,MATCH(R$1,Sheet1!$A$1:$AA$1,0),FALSE))</f>
        <v>29946</v>
      </c>
      <c r="S37" t="str">
        <f>IF(VLOOKUP($A37,Sheet1!$A:$AA,MATCH(S$1,Sheet1!$A$1:$AA$1,0),FALSE)=0,"",VLOOKUP($A37,Sheet1!$A:$AA,MATCH(S$1,Sheet1!$A$1:$AA$1,0),FALSE))</f>
        <v>IM</v>
      </c>
      <c r="T37" t="str">
        <f>IF(VLOOKUP($A37,Sheet1!$A:$AA,MATCH(T$1,Sheet1!$A$1:$AA$1,0),FALSE)=0,"",VLOOKUP($A37,Sheet1!$A:$AA,MATCH(T$1,Sheet1!$A$1:$AA$1,0),FALSE))</f>
        <v>DM</v>
      </c>
      <c r="U37" t="str">
        <f>IF(VLOOKUP($A37,Sheet1!$A:$AA,MATCH(U$1,Sheet1!$A$1:$AA$1,0),FALSE)=0,"",VLOOKUP($A37,Sheet1!$A:$AA,MATCH(U$1,Sheet1!$A$1:$AA$1,0),FALSE))</f>
        <v>DX</v>
      </c>
      <c r="V37" t="str">
        <f>IF(VLOOKUP($A37,Sheet1!$A:$AA,MATCH(V$1,Sheet1!$A$1:$AA$1,0),FALSE)=0,"",VLOOKUP($A37,Sheet1!$A:$AA,MATCH(V$1,Sheet1!$A$1:$AA$1,0),FALSE))</f>
        <v/>
      </c>
      <c r="W37" t="str">
        <f>IF(VLOOKUP($A37,Sheet1!$A:$AA,MATCH(W$1,Sheet1!$A$1:$AA$1,0),FALSE)=0,"",VLOOKUP($A37,Sheet1!$A:$AA,MATCH(W$1,Sheet1!$A$1:$AA$1,0),FALSE))</f>
        <v>5.0</v>
      </c>
      <c r="X37" t="str">
        <f>IF(VLOOKUP($A37,Sheet1!$A:$AA,MATCH(X$1,Sheet1!$A$1:$AA$1,0),FALSE)=0,"",VLOOKUP($A37,Sheet1!$A:$AA,MATCH(X$1,Sheet1!$A$1:$AA$1,0),FALSE))</f>
        <v>5.0</v>
      </c>
      <c r="Y37" t="str">
        <f>IF(VLOOKUP($A37,Sheet1!$A:$AA,MATCH(Y$1,Sheet1!$A$1:$AA$1,0),FALSE)=0,"",VLOOKUP($A37,Sheet1!$A:$AA,MATCH(Y$1,Sheet1!$A$1:$AA$1,0),FALSE))</f>
        <v>5.0</v>
      </c>
      <c r="Z37" t="str">
        <f>IF(VLOOKUP($A37,Sheet1!$A:$AA,MATCH(Z$1,Sheet1!$A$1:$AA$1,0),FALSE)=0,"",VLOOKUP($A37,Sheet1!$A:$AA,MATCH(Z$1,Sheet1!$A$1:$AA$1,0),FALSE))</f>
        <v/>
      </c>
      <c r="AA37">
        <f ca="1">IF(VLOOKUP($A37,Sheet1!$A:$AA,MATCH(AA$1,Sheet1!$A$1:$AA$1,0),FALSE)=0,"",VLOOKUP($A37,Sheet1!$A:$AA,MATCH(AA$1,Sheet1!$A$1:$AA$1,0),FALSE))</f>
        <v>43</v>
      </c>
    </row>
    <row r="38" spans="1:27" x14ac:dyDescent="0.25">
      <c r="A38">
        <v>10768185</v>
      </c>
      <c r="B38" t="str">
        <f>IF(VLOOKUP($A38,Sheet1!$A:$AA,MATCH(B$1,Sheet1!$A$1:$AA$1,0),FALSE)=0,"",VLOOKUP($A38,Sheet1!$A:$AA,MATCH(B$1,Sheet1!$A$1:$AA$1,0),FALSE))</f>
        <v>Cardenas Santa, Ernesto</v>
      </c>
      <c r="C38" t="str">
        <f>IF(VLOOKUP($A38,Sheet1!$A:$AA,MATCH(C$1,Sheet1!$A$1:$AA$1,0),FALSE)=0,"",VLOOKUP($A38,Sheet1!$A:$AA,MATCH(C$1,Sheet1!$A$1:$AA$1,0),FALSE))</f>
        <v>Cardenas Santa</v>
      </c>
      <c r="D38" t="str">
        <f>IF(VLOOKUP($A38,Sheet1!$A:$AA,MATCH(D$1,Sheet1!$A$1:$AA$1,0),FALSE)=0,"",VLOOKUP($A38,Sheet1!$A:$AA,MATCH(D$1,Sheet1!$A$1:$AA$1,0),FALSE))</f>
        <v>Ernesto</v>
      </c>
      <c r="E38" t="str">
        <f>IF(VLOOKUP($A38,Sheet1!$A:$AA,MATCH(E$1,Sheet1!$A$1:$AA$1,0),FALSE)=0,"",VLOOKUP($A38,Sheet1!$A:$AA,MATCH(E$1,Sheet1!$A$1:$AA$1,0),FALSE))</f>
        <v>Ernesto Cardenas Santa</v>
      </c>
      <c r="F38" t="str">
        <f>IF(VLOOKUP($A38,Sheet1!$A:$AA,MATCH(F$1,Sheet1!$A$1:$AA$1,0),FALSE)=0,"",VLOOKUP($A38,Sheet1!$A:$AA,MATCH(F$1,Sheet1!$A$1:$AA$1,0),FALSE))</f>
        <v/>
      </c>
      <c r="G38" t="str">
        <f>IF(VLOOKUP($A38,Sheet1!$A:$AA,MATCH(G$1,Sheet1!$A$1:$AA$1,0),FALSE)=0,"",VLOOKUP($A38,Sheet1!$A:$AA,MATCH(G$1,Sheet1!$A$1:$AA$1,0),FALSE))</f>
        <v/>
      </c>
      <c r="H38" t="str">
        <f>IF(VLOOKUP($A38,Sheet1!$A:$AA,MATCH(H$1,Sheet1!$A$1:$AA$1,0),FALSE)=0,"",VLOOKUP($A38,Sheet1!$A:$AA,MATCH(H$1,Sheet1!$A$1:$AA$1,0),FALSE))</f>
        <v/>
      </c>
      <c r="I38" t="str">
        <f>IF(VLOOKUP($A38,Sheet1!$A:$AA,MATCH(I$1,Sheet1!$A$1:$AA$1,0),FALSE)=0,"",VLOOKUP($A38,Sheet1!$A:$AA,MATCH(I$1,Sheet1!$A$1:$AA$1,0),FALSE))</f>
        <v/>
      </c>
      <c r="J38" t="str">
        <f>IF(VLOOKUP($A38,Sheet1!$A:$AA,MATCH(J$1,Sheet1!$A$1:$AA$1,0),FALSE)=0,"",VLOOKUP($A38,Sheet1!$A:$AA,MATCH(J$1,Sheet1!$A$1:$AA$1,0),FALSE))</f>
        <v/>
      </c>
      <c r="K38" t="str">
        <f>IF(VLOOKUP($A38,Sheet1!$A:$AA,MATCH(K$1,Sheet1!$A$1:$AA$1,0),FALSE)=0,"",VLOOKUP($A38,Sheet1!$A:$AA,MATCH(K$1,Sheet1!$A$1:$AA$1,0),FALSE))</f>
        <v/>
      </c>
      <c r="L38" t="str">
        <f>IF(VLOOKUP($A38,Sheet1!$A:$AA,MATCH(L$1,Sheet1!$A$1:$AA$1,0),FALSE)=0,"",VLOOKUP($A38,Sheet1!$A:$AA,MATCH(L$1,Sheet1!$A$1:$AA$1,0),FALSE))</f>
        <v/>
      </c>
      <c r="M38" t="str">
        <f>IF(VLOOKUP($A38,Sheet1!$A:$AA,MATCH(M$1,Sheet1!$A$1:$AA$1,0),FALSE)=0,"",VLOOKUP($A38,Sheet1!$A:$AA,MATCH(M$1,Sheet1!$A$1:$AA$1,0),FALSE))</f>
        <v/>
      </c>
      <c r="N38" t="str">
        <f>IF(VLOOKUP($A38,Sheet1!$A:$AA,MATCH(N$1,Sheet1!$A$1:$AA$1,0),FALSE)=0,"",VLOOKUP($A38,Sheet1!$A:$AA,MATCH(N$1,Sheet1!$A$1:$AA$1,0),FALSE))</f>
        <v/>
      </c>
      <c r="O38" t="str">
        <f>IF(VLOOKUP($A38,Sheet1!$A:$AA,MATCH(O$1,Sheet1!$A$1:$AA$1,0),FALSE)=0,"",VLOOKUP($A38,Sheet1!$A:$AA,MATCH(O$1,Sheet1!$A$1:$AA$1,0),FALSE))</f>
        <v/>
      </c>
      <c r="P38" t="str">
        <f>IF(VLOOKUP($A38,Sheet1!$A:$AA,MATCH(P$1,Sheet1!$A$1:$AA$1,0),FALSE)=0,"",VLOOKUP($A38,Sheet1!$A:$AA,MATCH(P$1,Sheet1!$A$1:$AA$1,0),FALSE))</f>
        <v/>
      </c>
      <c r="Q38" t="str">
        <f>IF(VLOOKUP($A38,Sheet1!$A:$AA,MATCH(Q$1,Sheet1!$A$1:$AA$1,0),FALSE)=0,"",VLOOKUP($A38,Sheet1!$A:$AA,MATCH(Q$1,Sheet1!$A$1:$AA$1,0),FALSE))</f>
        <v>M</v>
      </c>
      <c r="R38" s="2" t="str">
        <f>IF(VLOOKUP($A38,Sheet1!$A:$AA,MATCH(R$1,Sheet1!$A$1:$AA$1,0),FALSE)=0,"",VLOOKUP($A38,Sheet1!$A:$AA,MATCH(R$1,Sheet1!$A$1:$AA$1,0),FALSE))</f>
        <v/>
      </c>
      <c r="S38" t="str">
        <f>IF(VLOOKUP($A38,Sheet1!$A:$AA,MATCH(S$1,Sheet1!$A$1:$AA$1,0),FALSE)=0,"",VLOOKUP($A38,Sheet1!$A:$AA,MATCH(S$1,Sheet1!$A$1:$AA$1,0),FALSE))</f>
        <v>IM</v>
      </c>
      <c r="T38" t="str">
        <f>IF(VLOOKUP($A38,Sheet1!$A:$AA,MATCH(T$1,Sheet1!$A$1:$AA$1,0),FALSE)=0,"",VLOOKUP($A38,Sheet1!$A:$AA,MATCH(T$1,Sheet1!$A$1:$AA$1,0),FALSE))</f>
        <v>DM</v>
      </c>
      <c r="U38" t="str">
        <f>IF(VLOOKUP($A38,Sheet1!$A:$AA,MATCH(U$1,Sheet1!$A$1:$AA$1,0),FALSE)=0,"",VLOOKUP($A38,Sheet1!$A:$AA,MATCH(U$1,Sheet1!$A$1:$AA$1,0),FALSE))</f>
        <v>DX</v>
      </c>
      <c r="V38" t="str">
        <f>IF(VLOOKUP($A38,Sheet1!$A:$AA,MATCH(V$1,Sheet1!$A$1:$AA$1,0),FALSE)=0,"",VLOOKUP($A38,Sheet1!$A:$AA,MATCH(V$1,Sheet1!$A$1:$AA$1,0),FALSE))</f>
        <v/>
      </c>
      <c r="W38" t="str">
        <f>IF(VLOOKUP($A38,Sheet1!$A:$AA,MATCH(W$1,Sheet1!$A$1:$AA$1,0),FALSE)=0,"",VLOOKUP($A38,Sheet1!$A:$AA,MATCH(W$1,Sheet1!$A$1:$AA$1,0),FALSE))</f>
        <v>5.0</v>
      </c>
      <c r="X38" t="str">
        <f>IF(VLOOKUP($A38,Sheet1!$A:$AA,MATCH(X$1,Sheet1!$A$1:$AA$1,0),FALSE)=0,"",VLOOKUP($A38,Sheet1!$A:$AA,MATCH(X$1,Sheet1!$A$1:$AA$1,0),FALSE))</f>
        <v>5.0</v>
      </c>
      <c r="Y38" t="str">
        <f>IF(VLOOKUP($A38,Sheet1!$A:$AA,MATCH(Y$1,Sheet1!$A$1:$AA$1,0),FALSE)=0,"",VLOOKUP($A38,Sheet1!$A:$AA,MATCH(Y$1,Sheet1!$A$1:$AA$1,0),FALSE))</f>
        <v>5.0</v>
      </c>
      <c r="Z38" t="str">
        <f>IF(VLOOKUP($A38,Sheet1!$A:$AA,MATCH(Z$1,Sheet1!$A$1:$AA$1,0),FALSE)=0,"",VLOOKUP($A38,Sheet1!$A:$AA,MATCH(Z$1,Sheet1!$A$1:$AA$1,0),FALSE))</f>
        <v/>
      </c>
      <c r="AA38" t="str">
        <f ca="1">IF(VLOOKUP($A38,Sheet1!$A:$AA,MATCH(AA$1,Sheet1!$A$1:$AA$1,0),FALSE)=0,"",VLOOKUP($A38,Sheet1!$A:$AA,MATCH(AA$1,Sheet1!$A$1:$AA$1,0),FALSE))</f>
        <v/>
      </c>
    </row>
    <row r="39" spans="1:27" x14ac:dyDescent="0.25">
      <c r="A39">
        <v>10767103</v>
      </c>
      <c r="B39" t="str">
        <f>IF(VLOOKUP($A39,Sheet1!$A:$AA,MATCH(B$1,Sheet1!$A$1:$AA$1,0),FALSE)=0,"",VLOOKUP($A39,Sheet1!$A:$AA,MATCH(B$1,Sheet1!$A$1:$AA$1,0),FALSE))</f>
        <v>Perez Soto, Carlos Alberto</v>
      </c>
      <c r="C39" t="str">
        <f>IF(VLOOKUP($A39,Sheet1!$A:$AA,MATCH(C$1,Sheet1!$A$1:$AA$1,0),FALSE)=0,"",VLOOKUP($A39,Sheet1!$A:$AA,MATCH(C$1,Sheet1!$A$1:$AA$1,0),FALSE))</f>
        <v>Perez Soto</v>
      </c>
      <c r="D39" t="str">
        <f>IF(VLOOKUP($A39,Sheet1!$A:$AA,MATCH(D$1,Sheet1!$A$1:$AA$1,0),FALSE)=0,"",VLOOKUP($A39,Sheet1!$A:$AA,MATCH(D$1,Sheet1!$A$1:$AA$1,0),FALSE))</f>
        <v>Carlos Alberto</v>
      </c>
      <c r="E39" t="str">
        <f>IF(VLOOKUP($A39,Sheet1!$A:$AA,MATCH(E$1,Sheet1!$A$1:$AA$1,0),FALSE)=0,"",VLOOKUP($A39,Sheet1!$A:$AA,MATCH(E$1,Sheet1!$A$1:$AA$1,0),FALSE))</f>
        <v>Carlos Alberto Perez Soto</v>
      </c>
      <c r="F39" t="str">
        <f>IF(VLOOKUP($A39,Sheet1!$A:$AA,MATCH(F$1,Sheet1!$A$1:$AA$1,0),FALSE)=0,"",VLOOKUP($A39,Sheet1!$A:$AA,MATCH(F$1,Sheet1!$A$1:$AA$1,0),FALSE))</f>
        <v/>
      </c>
      <c r="G39" t="str">
        <f>IF(VLOOKUP($A39,Sheet1!$A:$AA,MATCH(G$1,Sheet1!$A$1:$AA$1,0),FALSE)=0,"",VLOOKUP($A39,Sheet1!$A:$AA,MATCH(G$1,Sheet1!$A$1:$AA$1,0),FALSE))</f>
        <v/>
      </c>
      <c r="H39" t="str">
        <f>IF(VLOOKUP($A39,Sheet1!$A:$AA,MATCH(H$1,Sheet1!$A$1:$AA$1,0),FALSE)=0,"",VLOOKUP($A39,Sheet1!$A:$AA,MATCH(H$1,Sheet1!$A$1:$AA$1,0),FALSE))</f>
        <v/>
      </c>
      <c r="I39" t="str">
        <f>IF(VLOOKUP($A39,Sheet1!$A:$AA,MATCH(I$1,Sheet1!$A$1:$AA$1,0),FALSE)=0,"",VLOOKUP($A39,Sheet1!$A:$AA,MATCH(I$1,Sheet1!$A$1:$AA$1,0),FALSE))</f>
        <v/>
      </c>
      <c r="J39" t="str">
        <f>IF(VLOOKUP($A39,Sheet1!$A:$AA,MATCH(J$1,Sheet1!$A$1:$AA$1,0),FALSE)=0,"",VLOOKUP($A39,Sheet1!$A:$AA,MATCH(J$1,Sheet1!$A$1:$AA$1,0),FALSE))</f>
        <v/>
      </c>
      <c r="K39" t="str">
        <f>IF(VLOOKUP($A39,Sheet1!$A:$AA,MATCH(K$1,Sheet1!$A$1:$AA$1,0),FALSE)=0,"",VLOOKUP($A39,Sheet1!$A:$AA,MATCH(K$1,Sheet1!$A$1:$AA$1,0),FALSE))</f>
        <v>MADRID</v>
      </c>
      <c r="L39" t="str">
        <f>IF(VLOOKUP($A39,Sheet1!$A:$AA,MATCH(L$1,Sheet1!$A$1:$AA$1,0),FALSE)=0,"",VLOOKUP($A39,Sheet1!$A:$AA,MATCH(L$1,Sheet1!$A$1:$AA$1,0),FALSE))</f>
        <v/>
      </c>
      <c r="M39" t="str">
        <f>IF(VLOOKUP($A39,Sheet1!$A:$AA,MATCH(M$1,Sheet1!$A$1:$AA$1,0),FALSE)=0,"",VLOOKUP($A39,Sheet1!$A:$AA,MATCH(M$1,Sheet1!$A$1:$AA$1,0),FALSE))</f>
        <v/>
      </c>
      <c r="N39" t="str">
        <f>IF(VLOOKUP($A39,Sheet1!$A:$AA,MATCH(N$1,Sheet1!$A$1:$AA$1,0),FALSE)=0,"",VLOOKUP($A39,Sheet1!$A:$AA,MATCH(N$1,Sheet1!$A$1:$AA$1,0),FALSE))</f>
        <v/>
      </c>
      <c r="O39" t="str">
        <f>IF(VLOOKUP($A39,Sheet1!$A:$AA,MATCH(O$1,Sheet1!$A$1:$AA$1,0),FALSE)=0,"",VLOOKUP($A39,Sheet1!$A:$AA,MATCH(O$1,Sheet1!$A$1:$AA$1,0),FALSE))</f>
        <v/>
      </c>
      <c r="P39" t="str">
        <f>IF(VLOOKUP($A39,Sheet1!$A:$AA,MATCH(P$1,Sheet1!$A$1:$AA$1,0),FALSE)=0,"",VLOOKUP($A39,Sheet1!$A:$AA,MATCH(P$1,Sheet1!$A$1:$AA$1,0),FALSE))</f>
        <v/>
      </c>
      <c r="Q39" t="str">
        <f>IF(VLOOKUP($A39,Sheet1!$A:$AA,MATCH(Q$1,Sheet1!$A$1:$AA$1,0),FALSE)=0,"",VLOOKUP($A39,Sheet1!$A:$AA,MATCH(Q$1,Sheet1!$A$1:$AA$1,0),FALSE))</f>
        <v>M</v>
      </c>
      <c r="R39" s="2">
        <f>IF(VLOOKUP($A39,Sheet1!$A:$AA,MATCH(R$1,Sheet1!$A$1:$AA$1,0),FALSE)=0,"",VLOOKUP($A39,Sheet1!$A:$AA,MATCH(R$1,Sheet1!$A$1:$AA$1,0),FALSE))</f>
        <v>28564</v>
      </c>
      <c r="S39" t="str">
        <f>IF(VLOOKUP($A39,Sheet1!$A:$AA,MATCH(S$1,Sheet1!$A$1:$AA$1,0),FALSE)=0,"",VLOOKUP($A39,Sheet1!$A:$AA,MATCH(S$1,Sheet1!$A$1:$AA$1,0),FALSE))</f>
        <v>IM</v>
      </c>
      <c r="T39" t="str">
        <f>IF(VLOOKUP($A39,Sheet1!$A:$AA,MATCH(T$1,Sheet1!$A$1:$AA$1,0),FALSE)=0,"",VLOOKUP($A39,Sheet1!$A:$AA,MATCH(T$1,Sheet1!$A$1:$AA$1,0),FALSE))</f>
        <v>DM</v>
      </c>
      <c r="U39" t="str">
        <f>IF(VLOOKUP($A39,Sheet1!$A:$AA,MATCH(U$1,Sheet1!$A$1:$AA$1,0),FALSE)=0,"",VLOOKUP($A39,Sheet1!$A:$AA,MATCH(U$1,Sheet1!$A$1:$AA$1,0),FALSE))</f>
        <v>DX</v>
      </c>
      <c r="V39" t="str">
        <f>IF(VLOOKUP($A39,Sheet1!$A:$AA,MATCH(V$1,Sheet1!$A$1:$AA$1,0),FALSE)=0,"",VLOOKUP($A39,Sheet1!$A:$AA,MATCH(V$1,Sheet1!$A$1:$AA$1,0),FALSE))</f>
        <v/>
      </c>
      <c r="W39" t="str">
        <f>IF(VLOOKUP($A39,Sheet1!$A:$AA,MATCH(W$1,Sheet1!$A$1:$AA$1,0),FALSE)=0,"",VLOOKUP($A39,Sheet1!$A:$AA,MATCH(W$1,Sheet1!$A$1:$AA$1,0),FALSE))</f>
        <v>5.0</v>
      </c>
      <c r="X39" t="str">
        <f>IF(VLOOKUP($A39,Sheet1!$A:$AA,MATCH(X$1,Sheet1!$A$1:$AA$1,0),FALSE)=0,"",VLOOKUP($A39,Sheet1!$A:$AA,MATCH(X$1,Sheet1!$A$1:$AA$1,0),FALSE))</f>
        <v>5.0</v>
      </c>
      <c r="Y39" t="str">
        <f>IF(VLOOKUP($A39,Sheet1!$A:$AA,MATCH(Y$1,Sheet1!$A$1:$AA$1,0),FALSE)=0,"",VLOOKUP($A39,Sheet1!$A:$AA,MATCH(Y$1,Sheet1!$A$1:$AA$1,0),FALSE))</f>
        <v>5.0</v>
      </c>
      <c r="Z39" t="str">
        <f>IF(VLOOKUP($A39,Sheet1!$A:$AA,MATCH(Z$1,Sheet1!$A$1:$AA$1,0),FALSE)=0,"",VLOOKUP($A39,Sheet1!$A:$AA,MATCH(Z$1,Sheet1!$A$1:$AA$1,0),FALSE))</f>
        <v/>
      </c>
      <c r="AA39">
        <f ca="1">IF(VLOOKUP($A39,Sheet1!$A:$AA,MATCH(AA$1,Sheet1!$A$1:$AA$1,0),FALSE)=0,"",VLOOKUP($A39,Sheet1!$A:$AA,MATCH(AA$1,Sheet1!$A$1:$AA$1,0),FALSE))</f>
        <v>46</v>
      </c>
    </row>
    <row r="40" spans="1:27" x14ac:dyDescent="0.25">
      <c r="A40">
        <v>16913578</v>
      </c>
      <c r="B40" t="str">
        <f>IF(VLOOKUP($A40,Sheet1!$A:$AA,MATCH(B$1,Sheet1!$A$1:$AA$1,0),FALSE)=0,"",VLOOKUP($A40,Sheet1!$A:$AA,MATCH(B$1,Sheet1!$A$1:$AA$1,0),FALSE))</f>
        <v>Serrano Ruano, Alexander</v>
      </c>
      <c r="C40" t="str">
        <f>IF(VLOOKUP($A40,Sheet1!$A:$AA,MATCH(C$1,Sheet1!$A$1:$AA$1,0),FALSE)=0,"",VLOOKUP($A40,Sheet1!$A:$AA,MATCH(C$1,Sheet1!$A$1:$AA$1,0),FALSE))</f>
        <v>Serrano Ruano</v>
      </c>
      <c r="D40" t="str">
        <f>IF(VLOOKUP($A40,Sheet1!$A:$AA,MATCH(D$1,Sheet1!$A$1:$AA$1,0),FALSE)=0,"",VLOOKUP($A40,Sheet1!$A:$AA,MATCH(D$1,Sheet1!$A$1:$AA$1,0),FALSE))</f>
        <v>Alexander</v>
      </c>
      <c r="E40" t="str">
        <f>IF(VLOOKUP($A40,Sheet1!$A:$AA,MATCH(E$1,Sheet1!$A$1:$AA$1,0),FALSE)=0,"",VLOOKUP($A40,Sheet1!$A:$AA,MATCH(E$1,Sheet1!$A$1:$AA$1,0),FALSE))</f>
        <v>Alexander Serrano Ruano</v>
      </c>
      <c r="F40" t="str">
        <f>IF(VLOOKUP($A40,Sheet1!$A:$AA,MATCH(F$1,Sheet1!$A$1:$AA$1,0),FALSE)=0,"",VLOOKUP($A40,Sheet1!$A:$AA,MATCH(F$1,Sheet1!$A$1:$AA$1,0),FALSE))</f>
        <v/>
      </c>
      <c r="G40" t="str">
        <f>IF(VLOOKUP($A40,Sheet1!$A:$AA,MATCH(G$1,Sheet1!$A$1:$AA$1,0),FALSE)=0,"",VLOOKUP($A40,Sheet1!$A:$AA,MATCH(G$1,Sheet1!$A$1:$AA$1,0),FALSE))</f>
        <v/>
      </c>
      <c r="H40" t="str">
        <f>IF(VLOOKUP($A40,Sheet1!$A:$AA,MATCH(H$1,Sheet1!$A$1:$AA$1,0),FALSE)=0,"",VLOOKUP($A40,Sheet1!$A:$AA,MATCH(H$1,Sheet1!$A$1:$AA$1,0),FALSE))</f>
        <v/>
      </c>
      <c r="I40" t="str">
        <f>IF(VLOOKUP($A40,Sheet1!$A:$AA,MATCH(I$1,Sheet1!$A$1:$AA$1,0),FALSE)=0,"",VLOOKUP($A40,Sheet1!$A:$AA,MATCH(I$1,Sheet1!$A$1:$AA$1,0),FALSE))</f>
        <v/>
      </c>
      <c r="J40" t="str">
        <f>IF(VLOOKUP($A40,Sheet1!$A:$AA,MATCH(J$1,Sheet1!$A$1:$AA$1,0),FALSE)=0,"",VLOOKUP($A40,Sheet1!$A:$AA,MATCH(J$1,Sheet1!$A$1:$AA$1,0),FALSE))</f>
        <v/>
      </c>
      <c r="K40" t="str">
        <f>IF(VLOOKUP($A40,Sheet1!$A:$AA,MATCH(K$1,Sheet1!$A$1:$AA$1,0),FALSE)=0,"",VLOOKUP($A40,Sheet1!$A:$AA,MATCH(K$1,Sheet1!$A$1:$AA$1,0),FALSE))</f>
        <v/>
      </c>
      <c r="L40" t="str">
        <f>IF(VLOOKUP($A40,Sheet1!$A:$AA,MATCH(L$1,Sheet1!$A$1:$AA$1,0),FALSE)=0,"",VLOOKUP($A40,Sheet1!$A:$AA,MATCH(L$1,Sheet1!$A$1:$AA$1,0),FALSE))</f>
        <v/>
      </c>
      <c r="M40" t="str">
        <f>IF(VLOOKUP($A40,Sheet1!$A:$AA,MATCH(M$1,Sheet1!$A$1:$AA$1,0),FALSE)=0,"",VLOOKUP($A40,Sheet1!$A:$AA,MATCH(M$1,Sheet1!$A$1:$AA$1,0),FALSE))</f>
        <v/>
      </c>
      <c r="N40" t="str">
        <f>IF(VLOOKUP($A40,Sheet1!$A:$AA,MATCH(N$1,Sheet1!$A$1:$AA$1,0),FALSE)=0,"",VLOOKUP($A40,Sheet1!$A:$AA,MATCH(N$1,Sheet1!$A$1:$AA$1,0),FALSE))</f>
        <v/>
      </c>
      <c r="O40" t="str">
        <f>IF(VLOOKUP($A40,Sheet1!$A:$AA,MATCH(O$1,Sheet1!$A$1:$AA$1,0),FALSE)=0,"",VLOOKUP($A40,Sheet1!$A:$AA,MATCH(O$1,Sheet1!$A$1:$AA$1,0),FALSE))</f>
        <v/>
      </c>
      <c r="P40" t="str">
        <f>IF(VLOOKUP($A40,Sheet1!$A:$AA,MATCH(P$1,Sheet1!$A$1:$AA$1,0),FALSE)=0,"",VLOOKUP($A40,Sheet1!$A:$AA,MATCH(P$1,Sheet1!$A$1:$AA$1,0),FALSE))</f>
        <v/>
      </c>
      <c r="Q40" t="str">
        <f>IF(VLOOKUP($A40,Sheet1!$A:$AA,MATCH(Q$1,Sheet1!$A$1:$AA$1,0),FALSE)=0,"",VLOOKUP($A40,Sheet1!$A:$AA,MATCH(Q$1,Sheet1!$A$1:$AA$1,0),FALSE))</f>
        <v>M</v>
      </c>
      <c r="R40" s="2" t="str">
        <f>IF(VLOOKUP($A40,Sheet1!$A:$AA,MATCH(R$1,Sheet1!$A$1:$AA$1,0),FALSE)=0,"",VLOOKUP($A40,Sheet1!$A:$AA,MATCH(R$1,Sheet1!$A$1:$AA$1,0),FALSE))</f>
        <v/>
      </c>
      <c r="S40" t="str">
        <f>IF(VLOOKUP($A40,Sheet1!$A:$AA,MATCH(S$1,Sheet1!$A$1:$AA$1,0),FALSE)=0,"",VLOOKUP($A40,Sheet1!$A:$AA,MATCH(S$1,Sheet1!$A$1:$AA$1,0),FALSE))</f>
        <v>IM</v>
      </c>
      <c r="T40" t="str">
        <f>IF(VLOOKUP($A40,Sheet1!$A:$AA,MATCH(T$1,Sheet1!$A$1:$AA$1,0),FALSE)=0,"",VLOOKUP($A40,Sheet1!$A:$AA,MATCH(T$1,Sheet1!$A$1:$AA$1,0),FALSE))</f>
        <v>DM</v>
      </c>
      <c r="U40" t="str">
        <f>IF(VLOOKUP($A40,Sheet1!$A:$AA,MATCH(U$1,Sheet1!$A$1:$AA$1,0),FALSE)=0,"",VLOOKUP($A40,Sheet1!$A:$AA,MATCH(U$1,Sheet1!$A$1:$AA$1,0),FALSE))</f>
        <v/>
      </c>
      <c r="V40" t="str">
        <f>IF(VLOOKUP($A40,Sheet1!$A:$AA,MATCH(V$1,Sheet1!$A$1:$AA$1,0),FALSE)=0,"",VLOOKUP($A40,Sheet1!$A:$AA,MATCH(V$1,Sheet1!$A$1:$AA$1,0),FALSE))</f>
        <v/>
      </c>
      <c r="W40" t="str">
        <f>IF(VLOOKUP($A40,Sheet1!$A:$AA,MATCH(W$1,Sheet1!$A$1:$AA$1,0),FALSE)=0,"",VLOOKUP($A40,Sheet1!$A:$AA,MATCH(W$1,Sheet1!$A$1:$AA$1,0),FALSE))</f>
        <v>5.0</v>
      </c>
      <c r="X40" t="str">
        <f>IF(VLOOKUP($A40,Sheet1!$A:$AA,MATCH(X$1,Sheet1!$A$1:$AA$1,0),FALSE)=0,"",VLOOKUP($A40,Sheet1!$A:$AA,MATCH(X$1,Sheet1!$A$1:$AA$1,0),FALSE))</f>
        <v>5.0</v>
      </c>
      <c r="Y40" t="str">
        <f>IF(VLOOKUP($A40,Sheet1!$A:$AA,MATCH(Y$1,Sheet1!$A$1:$AA$1,0),FALSE)=0,"",VLOOKUP($A40,Sheet1!$A:$AA,MATCH(Y$1,Sheet1!$A$1:$AA$1,0),FALSE))</f>
        <v/>
      </c>
      <c r="Z40" t="str">
        <f>IF(VLOOKUP($A40,Sheet1!$A:$AA,MATCH(Z$1,Sheet1!$A$1:$AA$1,0),FALSE)=0,"",VLOOKUP($A40,Sheet1!$A:$AA,MATCH(Z$1,Sheet1!$A$1:$AA$1,0),FALSE))</f>
        <v/>
      </c>
      <c r="AA40" t="str">
        <f ca="1">IF(VLOOKUP($A40,Sheet1!$A:$AA,MATCH(AA$1,Sheet1!$A$1:$AA$1,0),FALSE)=0,"",VLOOKUP($A40,Sheet1!$A:$AA,MATCH(AA$1,Sheet1!$A$1:$AA$1,0),FALSE))</f>
        <v/>
      </c>
    </row>
    <row r="41" spans="1:27" x14ac:dyDescent="0.25">
      <c r="A41">
        <v>10768789</v>
      </c>
      <c r="B41" t="str">
        <f>IF(VLOOKUP($A41,Sheet1!$A:$AA,MATCH(B$1,Sheet1!$A$1:$AA$1,0),FALSE)=0,"",VLOOKUP($A41,Sheet1!$A:$AA,MATCH(B$1,Sheet1!$A$1:$AA$1,0),FALSE))</f>
        <v>Linares Andrade, Joan Manuel</v>
      </c>
      <c r="C41" t="str">
        <f>IF(VLOOKUP($A41,Sheet1!$A:$AA,MATCH(C$1,Sheet1!$A$1:$AA$1,0),FALSE)=0,"",VLOOKUP($A41,Sheet1!$A:$AA,MATCH(C$1,Sheet1!$A$1:$AA$1,0),FALSE))</f>
        <v>Linares Andrade</v>
      </c>
      <c r="D41" t="str">
        <f>IF(VLOOKUP($A41,Sheet1!$A:$AA,MATCH(D$1,Sheet1!$A$1:$AA$1,0),FALSE)=0,"",VLOOKUP($A41,Sheet1!$A:$AA,MATCH(D$1,Sheet1!$A$1:$AA$1,0),FALSE))</f>
        <v>Joan Manuel</v>
      </c>
      <c r="E41" t="str">
        <f>IF(VLOOKUP($A41,Sheet1!$A:$AA,MATCH(E$1,Sheet1!$A$1:$AA$1,0),FALSE)=0,"",VLOOKUP($A41,Sheet1!$A:$AA,MATCH(E$1,Sheet1!$A$1:$AA$1,0),FALSE))</f>
        <v>Joan Manuel Linares Andrade</v>
      </c>
      <c r="F41" t="str">
        <f>IF(VLOOKUP($A41,Sheet1!$A:$AA,MATCH(F$1,Sheet1!$A$1:$AA$1,0),FALSE)=0,"",VLOOKUP($A41,Sheet1!$A:$AA,MATCH(F$1,Sheet1!$A$1:$AA$1,0),FALSE))</f>
        <v/>
      </c>
      <c r="G41" t="str">
        <f>IF(VLOOKUP($A41,Sheet1!$A:$AA,MATCH(G$1,Sheet1!$A$1:$AA$1,0),FALSE)=0,"",VLOOKUP($A41,Sheet1!$A:$AA,MATCH(G$1,Sheet1!$A$1:$AA$1,0),FALSE))</f>
        <v/>
      </c>
      <c r="H41" t="str">
        <f>IF(VLOOKUP($A41,Sheet1!$A:$AA,MATCH(H$1,Sheet1!$A$1:$AA$1,0),FALSE)=0,"",VLOOKUP($A41,Sheet1!$A:$AA,MATCH(H$1,Sheet1!$A$1:$AA$1,0),FALSE))</f>
        <v/>
      </c>
      <c r="I41" t="str">
        <f>IF(VLOOKUP($A41,Sheet1!$A:$AA,MATCH(I$1,Sheet1!$A$1:$AA$1,0),FALSE)=0,"",VLOOKUP($A41,Sheet1!$A:$AA,MATCH(I$1,Sheet1!$A$1:$AA$1,0),FALSE))</f>
        <v/>
      </c>
      <c r="J41" t="str">
        <f>IF(VLOOKUP($A41,Sheet1!$A:$AA,MATCH(J$1,Sheet1!$A$1:$AA$1,0),FALSE)=0,"",VLOOKUP($A41,Sheet1!$A:$AA,MATCH(J$1,Sheet1!$A$1:$AA$1,0),FALSE))</f>
        <v/>
      </c>
      <c r="K41" t="str">
        <f>IF(VLOOKUP($A41,Sheet1!$A:$AA,MATCH(K$1,Sheet1!$A$1:$AA$1,0),FALSE)=0,"",VLOOKUP($A41,Sheet1!$A:$AA,MATCH(K$1,Sheet1!$A$1:$AA$1,0),FALSE))</f>
        <v>MADRID</v>
      </c>
      <c r="L41" t="str">
        <f>IF(VLOOKUP($A41,Sheet1!$A:$AA,MATCH(L$1,Sheet1!$A$1:$AA$1,0),FALSE)=0,"",VLOOKUP($A41,Sheet1!$A:$AA,MATCH(L$1,Sheet1!$A$1:$AA$1,0),FALSE))</f>
        <v/>
      </c>
      <c r="M41" t="str">
        <f>IF(VLOOKUP($A41,Sheet1!$A:$AA,MATCH(M$1,Sheet1!$A$1:$AA$1,0),FALSE)=0,"",VLOOKUP($A41,Sheet1!$A:$AA,MATCH(M$1,Sheet1!$A$1:$AA$1,0),FALSE))</f>
        <v/>
      </c>
      <c r="N41" t="str">
        <f>IF(VLOOKUP($A41,Sheet1!$A:$AA,MATCH(N$1,Sheet1!$A$1:$AA$1,0),FALSE)=0,"",VLOOKUP($A41,Sheet1!$A:$AA,MATCH(N$1,Sheet1!$A$1:$AA$1,0),FALSE))</f>
        <v/>
      </c>
      <c r="O41" t="str">
        <f>IF(VLOOKUP($A41,Sheet1!$A:$AA,MATCH(O$1,Sheet1!$A$1:$AA$1,0),FALSE)=0,"",VLOOKUP($A41,Sheet1!$A:$AA,MATCH(O$1,Sheet1!$A$1:$AA$1,0),FALSE))</f>
        <v/>
      </c>
      <c r="P41" t="str">
        <f>IF(VLOOKUP($A41,Sheet1!$A:$AA,MATCH(P$1,Sheet1!$A$1:$AA$1,0),FALSE)=0,"",VLOOKUP($A41,Sheet1!$A:$AA,MATCH(P$1,Sheet1!$A$1:$AA$1,0),FALSE))</f>
        <v/>
      </c>
      <c r="Q41" t="str">
        <f>IF(VLOOKUP($A41,Sheet1!$A:$AA,MATCH(Q$1,Sheet1!$A$1:$AA$1,0),FALSE)=0,"",VLOOKUP($A41,Sheet1!$A:$AA,MATCH(Q$1,Sheet1!$A$1:$AA$1,0),FALSE))</f>
        <v>M</v>
      </c>
      <c r="R41" s="2">
        <f>IF(VLOOKUP($A41,Sheet1!$A:$AA,MATCH(R$1,Sheet1!$A$1:$AA$1,0),FALSE)=0,"",VLOOKUP($A41,Sheet1!$A:$AA,MATCH(R$1,Sheet1!$A$1:$AA$1,0),FALSE))</f>
        <v>26450</v>
      </c>
      <c r="S41" t="str">
        <f>IF(VLOOKUP($A41,Sheet1!$A:$AA,MATCH(S$1,Sheet1!$A$1:$AA$1,0),FALSE)=0,"",VLOOKUP($A41,Sheet1!$A:$AA,MATCH(S$1,Sheet1!$A$1:$AA$1,0),FALSE))</f>
        <v>IM</v>
      </c>
      <c r="T41" t="str">
        <f>IF(VLOOKUP($A41,Sheet1!$A:$AA,MATCH(T$1,Sheet1!$A$1:$AA$1,0),FALSE)=0,"",VLOOKUP($A41,Sheet1!$A:$AA,MATCH(T$1,Sheet1!$A$1:$AA$1,0),FALSE))</f>
        <v>DM</v>
      </c>
      <c r="U41" t="str">
        <f>IF(VLOOKUP($A41,Sheet1!$A:$AA,MATCH(U$1,Sheet1!$A$1:$AA$1,0),FALSE)=0,"",VLOOKUP($A41,Sheet1!$A:$AA,MATCH(U$1,Sheet1!$A$1:$AA$1,0),FALSE))</f>
        <v/>
      </c>
      <c r="V41" t="str">
        <f>IF(VLOOKUP($A41,Sheet1!$A:$AA,MATCH(V$1,Sheet1!$A$1:$AA$1,0),FALSE)=0,"",VLOOKUP($A41,Sheet1!$A:$AA,MATCH(V$1,Sheet1!$A$1:$AA$1,0),FALSE))</f>
        <v/>
      </c>
      <c r="W41" t="str">
        <f>IF(VLOOKUP($A41,Sheet1!$A:$AA,MATCH(W$1,Sheet1!$A$1:$AA$1,0),FALSE)=0,"",VLOOKUP($A41,Sheet1!$A:$AA,MATCH(W$1,Sheet1!$A$1:$AA$1,0),FALSE))</f>
        <v>5.0</v>
      </c>
      <c r="X41" t="str">
        <f>IF(VLOOKUP($A41,Sheet1!$A:$AA,MATCH(X$1,Sheet1!$A$1:$AA$1,0),FALSE)=0,"",VLOOKUP($A41,Sheet1!$A:$AA,MATCH(X$1,Sheet1!$A$1:$AA$1,0),FALSE))</f>
        <v>5.0</v>
      </c>
      <c r="Y41" t="str">
        <f>IF(VLOOKUP($A41,Sheet1!$A:$AA,MATCH(Y$1,Sheet1!$A$1:$AA$1,0),FALSE)=0,"",VLOOKUP($A41,Sheet1!$A:$AA,MATCH(Y$1,Sheet1!$A$1:$AA$1,0),FALSE))</f>
        <v/>
      </c>
      <c r="Z41" t="str">
        <f>IF(VLOOKUP($A41,Sheet1!$A:$AA,MATCH(Z$1,Sheet1!$A$1:$AA$1,0),FALSE)=0,"",VLOOKUP($A41,Sheet1!$A:$AA,MATCH(Z$1,Sheet1!$A$1:$AA$1,0),FALSE))</f>
        <v/>
      </c>
      <c r="AA41">
        <f ca="1">IF(VLOOKUP($A41,Sheet1!$A:$AA,MATCH(AA$1,Sheet1!$A$1:$AA$1,0),FALSE)=0,"",VLOOKUP($A41,Sheet1!$A:$AA,MATCH(AA$1,Sheet1!$A$1:$AA$1,0),FALSE))</f>
        <v>52</v>
      </c>
    </row>
    <row r="42" spans="1:27" x14ac:dyDescent="0.25">
      <c r="A42">
        <v>10769232</v>
      </c>
      <c r="B42" t="str">
        <f>IF(VLOOKUP($A42,Sheet1!$A:$AA,MATCH(B$1,Sheet1!$A$1:$AA$1,0),FALSE)=0,"",VLOOKUP($A42,Sheet1!$A:$AA,MATCH(B$1,Sheet1!$A$1:$AA$1,0),FALSE))</f>
        <v xml:space="preserve">Iriart Fernando, </v>
      </c>
      <c r="C42" t="str">
        <f>IF(VLOOKUP($A42,Sheet1!$A:$AA,MATCH(C$1,Sheet1!$A$1:$AA$1,0),FALSE)=0,"",VLOOKUP($A42,Sheet1!$A:$AA,MATCH(C$1,Sheet1!$A$1:$AA$1,0),FALSE))</f>
        <v>Iriart Fernando</v>
      </c>
      <c r="D42" t="str">
        <f>IF(VLOOKUP($A42,Sheet1!$A:$AA,MATCH(D$1,Sheet1!$A$1:$AA$1,0),FALSE)=0,"",VLOOKUP($A42,Sheet1!$A:$AA,MATCH(D$1,Sheet1!$A$1:$AA$1,0),FALSE))</f>
        <v/>
      </c>
      <c r="E42" t="str">
        <f>IF(VLOOKUP($A42,Sheet1!$A:$AA,MATCH(E$1,Sheet1!$A$1:$AA$1,0),FALSE)=0,"",VLOOKUP($A42,Sheet1!$A:$AA,MATCH(E$1,Sheet1!$A$1:$AA$1,0),FALSE))</f>
        <v xml:space="preserve"> Iriart Fernando</v>
      </c>
      <c r="F42" t="str">
        <f>IF(VLOOKUP($A42,Sheet1!$A:$AA,MATCH(F$1,Sheet1!$A$1:$AA$1,0),FALSE)=0,"",VLOOKUP($A42,Sheet1!$A:$AA,MATCH(F$1,Sheet1!$A$1:$AA$1,0),FALSE))</f>
        <v/>
      </c>
      <c r="G42" t="str">
        <f>IF(VLOOKUP($A42,Sheet1!$A:$AA,MATCH(G$1,Sheet1!$A$1:$AA$1,0),FALSE)=0,"",VLOOKUP($A42,Sheet1!$A:$AA,MATCH(G$1,Sheet1!$A$1:$AA$1,0),FALSE))</f>
        <v/>
      </c>
      <c r="H42" t="str">
        <f>IF(VLOOKUP($A42,Sheet1!$A:$AA,MATCH(H$1,Sheet1!$A$1:$AA$1,0),FALSE)=0,"",VLOOKUP($A42,Sheet1!$A:$AA,MATCH(H$1,Sheet1!$A$1:$AA$1,0),FALSE))</f>
        <v/>
      </c>
      <c r="I42" t="str">
        <f>IF(VLOOKUP($A42,Sheet1!$A:$AA,MATCH(I$1,Sheet1!$A$1:$AA$1,0),FALSE)=0,"",VLOOKUP($A42,Sheet1!$A:$AA,MATCH(I$1,Sheet1!$A$1:$AA$1,0),FALSE))</f>
        <v/>
      </c>
      <c r="J42" t="str">
        <f>IF(VLOOKUP($A42,Sheet1!$A:$AA,MATCH(J$1,Sheet1!$A$1:$AA$1,0),FALSE)=0,"",VLOOKUP($A42,Sheet1!$A:$AA,MATCH(J$1,Sheet1!$A$1:$AA$1,0),FALSE))</f>
        <v/>
      </c>
      <c r="K42" t="str">
        <f>IF(VLOOKUP($A42,Sheet1!$A:$AA,MATCH(K$1,Sheet1!$A$1:$AA$1,0),FALSE)=0,"",VLOOKUP($A42,Sheet1!$A:$AA,MATCH(K$1,Sheet1!$A$1:$AA$1,0),FALSE))</f>
        <v/>
      </c>
      <c r="L42" t="str">
        <f>IF(VLOOKUP($A42,Sheet1!$A:$AA,MATCH(L$1,Sheet1!$A$1:$AA$1,0),FALSE)=0,"",VLOOKUP($A42,Sheet1!$A:$AA,MATCH(L$1,Sheet1!$A$1:$AA$1,0),FALSE))</f>
        <v/>
      </c>
      <c r="M42" t="str">
        <f>IF(VLOOKUP($A42,Sheet1!$A:$AA,MATCH(M$1,Sheet1!$A$1:$AA$1,0),FALSE)=0,"",VLOOKUP($A42,Sheet1!$A:$AA,MATCH(M$1,Sheet1!$A$1:$AA$1,0),FALSE))</f>
        <v/>
      </c>
      <c r="N42" t="str">
        <f>IF(VLOOKUP($A42,Sheet1!$A:$AA,MATCH(N$1,Sheet1!$A$1:$AA$1,0),FALSE)=0,"",VLOOKUP($A42,Sheet1!$A:$AA,MATCH(N$1,Sheet1!$A$1:$AA$1,0),FALSE))</f>
        <v/>
      </c>
      <c r="O42" t="str">
        <f>IF(VLOOKUP($A42,Sheet1!$A:$AA,MATCH(O$1,Sheet1!$A$1:$AA$1,0),FALSE)=0,"",VLOOKUP($A42,Sheet1!$A:$AA,MATCH(O$1,Sheet1!$A$1:$AA$1,0),FALSE))</f>
        <v/>
      </c>
      <c r="P42" t="str">
        <f>IF(VLOOKUP($A42,Sheet1!$A:$AA,MATCH(P$1,Sheet1!$A$1:$AA$1,0),FALSE)=0,"",VLOOKUP($A42,Sheet1!$A:$AA,MATCH(P$1,Sheet1!$A$1:$AA$1,0),FALSE))</f>
        <v/>
      </c>
      <c r="Q42" t="str">
        <f>IF(VLOOKUP($A42,Sheet1!$A:$AA,MATCH(Q$1,Sheet1!$A$1:$AA$1,0),FALSE)=0,"",VLOOKUP($A42,Sheet1!$A:$AA,MATCH(Q$1,Sheet1!$A$1:$AA$1,0),FALSE))</f>
        <v>M</v>
      </c>
      <c r="R42" s="2" t="str">
        <f>IF(VLOOKUP($A42,Sheet1!$A:$AA,MATCH(R$1,Sheet1!$A$1:$AA$1,0),FALSE)=0,"",VLOOKUP($A42,Sheet1!$A:$AA,MATCH(R$1,Sheet1!$A$1:$AA$1,0),FALSE))</f>
        <v/>
      </c>
      <c r="S42" t="str">
        <f>IF(VLOOKUP($A42,Sheet1!$A:$AA,MATCH(S$1,Sheet1!$A$1:$AA$1,0),FALSE)=0,"",VLOOKUP($A42,Sheet1!$A:$AA,MATCH(S$1,Sheet1!$A$1:$AA$1,0),FALSE))</f>
        <v>IM</v>
      </c>
      <c r="T42" t="str">
        <f>IF(VLOOKUP($A42,Sheet1!$A:$AA,MATCH(T$1,Sheet1!$A$1:$AA$1,0),FALSE)=0,"",VLOOKUP($A42,Sheet1!$A:$AA,MATCH(T$1,Sheet1!$A$1:$AA$1,0),FALSE))</f>
        <v>DM</v>
      </c>
      <c r="U42" t="str">
        <f>IF(VLOOKUP($A42,Sheet1!$A:$AA,MATCH(U$1,Sheet1!$A$1:$AA$1,0),FALSE)=0,"",VLOOKUP($A42,Sheet1!$A:$AA,MATCH(U$1,Sheet1!$A$1:$AA$1,0),FALSE))</f>
        <v/>
      </c>
      <c r="V42" t="str">
        <f>IF(VLOOKUP($A42,Sheet1!$A:$AA,MATCH(V$1,Sheet1!$A$1:$AA$1,0),FALSE)=0,"",VLOOKUP($A42,Sheet1!$A:$AA,MATCH(V$1,Sheet1!$A$1:$AA$1,0),FALSE))</f>
        <v/>
      </c>
      <c r="W42" t="str">
        <f>IF(VLOOKUP($A42,Sheet1!$A:$AA,MATCH(W$1,Sheet1!$A$1:$AA$1,0),FALSE)=0,"",VLOOKUP($A42,Sheet1!$A:$AA,MATCH(W$1,Sheet1!$A$1:$AA$1,0),FALSE))</f>
        <v>5.0</v>
      </c>
      <c r="X42" t="str">
        <f>IF(VLOOKUP($A42,Sheet1!$A:$AA,MATCH(X$1,Sheet1!$A$1:$AA$1,0),FALSE)=0,"",VLOOKUP($A42,Sheet1!$A:$AA,MATCH(X$1,Sheet1!$A$1:$AA$1,0),FALSE))</f>
        <v>5.0</v>
      </c>
      <c r="Y42" t="str">
        <f>IF(VLOOKUP($A42,Sheet1!$A:$AA,MATCH(Y$1,Sheet1!$A$1:$AA$1,0),FALSE)=0,"",VLOOKUP($A42,Sheet1!$A:$AA,MATCH(Y$1,Sheet1!$A$1:$AA$1,0),FALSE))</f>
        <v/>
      </c>
      <c r="Z42" t="str">
        <f>IF(VLOOKUP($A42,Sheet1!$A:$AA,MATCH(Z$1,Sheet1!$A$1:$AA$1,0),FALSE)=0,"",VLOOKUP($A42,Sheet1!$A:$AA,MATCH(Z$1,Sheet1!$A$1:$AA$1,0),FALSE))</f>
        <v/>
      </c>
      <c r="AA42" t="str">
        <f ca="1">IF(VLOOKUP($A42,Sheet1!$A:$AA,MATCH(AA$1,Sheet1!$A$1:$AA$1,0),FALSE)=0,"",VLOOKUP($A42,Sheet1!$A:$AA,MATCH(AA$1,Sheet1!$A$1:$AA$1,0),FALSE))</f>
        <v/>
      </c>
    </row>
    <row r="43" spans="1:27" x14ac:dyDescent="0.25">
      <c r="A43">
        <v>16307672</v>
      </c>
      <c r="B43" t="str">
        <f>IF(VLOOKUP($A43,Sheet1!$A:$AA,MATCH(B$1,Sheet1!$A$1:$AA$1,0),FALSE)=0,"",VLOOKUP($A43,Sheet1!$A:$AA,MATCH(B$1,Sheet1!$A$1:$AA$1,0),FALSE))</f>
        <v>Cuadros Joglar, Ivan</v>
      </c>
      <c r="C43" t="str">
        <f>IF(VLOOKUP($A43,Sheet1!$A:$AA,MATCH(C$1,Sheet1!$A$1:$AA$1,0),FALSE)=0,"",VLOOKUP($A43,Sheet1!$A:$AA,MATCH(C$1,Sheet1!$A$1:$AA$1,0),FALSE))</f>
        <v>Cuadros Joglar</v>
      </c>
      <c r="D43" t="str">
        <f>IF(VLOOKUP($A43,Sheet1!$A:$AA,MATCH(D$1,Sheet1!$A$1:$AA$1,0),FALSE)=0,"",VLOOKUP($A43,Sheet1!$A:$AA,MATCH(D$1,Sheet1!$A$1:$AA$1,0),FALSE))</f>
        <v>Ivan</v>
      </c>
      <c r="E43" t="str">
        <f>IF(VLOOKUP($A43,Sheet1!$A:$AA,MATCH(E$1,Sheet1!$A$1:$AA$1,0),FALSE)=0,"",VLOOKUP($A43,Sheet1!$A:$AA,MATCH(E$1,Sheet1!$A$1:$AA$1,0),FALSE))</f>
        <v>Ivan Cuadros Joglar</v>
      </c>
      <c r="F43" t="str">
        <f>IF(VLOOKUP($A43,Sheet1!$A:$AA,MATCH(F$1,Sheet1!$A$1:$AA$1,0),FALSE)=0,"",VLOOKUP($A43,Sheet1!$A:$AA,MATCH(F$1,Sheet1!$A$1:$AA$1,0),FALSE))</f>
        <v/>
      </c>
      <c r="G43" t="str">
        <f>IF(VLOOKUP($A43,Sheet1!$A:$AA,MATCH(G$1,Sheet1!$A$1:$AA$1,0),FALSE)=0,"",VLOOKUP($A43,Sheet1!$A:$AA,MATCH(G$1,Sheet1!$A$1:$AA$1,0),FALSE))</f>
        <v/>
      </c>
      <c r="H43" t="str">
        <f>IF(VLOOKUP($A43,Sheet1!$A:$AA,MATCH(H$1,Sheet1!$A$1:$AA$1,0),FALSE)=0,"",VLOOKUP($A43,Sheet1!$A:$AA,MATCH(H$1,Sheet1!$A$1:$AA$1,0),FALSE))</f>
        <v/>
      </c>
      <c r="I43" t="str">
        <f>IF(VLOOKUP($A43,Sheet1!$A:$AA,MATCH(I$1,Sheet1!$A$1:$AA$1,0),FALSE)=0,"",VLOOKUP($A43,Sheet1!$A:$AA,MATCH(I$1,Sheet1!$A$1:$AA$1,0),FALSE))</f>
        <v/>
      </c>
      <c r="J43" t="str">
        <f>IF(VLOOKUP($A43,Sheet1!$A:$AA,MATCH(J$1,Sheet1!$A$1:$AA$1,0),FALSE)=0,"",VLOOKUP($A43,Sheet1!$A:$AA,MATCH(J$1,Sheet1!$A$1:$AA$1,0),FALSE))</f>
        <v/>
      </c>
      <c r="K43" t="str">
        <f>IF(VLOOKUP($A43,Sheet1!$A:$AA,MATCH(K$1,Sheet1!$A$1:$AA$1,0),FALSE)=0,"",VLOOKUP($A43,Sheet1!$A:$AA,MATCH(K$1,Sheet1!$A$1:$AA$1,0),FALSE))</f>
        <v/>
      </c>
      <c r="L43" t="str">
        <f>IF(VLOOKUP($A43,Sheet1!$A:$AA,MATCH(L$1,Sheet1!$A$1:$AA$1,0),FALSE)=0,"",VLOOKUP($A43,Sheet1!$A:$AA,MATCH(L$1,Sheet1!$A$1:$AA$1,0),FALSE))</f>
        <v/>
      </c>
      <c r="M43" t="str">
        <f>IF(VLOOKUP($A43,Sheet1!$A:$AA,MATCH(M$1,Sheet1!$A$1:$AA$1,0),FALSE)=0,"",VLOOKUP($A43,Sheet1!$A:$AA,MATCH(M$1,Sheet1!$A$1:$AA$1,0),FALSE))</f>
        <v/>
      </c>
      <c r="N43" t="str">
        <f>IF(VLOOKUP($A43,Sheet1!$A:$AA,MATCH(N$1,Sheet1!$A$1:$AA$1,0),FALSE)=0,"",VLOOKUP($A43,Sheet1!$A:$AA,MATCH(N$1,Sheet1!$A$1:$AA$1,0),FALSE))</f>
        <v/>
      </c>
      <c r="O43" t="str">
        <f>IF(VLOOKUP($A43,Sheet1!$A:$AA,MATCH(O$1,Sheet1!$A$1:$AA$1,0),FALSE)=0,"",VLOOKUP($A43,Sheet1!$A:$AA,MATCH(O$1,Sheet1!$A$1:$AA$1,0),FALSE))</f>
        <v/>
      </c>
      <c r="P43" t="str">
        <f>IF(VLOOKUP($A43,Sheet1!$A:$AA,MATCH(P$1,Sheet1!$A$1:$AA$1,0),FALSE)=0,"",VLOOKUP($A43,Sheet1!$A:$AA,MATCH(P$1,Sheet1!$A$1:$AA$1,0),FALSE))</f>
        <v/>
      </c>
      <c r="Q43" t="str">
        <f>IF(VLOOKUP($A43,Sheet1!$A:$AA,MATCH(Q$1,Sheet1!$A$1:$AA$1,0),FALSE)=0,"",VLOOKUP($A43,Sheet1!$A:$AA,MATCH(Q$1,Sheet1!$A$1:$AA$1,0),FALSE))</f>
        <v>M</v>
      </c>
      <c r="R43" s="2" t="str">
        <f>IF(VLOOKUP($A43,Sheet1!$A:$AA,MATCH(R$1,Sheet1!$A$1:$AA$1,0),FALSE)=0,"",VLOOKUP($A43,Sheet1!$A:$AA,MATCH(R$1,Sheet1!$A$1:$AA$1,0),FALSE))</f>
        <v/>
      </c>
      <c r="S43" t="str">
        <f>IF(VLOOKUP($A43,Sheet1!$A:$AA,MATCH(S$1,Sheet1!$A$1:$AA$1,0),FALSE)=0,"",VLOOKUP($A43,Sheet1!$A:$AA,MATCH(S$1,Sheet1!$A$1:$AA$1,0),FALSE))</f>
        <v>IM</v>
      </c>
      <c r="T43" t="str">
        <f>IF(VLOOKUP($A43,Sheet1!$A:$AA,MATCH(T$1,Sheet1!$A$1:$AA$1,0),FALSE)=0,"",VLOOKUP($A43,Sheet1!$A:$AA,MATCH(T$1,Sheet1!$A$1:$AA$1,0),FALSE))</f>
        <v>DM</v>
      </c>
      <c r="U43" t="str">
        <f>IF(VLOOKUP($A43,Sheet1!$A:$AA,MATCH(U$1,Sheet1!$A$1:$AA$1,0),FALSE)=0,"",VLOOKUP($A43,Sheet1!$A:$AA,MATCH(U$1,Sheet1!$A$1:$AA$1,0),FALSE))</f>
        <v/>
      </c>
      <c r="V43" t="str">
        <f>IF(VLOOKUP($A43,Sheet1!$A:$AA,MATCH(V$1,Sheet1!$A$1:$AA$1,0),FALSE)=0,"",VLOOKUP($A43,Sheet1!$A:$AA,MATCH(V$1,Sheet1!$A$1:$AA$1,0),FALSE))</f>
        <v/>
      </c>
      <c r="W43" t="str">
        <f>IF(VLOOKUP($A43,Sheet1!$A:$AA,MATCH(W$1,Sheet1!$A$1:$AA$1,0),FALSE)=0,"",VLOOKUP($A43,Sheet1!$A:$AA,MATCH(W$1,Sheet1!$A$1:$AA$1,0),FALSE))</f>
        <v>5.0</v>
      </c>
      <c r="X43" t="str">
        <f>IF(VLOOKUP($A43,Sheet1!$A:$AA,MATCH(X$1,Sheet1!$A$1:$AA$1,0),FALSE)=0,"",VLOOKUP($A43,Sheet1!$A:$AA,MATCH(X$1,Sheet1!$A$1:$AA$1,0),FALSE))</f>
        <v>5.0</v>
      </c>
      <c r="Y43" t="str">
        <f>IF(VLOOKUP($A43,Sheet1!$A:$AA,MATCH(Y$1,Sheet1!$A$1:$AA$1,0),FALSE)=0,"",VLOOKUP($A43,Sheet1!$A:$AA,MATCH(Y$1,Sheet1!$A$1:$AA$1,0),FALSE))</f>
        <v/>
      </c>
      <c r="Z43" t="str">
        <f>IF(VLOOKUP($A43,Sheet1!$A:$AA,MATCH(Z$1,Sheet1!$A$1:$AA$1,0),FALSE)=0,"",VLOOKUP($A43,Sheet1!$A:$AA,MATCH(Z$1,Sheet1!$A$1:$AA$1,0),FALSE))</f>
        <v/>
      </c>
      <c r="AA43" t="str">
        <f ca="1">IF(VLOOKUP($A43,Sheet1!$A:$AA,MATCH(AA$1,Sheet1!$A$1:$AA$1,0),FALSE)=0,"",VLOOKUP($A43,Sheet1!$A:$AA,MATCH(AA$1,Sheet1!$A$1:$AA$1,0),FALSE))</f>
        <v/>
      </c>
    </row>
    <row r="44" spans="1:27" x14ac:dyDescent="0.25">
      <c r="A44">
        <v>10769282</v>
      </c>
      <c r="B44" t="str">
        <f>IF(VLOOKUP($A44,Sheet1!$A:$AA,MATCH(B$1,Sheet1!$A$1:$AA$1,0),FALSE)=0,"",VLOOKUP($A44,Sheet1!$A:$AA,MATCH(B$1,Sheet1!$A$1:$AA$1,0),FALSE))</f>
        <v>Rodriguez Requejo, Fernando</v>
      </c>
      <c r="C44" t="str">
        <f>IF(VLOOKUP($A44,Sheet1!$A:$AA,MATCH(C$1,Sheet1!$A$1:$AA$1,0),FALSE)=0,"",VLOOKUP($A44,Sheet1!$A:$AA,MATCH(C$1,Sheet1!$A$1:$AA$1,0),FALSE))</f>
        <v>Rodriguez Requejo</v>
      </c>
      <c r="D44" t="str">
        <f>IF(VLOOKUP($A44,Sheet1!$A:$AA,MATCH(D$1,Sheet1!$A$1:$AA$1,0),FALSE)=0,"",VLOOKUP($A44,Sheet1!$A:$AA,MATCH(D$1,Sheet1!$A$1:$AA$1,0),FALSE))</f>
        <v>Fernando</v>
      </c>
      <c r="E44" t="str">
        <f>IF(VLOOKUP($A44,Sheet1!$A:$AA,MATCH(E$1,Sheet1!$A$1:$AA$1,0),FALSE)=0,"",VLOOKUP($A44,Sheet1!$A:$AA,MATCH(E$1,Sheet1!$A$1:$AA$1,0),FALSE))</f>
        <v>Fernando Rodriguez Requejo</v>
      </c>
      <c r="F44" t="str">
        <f>IF(VLOOKUP($A44,Sheet1!$A:$AA,MATCH(F$1,Sheet1!$A$1:$AA$1,0),FALSE)=0,"",VLOOKUP($A44,Sheet1!$A:$AA,MATCH(F$1,Sheet1!$A$1:$AA$1,0),FALSE))</f>
        <v/>
      </c>
      <c r="G44" t="str">
        <f>IF(VLOOKUP($A44,Sheet1!$A:$AA,MATCH(G$1,Sheet1!$A$1:$AA$1,0),FALSE)=0,"",VLOOKUP($A44,Sheet1!$A:$AA,MATCH(G$1,Sheet1!$A$1:$AA$1,0),FALSE))</f>
        <v/>
      </c>
      <c r="H44" t="str">
        <f>IF(VLOOKUP($A44,Sheet1!$A:$AA,MATCH(H$1,Sheet1!$A$1:$AA$1,0),FALSE)=0,"",VLOOKUP($A44,Sheet1!$A:$AA,MATCH(H$1,Sheet1!$A$1:$AA$1,0),FALSE))</f>
        <v/>
      </c>
      <c r="I44" t="str">
        <f>IF(VLOOKUP($A44,Sheet1!$A:$AA,MATCH(I$1,Sheet1!$A$1:$AA$1,0),FALSE)=0,"",VLOOKUP($A44,Sheet1!$A:$AA,MATCH(I$1,Sheet1!$A$1:$AA$1,0),FALSE))</f>
        <v/>
      </c>
      <c r="J44" t="str">
        <f>IF(VLOOKUP($A44,Sheet1!$A:$AA,MATCH(J$1,Sheet1!$A$1:$AA$1,0),FALSE)=0,"",VLOOKUP($A44,Sheet1!$A:$AA,MATCH(J$1,Sheet1!$A$1:$AA$1,0),FALSE))</f>
        <v/>
      </c>
      <c r="K44" t="str">
        <f>IF(VLOOKUP($A44,Sheet1!$A:$AA,MATCH(K$1,Sheet1!$A$1:$AA$1,0),FALSE)=0,"",VLOOKUP($A44,Sheet1!$A:$AA,MATCH(K$1,Sheet1!$A$1:$AA$1,0),FALSE))</f>
        <v/>
      </c>
      <c r="L44" t="str">
        <f>IF(VLOOKUP($A44,Sheet1!$A:$AA,MATCH(L$1,Sheet1!$A$1:$AA$1,0),FALSE)=0,"",VLOOKUP($A44,Sheet1!$A:$AA,MATCH(L$1,Sheet1!$A$1:$AA$1,0),FALSE))</f>
        <v/>
      </c>
      <c r="M44" t="str">
        <f>IF(VLOOKUP($A44,Sheet1!$A:$AA,MATCH(M$1,Sheet1!$A$1:$AA$1,0),FALSE)=0,"",VLOOKUP($A44,Sheet1!$A:$AA,MATCH(M$1,Sheet1!$A$1:$AA$1,0),FALSE))</f>
        <v/>
      </c>
      <c r="N44" t="str">
        <f>IF(VLOOKUP($A44,Sheet1!$A:$AA,MATCH(N$1,Sheet1!$A$1:$AA$1,0),FALSE)=0,"",VLOOKUP($A44,Sheet1!$A:$AA,MATCH(N$1,Sheet1!$A$1:$AA$1,0),FALSE))</f>
        <v/>
      </c>
      <c r="O44" t="str">
        <f>IF(VLOOKUP($A44,Sheet1!$A:$AA,MATCH(O$1,Sheet1!$A$1:$AA$1,0),FALSE)=0,"",VLOOKUP($A44,Sheet1!$A:$AA,MATCH(O$1,Sheet1!$A$1:$AA$1,0),FALSE))</f>
        <v/>
      </c>
      <c r="P44" t="str">
        <f>IF(VLOOKUP($A44,Sheet1!$A:$AA,MATCH(P$1,Sheet1!$A$1:$AA$1,0),FALSE)=0,"",VLOOKUP($A44,Sheet1!$A:$AA,MATCH(P$1,Sheet1!$A$1:$AA$1,0),FALSE))</f>
        <v/>
      </c>
      <c r="Q44" t="str">
        <f>IF(VLOOKUP($A44,Sheet1!$A:$AA,MATCH(Q$1,Sheet1!$A$1:$AA$1,0),FALSE)=0,"",VLOOKUP($A44,Sheet1!$A:$AA,MATCH(Q$1,Sheet1!$A$1:$AA$1,0),FALSE))</f>
        <v>M</v>
      </c>
      <c r="R44" s="2" t="str">
        <f>IF(VLOOKUP($A44,Sheet1!$A:$AA,MATCH(R$1,Sheet1!$A$1:$AA$1,0),FALSE)=0,"",VLOOKUP($A44,Sheet1!$A:$AA,MATCH(R$1,Sheet1!$A$1:$AA$1,0),FALSE))</f>
        <v/>
      </c>
      <c r="S44" t="str">
        <f>IF(VLOOKUP($A44,Sheet1!$A:$AA,MATCH(S$1,Sheet1!$A$1:$AA$1,0),FALSE)=0,"",VLOOKUP($A44,Sheet1!$A:$AA,MATCH(S$1,Sheet1!$A$1:$AA$1,0),FALSE))</f>
        <v>IM</v>
      </c>
      <c r="T44" t="str">
        <f>IF(VLOOKUP($A44,Sheet1!$A:$AA,MATCH(T$1,Sheet1!$A$1:$AA$1,0),FALSE)=0,"",VLOOKUP($A44,Sheet1!$A:$AA,MATCH(T$1,Sheet1!$A$1:$AA$1,0),FALSE))</f>
        <v>DM</v>
      </c>
      <c r="U44" t="str">
        <f>IF(VLOOKUP($A44,Sheet1!$A:$AA,MATCH(U$1,Sheet1!$A$1:$AA$1,0),FALSE)=0,"",VLOOKUP($A44,Sheet1!$A:$AA,MATCH(U$1,Sheet1!$A$1:$AA$1,0),FALSE))</f>
        <v/>
      </c>
      <c r="V44" t="str">
        <f>IF(VLOOKUP($A44,Sheet1!$A:$AA,MATCH(V$1,Sheet1!$A$1:$AA$1,0),FALSE)=0,"",VLOOKUP($A44,Sheet1!$A:$AA,MATCH(V$1,Sheet1!$A$1:$AA$1,0),FALSE))</f>
        <v/>
      </c>
      <c r="W44" t="str">
        <f>IF(VLOOKUP($A44,Sheet1!$A:$AA,MATCH(W$1,Sheet1!$A$1:$AA$1,0),FALSE)=0,"",VLOOKUP($A44,Sheet1!$A:$AA,MATCH(W$1,Sheet1!$A$1:$AA$1,0),FALSE))</f>
        <v>5.0</v>
      </c>
      <c r="X44" t="str">
        <f>IF(VLOOKUP($A44,Sheet1!$A:$AA,MATCH(X$1,Sheet1!$A$1:$AA$1,0),FALSE)=0,"",VLOOKUP($A44,Sheet1!$A:$AA,MATCH(X$1,Sheet1!$A$1:$AA$1,0),FALSE))</f>
        <v>5.0</v>
      </c>
      <c r="Y44" t="str">
        <f>IF(VLOOKUP($A44,Sheet1!$A:$AA,MATCH(Y$1,Sheet1!$A$1:$AA$1,0),FALSE)=0,"",VLOOKUP($A44,Sheet1!$A:$AA,MATCH(Y$1,Sheet1!$A$1:$AA$1,0),FALSE))</f>
        <v/>
      </c>
      <c r="Z44" t="str">
        <f>IF(VLOOKUP($A44,Sheet1!$A:$AA,MATCH(Z$1,Sheet1!$A$1:$AA$1,0),FALSE)=0,"",VLOOKUP($A44,Sheet1!$A:$AA,MATCH(Z$1,Sheet1!$A$1:$AA$1,0),FALSE))</f>
        <v/>
      </c>
      <c r="AA44" t="str">
        <f ca="1">IF(VLOOKUP($A44,Sheet1!$A:$AA,MATCH(AA$1,Sheet1!$A$1:$AA$1,0),FALSE)=0,"",VLOOKUP($A44,Sheet1!$A:$AA,MATCH(AA$1,Sheet1!$A$1:$AA$1,0),FALSE))</f>
        <v/>
      </c>
    </row>
    <row r="45" spans="1:27" x14ac:dyDescent="0.25">
      <c r="A45">
        <v>10767327</v>
      </c>
      <c r="B45" t="str">
        <f>IF(VLOOKUP($A45,Sheet1!$A:$AA,MATCH(B$1,Sheet1!$A$1:$AA$1,0),FALSE)=0,"",VLOOKUP($A45,Sheet1!$A:$AA,MATCH(B$1,Sheet1!$A$1:$AA$1,0),FALSE))</f>
        <v>Rodriguez Serna, Maria</v>
      </c>
      <c r="C45" t="str">
        <f>IF(VLOOKUP($A45,Sheet1!$A:$AA,MATCH(C$1,Sheet1!$A$1:$AA$1,0),FALSE)=0,"",VLOOKUP($A45,Sheet1!$A:$AA,MATCH(C$1,Sheet1!$A$1:$AA$1,0),FALSE))</f>
        <v>Rodriguez Serna</v>
      </c>
      <c r="D45" t="str">
        <f>IF(VLOOKUP($A45,Sheet1!$A:$AA,MATCH(D$1,Sheet1!$A$1:$AA$1,0),FALSE)=0,"",VLOOKUP($A45,Sheet1!$A:$AA,MATCH(D$1,Sheet1!$A$1:$AA$1,0),FALSE))</f>
        <v>Maria</v>
      </c>
      <c r="E45" t="str">
        <f>IF(VLOOKUP($A45,Sheet1!$A:$AA,MATCH(E$1,Sheet1!$A$1:$AA$1,0),FALSE)=0,"",VLOOKUP($A45,Sheet1!$A:$AA,MATCH(E$1,Sheet1!$A$1:$AA$1,0),FALSE))</f>
        <v>Maria Rodriguez Serna</v>
      </c>
      <c r="F45" t="str">
        <f>IF(VLOOKUP($A45,Sheet1!$A:$AA,MATCH(F$1,Sheet1!$A$1:$AA$1,0),FALSE)=0,"",VLOOKUP($A45,Sheet1!$A:$AA,MATCH(F$1,Sheet1!$A$1:$AA$1,0),FALSE))</f>
        <v/>
      </c>
      <c r="G45" t="str">
        <f>IF(VLOOKUP($A45,Sheet1!$A:$AA,MATCH(G$1,Sheet1!$A$1:$AA$1,0),FALSE)=0,"",VLOOKUP($A45,Sheet1!$A:$AA,MATCH(G$1,Sheet1!$A$1:$AA$1,0),FALSE))</f>
        <v/>
      </c>
      <c r="H45" t="str">
        <f>IF(VLOOKUP($A45,Sheet1!$A:$AA,MATCH(H$1,Sheet1!$A$1:$AA$1,0),FALSE)=0,"",VLOOKUP($A45,Sheet1!$A:$AA,MATCH(H$1,Sheet1!$A$1:$AA$1,0),FALSE))</f>
        <v/>
      </c>
      <c r="I45" t="str">
        <f>IF(VLOOKUP($A45,Sheet1!$A:$AA,MATCH(I$1,Sheet1!$A$1:$AA$1,0),FALSE)=0,"",VLOOKUP($A45,Sheet1!$A:$AA,MATCH(I$1,Sheet1!$A$1:$AA$1,0),FALSE))</f>
        <v/>
      </c>
      <c r="J45" t="str">
        <f>IF(VLOOKUP($A45,Sheet1!$A:$AA,MATCH(J$1,Sheet1!$A$1:$AA$1,0),FALSE)=0,"",VLOOKUP($A45,Sheet1!$A:$AA,MATCH(J$1,Sheet1!$A$1:$AA$1,0),FALSE))</f>
        <v/>
      </c>
      <c r="K45" t="str">
        <f>IF(VLOOKUP($A45,Sheet1!$A:$AA,MATCH(K$1,Sheet1!$A$1:$AA$1,0),FALSE)=0,"",VLOOKUP($A45,Sheet1!$A:$AA,MATCH(K$1,Sheet1!$A$1:$AA$1,0),FALSE))</f>
        <v>MADRID</v>
      </c>
      <c r="L45" t="str">
        <f>IF(VLOOKUP($A45,Sheet1!$A:$AA,MATCH(L$1,Sheet1!$A$1:$AA$1,0),FALSE)=0,"",VLOOKUP($A45,Sheet1!$A:$AA,MATCH(L$1,Sheet1!$A$1:$AA$1,0),FALSE))</f>
        <v/>
      </c>
      <c r="M45" t="str">
        <f>IF(VLOOKUP($A45,Sheet1!$A:$AA,MATCH(M$1,Sheet1!$A$1:$AA$1,0),FALSE)=0,"",VLOOKUP($A45,Sheet1!$A:$AA,MATCH(M$1,Sheet1!$A$1:$AA$1,0),FALSE))</f>
        <v/>
      </c>
      <c r="N45" t="str">
        <f>IF(VLOOKUP($A45,Sheet1!$A:$AA,MATCH(N$1,Sheet1!$A$1:$AA$1,0),FALSE)=0,"",VLOOKUP($A45,Sheet1!$A:$AA,MATCH(N$1,Sheet1!$A$1:$AA$1,0),FALSE))</f>
        <v/>
      </c>
      <c r="O45" t="str">
        <f>IF(VLOOKUP($A45,Sheet1!$A:$AA,MATCH(O$1,Sheet1!$A$1:$AA$1,0),FALSE)=0,"",VLOOKUP($A45,Sheet1!$A:$AA,MATCH(O$1,Sheet1!$A$1:$AA$1,0),FALSE))</f>
        <v/>
      </c>
      <c r="P45" t="str">
        <f>IF(VLOOKUP($A45,Sheet1!$A:$AA,MATCH(P$1,Sheet1!$A$1:$AA$1,0),FALSE)=0,"",VLOOKUP($A45,Sheet1!$A:$AA,MATCH(P$1,Sheet1!$A$1:$AA$1,0),FALSE))</f>
        <v/>
      </c>
      <c r="Q45" t="str">
        <f>IF(VLOOKUP($A45,Sheet1!$A:$AA,MATCH(Q$1,Sheet1!$A$1:$AA$1,0),FALSE)=0,"",VLOOKUP($A45,Sheet1!$A:$AA,MATCH(Q$1,Sheet1!$A$1:$AA$1,0),FALSE))</f>
        <v>F</v>
      </c>
      <c r="R45" s="2" t="str">
        <f>IF(VLOOKUP($A45,Sheet1!$A:$AA,MATCH(R$1,Sheet1!$A$1:$AA$1,0),FALSE)=0,"",VLOOKUP($A45,Sheet1!$A:$AA,MATCH(R$1,Sheet1!$A$1:$AA$1,0),FALSE))</f>
        <v/>
      </c>
      <c r="S45" t="str">
        <f>IF(VLOOKUP($A45,Sheet1!$A:$AA,MATCH(S$1,Sheet1!$A$1:$AA$1,0),FALSE)=0,"",VLOOKUP($A45,Sheet1!$A:$AA,MATCH(S$1,Sheet1!$A$1:$AA$1,0),FALSE))</f>
        <v/>
      </c>
      <c r="T45" t="str">
        <f>IF(VLOOKUP($A45,Sheet1!$A:$AA,MATCH(T$1,Sheet1!$A$1:$AA$1,0),FALSE)=0,"",VLOOKUP($A45,Sheet1!$A:$AA,MATCH(T$1,Sheet1!$A$1:$AA$1,0),FALSE))</f>
        <v>DF</v>
      </c>
      <c r="U45" t="str">
        <f>IF(VLOOKUP($A45,Sheet1!$A:$AA,MATCH(U$1,Sheet1!$A$1:$AA$1,0),FALSE)=0,"",VLOOKUP($A45,Sheet1!$A:$AA,MATCH(U$1,Sheet1!$A$1:$AA$1,0),FALSE))</f>
        <v>DX</v>
      </c>
      <c r="V45" t="str">
        <f>IF(VLOOKUP($A45,Sheet1!$A:$AA,MATCH(V$1,Sheet1!$A$1:$AA$1,0),FALSE)=0,"",VLOOKUP($A45,Sheet1!$A:$AA,MATCH(V$1,Sheet1!$A$1:$AA$1,0),FALSE))</f>
        <v/>
      </c>
      <c r="W45" t="str">
        <f>IF(VLOOKUP($A45,Sheet1!$A:$AA,MATCH(W$1,Sheet1!$A$1:$AA$1,0),FALSE)=0,"",VLOOKUP($A45,Sheet1!$A:$AA,MATCH(W$1,Sheet1!$A$1:$AA$1,0),FALSE))</f>
        <v/>
      </c>
      <c r="X45" t="str">
        <f>IF(VLOOKUP($A45,Sheet1!$A:$AA,MATCH(X$1,Sheet1!$A$1:$AA$1,0),FALSE)=0,"",VLOOKUP($A45,Sheet1!$A:$AA,MATCH(X$1,Sheet1!$A$1:$AA$1,0),FALSE))</f>
        <v>5.0</v>
      </c>
      <c r="Y45" t="str">
        <f>IF(VLOOKUP($A45,Sheet1!$A:$AA,MATCH(Y$1,Sheet1!$A$1:$AA$1,0),FALSE)=0,"",VLOOKUP($A45,Sheet1!$A:$AA,MATCH(Y$1,Sheet1!$A$1:$AA$1,0),FALSE))</f>
        <v>5.0</v>
      </c>
      <c r="Z45" t="str">
        <f>IF(VLOOKUP($A45,Sheet1!$A:$AA,MATCH(Z$1,Sheet1!$A$1:$AA$1,0),FALSE)=0,"",VLOOKUP($A45,Sheet1!$A:$AA,MATCH(Z$1,Sheet1!$A$1:$AA$1,0),FALSE))</f>
        <v/>
      </c>
      <c r="AA45" t="str">
        <f ca="1">IF(VLOOKUP($A45,Sheet1!$A:$AA,MATCH(AA$1,Sheet1!$A$1:$AA$1,0),FALSE)=0,"",VLOOKUP($A45,Sheet1!$A:$AA,MATCH(AA$1,Sheet1!$A$1:$AA$1,0),FALSE))</f>
        <v/>
      </c>
    </row>
    <row r="46" spans="1:27" x14ac:dyDescent="0.25">
      <c r="A46">
        <v>11855882</v>
      </c>
      <c r="B46" t="str">
        <f>IF(VLOOKUP($A46,Sheet1!$A:$AA,MATCH(B$1,Sheet1!$A$1:$AA$1,0),FALSE)=0,"",VLOOKUP($A46,Sheet1!$A:$AA,MATCH(B$1,Sheet1!$A$1:$AA$1,0),FALSE))</f>
        <v>Dominguez Luna, Sheila</v>
      </c>
      <c r="C46" t="str">
        <f>IF(VLOOKUP($A46,Sheet1!$A:$AA,MATCH(C$1,Sheet1!$A$1:$AA$1,0),FALSE)=0,"",VLOOKUP($A46,Sheet1!$A:$AA,MATCH(C$1,Sheet1!$A$1:$AA$1,0),FALSE))</f>
        <v>Dominguez Luna</v>
      </c>
      <c r="D46" t="str">
        <f>IF(VLOOKUP($A46,Sheet1!$A:$AA,MATCH(D$1,Sheet1!$A$1:$AA$1,0),FALSE)=0,"",VLOOKUP($A46,Sheet1!$A:$AA,MATCH(D$1,Sheet1!$A$1:$AA$1,0),FALSE))</f>
        <v>Sheila</v>
      </c>
      <c r="E46" t="str">
        <f>IF(VLOOKUP($A46,Sheet1!$A:$AA,MATCH(E$1,Sheet1!$A$1:$AA$1,0),FALSE)=0,"",VLOOKUP($A46,Sheet1!$A:$AA,MATCH(E$1,Sheet1!$A$1:$AA$1,0),FALSE))</f>
        <v>Sheila Dominguez Luna</v>
      </c>
      <c r="F46" t="str">
        <f>IF(VLOOKUP($A46,Sheet1!$A:$AA,MATCH(F$1,Sheet1!$A$1:$AA$1,0),FALSE)=0,"",VLOOKUP($A46,Sheet1!$A:$AA,MATCH(F$1,Sheet1!$A$1:$AA$1,0),FALSE))</f>
        <v/>
      </c>
      <c r="G46" t="str">
        <f>IF(VLOOKUP($A46,Sheet1!$A:$AA,MATCH(G$1,Sheet1!$A$1:$AA$1,0),FALSE)=0,"",VLOOKUP($A46,Sheet1!$A:$AA,MATCH(G$1,Sheet1!$A$1:$AA$1,0),FALSE))</f>
        <v/>
      </c>
      <c r="H46" t="str">
        <f>IF(VLOOKUP($A46,Sheet1!$A:$AA,MATCH(H$1,Sheet1!$A$1:$AA$1,0),FALSE)=0,"",VLOOKUP($A46,Sheet1!$A:$AA,MATCH(H$1,Sheet1!$A$1:$AA$1,0),FALSE))</f>
        <v/>
      </c>
      <c r="I46" t="str">
        <f>IF(VLOOKUP($A46,Sheet1!$A:$AA,MATCH(I$1,Sheet1!$A$1:$AA$1,0),FALSE)=0,"",VLOOKUP($A46,Sheet1!$A:$AA,MATCH(I$1,Sheet1!$A$1:$AA$1,0),FALSE))</f>
        <v/>
      </c>
      <c r="J46" t="str">
        <f>IF(VLOOKUP($A46,Sheet1!$A:$AA,MATCH(J$1,Sheet1!$A$1:$AA$1,0),FALSE)=0,"",VLOOKUP($A46,Sheet1!$A:$AA,MATCH(J$1,Sheet1!$A$1:$AA$1,0),FALSE))</f>
        <v/>
      </c>
      <c r="K46" t="str">
        <f>IF(VLOOKUP($A46,Sheet1!$A:$AA,MATCH(K$1,Sheet1!$A$1:$AA$1,0),FALSE)=0,"",VLOOKUP($A46,Sheet1!$A:$AA,MATCH(K$1,Sheet1!$A$1:$AA$1,0),FALSE))</f>
        <v>CATALUÑA</v>
      </c>
      <c r="L46" t="str">
        <f>IF(VLOOKUP($A46,Sheet1!$A:$AA,MATCH(L$1,Sheet1!$A$1:$AA$1,0),FALSE)=0,"",VLOOKUP($A46,Sheet1!$A:$AA,MATCH(L$1,Sheet1!$A$1:$AA$1,0),FALSE))</f>
        <v/>
      </c>
      <c r="M46" t="str">
        <f>IF(VLOOKUP($A46,Sheet1!$A:$AA,MATCH(M$1,Sheet1!$A$1:$AA$1,0),FALSE)=0,"",VLOOKUP($A46,Sheet1!$A:$AA,MATCH(M$1,Sheet1!$A$1:$AA$1,0),FALSE))</f>
        <v/>
      </c>
      <c r="N46" t="str">
        <f>IF(VLOOKUP($A46,Sheet1!$A:$AA,MATCH(N$1,Sheet1!$A$1:$AA$1,0),FALSE)=0,"",VLOOKUP($A46,Sheet1!$A:$AA,MATCH(N$1,Sheet1!$A$1:$AA$1,0),FALSE))</f>
        <v/>
      </c>
      <c r="O46" t="str">
        <f>IF(VLOOKUP($A46,Sheet1!$A:$AA,MATCH(O$1,Sheet1!$A$1:$AA$1,0),FALSE)=0,"",VLOOKUP($A46,Sheet1!$A:$AA,MATCH(O$1,Sheet1!$A$1:$AA$1,0),FALSE))</f>
        <v/>
      </c>
      <c r="P46" t="str">
        <f>IF(VLOOKUP($A46,Sheet1!$A:$AA,MATCH(P$1,Sheet1!$A$1:$AA$1,0),FALSE)=0,"",VLOOKUP($A46,Sheet1!$A:$AA,MATCH(P$1,Sheet1!$A$1:$AA$1,0),FALSE))</f>
        <v/>
      </c>
      <c r="Q46" t="str">
        <f>IF(VLOOKUP($A46,Sheet1!$A:$AA,MATCH(Q$1,Sheet1!$A$1:$AA$1,0),FALSE)=0,"",VLOOKUP($A46,Sheet1!$A:$AA,MATCH(Q$1,Sheet1!$A$1:$AA$1,0),FALSE))</f>
        <v>F</v>
      </c>
      <c r="R46" s="2" t="str">
        <f>IF(VLOOKUP($A46,Sheet1!$A:$AA,MATCH(R$1,Sheet1!$A$1:$AA$1,0),FALSE)=0,"",VLOOKUP($A46,Sheet1!$A:$AA,MATCH(R$1,Sheet1!$A$1:$AA$1,0),FALSE))</f>
        <v/>
      </c>
      <c r="S46" t="str">
        <f>IF(VLOOKUP($A46,Sheet1!$A:$AA,MATCH(S$1,Sheet1!$A$1:$AA$1,0),FALSE)=0,"",VLOOKUP($A46,Sheet1!$A:$AA,MATCH(S$1,Sheet1!$A$1:$AA$1,0),FALSE))</f>
        <v/>
      </c>
      <c r="T46" t="str">
        <f>IF(VLOOKUP($A46,Sheet1!$A:$AA,MATCH(T$1,Sheet1!$A$1:$AA$1,0),FALSE)=0,"",VLOOKUP($A46,Sheet1!$A:$AA,MATCH(T$1,Sheet1!$A$1:$AA$1,0),FALSE))</f>
        <v>DF</v>
      </c>
      <c r="U46" t="str">
        <f>IF(VLOOKUP($A46,Sheet1!$A:$AA,MATCH(U$1,Sheet1!$A$1:$AA$1,0),FALSE)=0,"",VLOOKUP($A46,Sheet1!$A:$AA,MATCH(U$1,Sheet1!$A$1:$AA$1,0),FALSE))</f>
        <v>DX</v>
      </c>
      <c r="V46" t="str">
        <f>IF(VLOOKUP($A46,Sheet1!$A:$AA,MATCH(V$1,Sheet1!$A$1:$AA$1,0),FALSE)=0,"",VLOOKUP($A46,Sheet1!$A:$AA,MATCH(V$1,Sheet1!$A$1:$AA$1,0),FALSE))</f>
        <v/>
      </c>
      <c r="W46" t="str">
        <f>IF(VLOOKUP($A46,Sheet1!$A:$AA,MATCH(W$1,Sheet1!$A$1:$AA$1,0),FALSE)=0,"",VLOOKUP($A46,Sheet1!$A:$AA,MATCH(W$1,Sheet1!$A$1:$AA$1,0),FALSE))</f>
        <v/>
      </c>
      <c r="X46" t="str">
        <f>IF(VLOOKUP($A46,Sheet1!$A:$AA,MATCH(X$1,Sheet1!$A$1:$AA$1,0),FALSE)=0,"",VLOOKUP($A46,Sheet1!$A:$AA,MATCH(X$1,Sheet1!$A$1:$AA$1,0),FALSE))</f>
        <v>5.0</v>
      </c>
      <c r="Y46" t="str">
        <f>IF(VLOOKUP($A46,Sheet1!$A:$AA,MATCH(Y$1,Sheet1!$A$1:$AA$1,0),FALSE)=0,"",VLOOKUP($A46,Sheet1!$A:$AA,MATCH(Y$1,Sheet1!$A$1:$AA$1,0),FALSE))</f>
        <v>5.0</v>
      </c>
      <c r="Z46" t="str">
        <f>IF(VLOOKUP($A46,Sheet1!$A:$AA,MATCH(Z$1,Sheet1!$A$1:$AA$1,0),FALSE)=0,"",VLOOKUP($A46,Sheet1!$A:$AA,MATCH(Z$1,Sheet1!$A$1:$AA$1,0),FALSE))</f>
        <v/>
      </c>
      <c r="AA46" t="str">
        <f ca="1">IF(VLOOKUP($A46,Sheet1!$A:$AA,MATCH(AA$1,Sheet1!$A$1:$AA$1,0),FALSE)=0,"",VLOOKUP($A46,Sheet1!$A:$AA,MATCH(AA$1,Sheet1!$A$1:$AA$1,0),FALSE))</f>
        <v/>
      </c>
    </row>
    <row r="47" spans="1:27" x14ac:dyDescent="0.25">
      <c r="A47">
        <v>10530089</v>
      </c>
      <c r="B47" t="str">
        <f>IF(VLOOKUP($A47,Sheet1!$A:$AA,MATCH(B$1,Sheet1!$A$1:$AA$1,0),FALSE)=0,"",VLOOKUP($A47,Sheet1!$A:$AA,MATCH(B$1,Sheet1!$A$1:$AA$1,0),FALSE))</f>
        <v>Castrillo Zamora, Patricia</v>
      </c>
      <c r="C47" t="str">
        <f>IF(VLOOKUP($A47,Sheet1!$A:$AA,MATCH(C$1,Sheet1!$A$1:$AA$1,0),FALSE)=0,"",VLOOKUP($A47,Sheet1!$A:$AA,MATCH(C$1,Sheet1!$A$1:$AA$1,0),FALSE))</f>
        <v>Castrillo Zamora</v>
      </c>
      <c r="D47" t="str">
        <f>IF(VLOOKUP($A47,Sheet1!$A:$AA,MATCH(D$1,Sheet1!$A$1:$AA$1,0),FALSE)=0,"",VLOOKUP($A47,Sheet1!$A:$AA,MATCH(D$1,Sheet1!$A$1:$AA$1,0),FALSE))</f>
        <v>Patricia</v>
      </c>
      <c r="E47" t="str">
        <f>IF(VLOOKUP($A47,Sheet1!$A:$AA,MATCH(E$1,Sheet1!$A$1:$AA$1,0),FALSE)=0,"",VLOOKUP($A47,Sheet1!$A:$AA,MATCH(E$1,Sheet1!$A$1:$AA$1,0),FALSE))</f>
        <v>Patricia Castrillo Zamora</v>
      </c>
      <c r="F47" t="str">
        <f>IF(VLOOKUP($A47,Sheet1!$A:$AA,MATCH(F$1,Sheet1!$A$1:$AA$1,0),FALSE)=0,"",VLOOKUP($A47,Sheet1!$A:$AA,MATCH(F$1,Sheet1!$A$1:$AA$1,0),FALSE))</f>
        <v/>
      </c>
      <c r="G47" t="str">
        <f>IF(VLOOKUP($A47,Sheet1!$A:$AA,MATCH(G$1,Sheet1!$A$1:$AA$1,0),FALSE)=0,"",VLOOKUP($A47,Sheet1!$A:$AA,MATCH(G$1,Sheet1!$A$1:$AA$1,0),FALSE))</f>
        <v/>
      </c>
      <c r="H47" t="str">
        <f>IF(VLOOKUP($A47,Sheet1!$A:$AA,MATCH(H$1,Sheet1!$A$1:$AA$1,0),FALSE)=0,"",VLOOKUP($A47,Sheet1!$A:$AA,MATCH(H$1,Sheet1!$A$1:$AA$1,0),FALSE))</f>
        <v/>
      </c>
      <c r="I47" t="str">
        <f>IF(VLOOKUP($A47,Sheet1!$A:$AA,MATCH(I$1,Sheet1!$A$1:$AA$1,0),FALSE)=0,"",VLOOKUP($A47,Sheet1!$A:$AA,MATCH(I$1,Sheet1!$A$1:$AA$1,0),FALSE))</f>
        <v/>
      </c>
      <c r="J47" t="str">
        <f>IF(VLOOKUP($A47,Sheet1!$A:$AA,MATCH(J$1,Sheet1!$A$1:$AA$1,0),FALSE)=0,"",VLOOKUP($A47,Sheet1!$A:$AA,MATCH(J$1,Sheet1!$A$1:$AA$1,0),FALSE))</f>
        <v/>
      </c>
      <c r="K47" t="str">
        <f>IF(VLOOKUP($A47,Sheet1!$A:$AA,MATCH(K$1,Sheet1!$A$1:$AA$1,0),FALSE)=0,"",VLOOKUP($A47,Sheet1!$A:$AA,MATCH(K$1,Sheet1!$A$1:$AA$1,0),FALSE))</f>
        <v>MADRID</v>
      </c>
      <c r="L47" t="str">
        <f>IF(VLOOKUP($A47,Sheet1!$A:$AA,MATCH(L$1,Sheet1!$A$1:$AA$1,0),FALSE)=0,"",VLOOKUP($A47,Sheet1!$A:$AA,MATCH(L$1,Sheet1!$A$1:$AA$1,0),FALSE))</f>
        <v/>
      </c>
      <c r="M47" t="str">
        <f>IF(VLOOKUP($A47,Sheet1!$A:$AA,MATCH(M$1,Sheet1!$A$1:$AA$1,0),FALSE)=0,"",VLOOKUP($A47,Sheet1!$A:$AA,MATCH(M$1,Sheet1!$A$1:$AA$1,0),FALSE))</f>
        <v/>
      </c>
      <c r="N47" t="str">
        <f>IF(VLOOKUP($A47,Sheet1!$A:$AA,MATCH(N$1,Sheet1!$A$1:$AA$1,0),FALSE)=0,"",VLOOKUP($A47,Sheet1!$A:$AA,MATCH(N$1,Sheet1!$A$1:$AA$1,0),FALSE))</f>
        <v/>
      </c>
      <c r="O47" t="str">
        <f>IF(VLOOKUP($A47,Sheet1!$A:$AA,MATCH(O$1,Sheet1!$A$1:$AA$1,0),FALSE)=0,"",VLOOKUP($A47,Sheet1!$A:$AA,MATCH(O$1,Sheet1!$A$1:$AA$1,0),FALSE))</f>
        <v/>
      </c>
      <c r="P47" t="str">
        <f>IF(VLOOKUP($A47,Sheet1!$A:$AA,MATCH(P$1,Sheet1!$A$1:$AA$1,0),FALSE)=0,"",VLOOKUP($A47,Sheet1!$A:$AA,MATCH(P$1,Sheet1!$A$1:$AA$1,0),FALSE))</f>
        <v/>
      </c>
      <c r="Q47" t="str">
        <f>IF(VLOOKUP($A47,Sheet1!$A:$AA,MATCH(Q$1,Sheet1!$A$1:$AA$1,0),FALSE)=0,"",VLOOKUP($A47,Sheet1!$A:$AA,MATCH(Q$1,Sheet1!$A$1:$AA$1,0),FALSE))</f>
        <v>F</v>
      </c>
      <c r="R47" s="2" t="str">
        <f>IF(VLOOKUP($A47,Sheet1!$A:$AA,MATCH(R$1,Sheet1!$A$1:$AA$1,0),FALSE)=0,"",VLOOKUP($A47,Sheet1!$A:$AA,MATCH(R$1,Sheet1!$A$1:$AA$1,0),FALSE))</f>
        <v/>
      </c>
      <c r="S47" t="str">
        <f>IF(VLOOKUP($A47,Sheet1!$A:$AA,MATCH(S$1,Sheet1!$A$1:$AA$1,0),FALSE)=0,"",VLOOKUP($A47,Sheet1!$A:$AA,MATCH(S$1,Sheet1!$A$1:$AA$1,0),FALSE))</f>
        <v/>
      </c>
      <c r="T47" t="str">
        <f>IF(VLOOKUP($A47,Sheet1!$A:$AA,MATCH(T$1,Sheet1!$A$1:$AA$1,0),FALSE)=0,"",VLOOKUP($A47,Sheet1!$A:$AA,MATCH(T$1,Sheet1!$A$1:$AA$1,0),FALSE))</f>
        <v>DF</v>
      </c>
      <c r="U47" t="str">
        <f>IF(VLOOKUP($A47,Sheet1!$A:$AA,MATCH(U$1,Sheet1!$A$1:$AA$1,0),FALSE)=0,"",VLOOKUP($A47,Sheet1!$A:$AA,MATCH(U$1,Sheet1!$A$1:$AA$1,0),FALSE))</f>
        <v>DX</v>
      </c>
      <c r="V47" t="str">
        <f>IF(VLOOKUP($A47,Sheet1!$A:$AA,MATCH(V$1,Sheet1!$A$1:$AA$1,0),FALSE)=0,"",VLOOKUP($A47,Sheet1!$A:$AA,MATCH(V$1,Sheet1!$A$1:$AA$1,0),FALSE))</f>
        <v/>
      </c>
      <c r="W47" t="str">
        <f>IF(VLOOKUP($A47,Sheet1!$A:$AA,MATCH(W$1,Sheet1!$A$1:$AA$1,0),FALSE)=0,"",VLOOKUP($A47,Sheet1!$A:$AA,MATCH(W$1,Sheet1!$A$1:$AA$1,0),FALSE))</f>
        <v/>
      </c>
      <c r="X47" t="str">
        <f>IF(VLOOKUP($A47,Sheet1!$A:$AA,MATCH(X$1,Sheet1!$A$1:$AA$1,0),FALSE)=0,"",VLOOKUP($A47,Sheet1!$A:$AA,MATCH(X$1,Sheet1!$A$1:$AA$1,0),FALSE))</f>
        <v>5.0</v>
      </c>
      <c r="Y47" t="str">
        <f>IF(VLOOKUP($A47,Sheet1!$A:$AA,MATCH(Y$1,Sheet1!$A$1:$AA$1,0),FALSE)=0,"",VLOOKUP($A47,Sheet1!$A:$AA,MATCH(Y$1,Sheet1!$A$1:$AA$1,0),FALSE))</f>
        <v>5.0</v>
      </c>
      <c r="Z47" t="str">
        <f>IF(VLOOKUP($A47,Sheet1!$A:$AA,MATCH(Z$1,Sheet1!$A$1:$AA$1,0),FALSE)=0,"",VLOOKUP($A47,Sheet1!$A:$AA,MATCH(Z$1,Sheet1!$A$1:$AA$1,0),FALSE))</f>
        <v/>
      </c>
      <c r="AA47" t="str">
        <f ca="1">IF(VLOOKUP($A47,Sheet1!$A:$AA,MATCH(AA$1,Sheet1!$A$1:$AA$1,0),FALSE)=0,"",VLOOKUP($A47,Sheet1!$A:$AA,MATCH(AA$1,Sheet1!$A$1:$AA$1,0),FALSE))</f>
        <v/>
      </c>
    </row>
    <row r="48" spans="1:27" x14ac:dyDescent="0.25">
      <c r="A48">
        <v>10767111</v>
      </c>
      <c r="B48" t="str">
        <f>IF(VLOOKUP($A48,Sheet1!$A:$AA,MATCH(B$1,Sheet1!$A$1:$AA$1,0),FALSE)=0,"",VLOOKUP($A48,Sheet1!$A:$AA,MATCH(B$1,Sheet1!$A$1:$AA$1,0),FALSE))</f>
        <v>Perez Lainez, Candela</v>
      </c>
      <c r="C48" t="str">
        <f>IF(VLOOKUP($A48,Sheet1!$A:$AA,MATCH(C$1,Sheet1!$A$1:$AA$1,0),FALSE)=0,"",VLOOKUP($A48,Sheet1!$A:$AA,MATCH(C$1,Sheet1!$A$1:$AA$1,0),FALSE))</f>
        <v>Perez Lainez</v>
      </c>
      <c r="D48" t="str">
        <f>IF(VLOOKUP($A48,Sheet1!$A:$AA,MATCH(D$1,Sheet1!$A$1:$AA$1,0),FALSE)=0,"",VLOOKUP($A48,Sheet1!$A:$AA,MATCH(D$1,Sheet1!$A$1:$AA$1,0),FALSE))</f>
        <v>Candela</v>
      </c>
      <c r="E48" t="str">
        <f>IF(VLOOKUP($A48,Sheet1!$A:$AA,MATCH(E$1,Sheet1!$A$1:$AA$1,0),FALSE)=0,"",VLOOKUP($A48,Sheet1!$A:$AA,MATCH(E$1,Sheet1!$A$1:$AA$1,0),FALSE))</f>
        <v>Candela Perez Lainez</v>
      </c>
      <c r="F48" t="str">
        <f>IF(VLOOKUP($A48,Sheet1!$A:$AA,MATCH(F$1,Sheet1!$A$1:$AA$1,0),FALSE)=0,"",VLOOKUP($A48,Sheet1!$A:$AA,MATCH(F$1,Sheet1!$A$1:$AA$1,0),FALSE))</f>
        <v/>
      </c>
      <c r="G48" t="str">
        <f>IF(VLOOKUP($A48,Sheet1!$A:$AA,MATCH(G$1,Sheet1!$A$1:$AA$1,0),FALSE)=0,"",VLOOKUP($A48,Sheet1!$A:$AA,MATCH(G$1,Sheet1!$A$1:$AA$1,0),FALSE))</f>
        <v/>
      </c>
      <c r="H48" t="str">
        <f>IF(VLOOKUP($A48,Sheet1!$A:$AA,MATCH(H$1,Sheet1!$A$1:$AA$1,0),FALSE)=0,"",VLOOKUP($A48,Sheet1!$A:$AA,MATCH(H$1,Sheet1!$A$1:$AA$1,0),FALSE))</f>
        <v/>
      </c>
      <c r="I48" t="str">
        <f>IF(VLOOKUP($A48,Sheet1!$A:$AA,MATCH(I$1,Sheet1!$A$1:$AA$1,0),FALSE)=0,"",VLOOKUP($A48,Sheet1!$A:$AA,MATCH(I$1,Sheet1!$A$1:$AA$1,0),FALSE))</f>
        <v/>
      </c>
      <c r="J48" t="str">
        <f>IF(VLOOKUP($A48,Sheet1!$A:$AA,MATCH(J$1,Sheet1!$A$1:$AA$1,0),FALSE)=0,"",VLOOKUP($A48,Sheet1!$A:$AA,MATCH(J$1,Sheet1!$A$1:$AA$1,0),FALSE))</f>
        <v/>
      </c>
      <c r="K48" t="str">
        <f>IF(VLOOKUP($A48,Sheet1!$A:$AA,MATCH(K$1,Sheet1!$A$1:$AA$1,0),FALSE)=0,"",VLOOKUP($A48,Sheet1!$A:$AA,MATCH(K$1,Sheet1!$A$1:$AA$1,0),FALSE))</f>
        <v>MADRID</v>
      </c>
      <c r="L48" t="str">
        <f>IF(VLOOKUP($A48,Sheet1!$A:$AA,MATCH(L$1,Sheet1!$A$1:$AA$1,0),FALSE)=0,"",VLOOKUP($A48,Sheet1!$A:$AA,MATCH(L$1,Sheet1!$A$1:$AA$1,0),FALSE))</f>
        <v/>
      </c>
      <c r="M48" t="str">
        <f>IF(VLOOKUP($A48,Sheet1!$A:$AA,MATCH(M$1,Sheet1!$A$1:$AA$1,0),FALSE)=0,"",VLOOKUP($A48,Sheet1!$A:$AA,MATCH(M$1,Sheet1!$A$1:$AA$1,0),FALSE))</f>
        <v/>
      </c>
      <c r="N48" t="str">
        <f>IF(VLOOKUP($A48,Sheet1!$A:$AA,MATCH(N$1,Sheet1!$A$1:$AA$1,0),FALSE)=0,"",VLOOKUP($A48,Sheet1!$A:$AA,MATCH(N$1,Sheet1!$A$1:$AA$1,0),FALSE))</f>
        <v/>
      </c>
      <c r="O48" t="str">
        <f>IF(VLOOKUP($A48,Sheet1!$A:$AA,MATCH(O$1,Sheet1!$A$1:$AA$1,0),FALSE)=0,"",VLOOKUP($A48,Sheet1!$A:$AA,MATCH(O$1,Sheet1!$A$1:$AA$1,0),FALSE))</f>
        <v/>
      </c>
      <c r="P48" t="str">
        <f>IF(VLOOKUP($A48,Sheet1!$A:$AA,MATCH(P$1,Sheet1!$A$1:$AA$1,0),FALSE)=0,"",VLOOKUP($A48,Sheet1!$A:$AA,MATCH(P$1,Sheet1!$A$1:$AA$1,0),FALSE))</f>
        <v/>
      </c>
      <c r="Q48" t="str">
        <f>IF(VLOOKUP($A48,Sheet1!$A:$AA,MATCH(Q$1,Sheet1!$A$1:$AA$1,0),FALSE)=0,"",VLOOKUP($A48,Sheet1!$A:$AA,MATCH(Q$1,Sheet1!$A$1:$AA$1,0),FALSE))</f>
        <v>F</v>
      </c>
      <c r="R48" s="2">
        <f>IF(VLOOKUP($A48,Sheet1!$A:$AA,MATCH(R$1,Sheet1!$A$1:$AA$1,0),FALSE)=0,"",VLOOKUP($A48,Sheet1!$A:$AA,MATCH(R$1,Sheet1!$A$1:$AA$1,0),FALSE))</f>
        <v>40196</v>
      </c>
      <c r="S48" t="str">
        <f>IF(VLOOKUP($A48,Sheet1!$A:$AA,MATCH(S$1,Sheet1!$A$1:$AA$1,0),FALSE)=0,"",VLOOKUP($A48,Sheet1!$A:$AA,MATCH(S$1,Sheet1!$A$1:$AA$1,0),FALSE))</f>
        <v/>
      </c>
      <c r="T48" t="str">
        <f>IF(VLOOKUP($A48,Sheet1!$A:$AA,MATCH(T$1,Sheet1!$A$1:$AA$1,0),FALSE)=0,"",VLOOKUP($A48,Sheet1!$A:$AA,MATCH(T$1,Sheet1!$A$1:$AA$1,0),FALSE))</f>
        <v>DF</v>
      </c>
      <c r="U48" t="str">
        <f>IF(VLOOKUP($A48,Sheet1!$A:$AA,MATCH(U$1,Sheet1!$A$1:$AA$1,0),FALSE)=0,"",VLOOKUP($A48,Sheet1!$A:$AA,MATCH(U$1,Sheet1!$A$1:$AA$1,0),FALSE))</f>
        <v>DX</v>
      </c>
      <c r="V48" t="str">
        <f>IF(VLOOKUP($A48,Sheet1!$A:$AA,MATCH(V$1,Sheet1!$A$1:$AA$1,0),FALSE)=0,"",VLOOKUP($A48,Sheet1!$A:$AA,MATCH(V$1,Sheet1!$A$1:$AA$1,0),FALSE))</f>
        <v/>
      </c>
      <c r="W48" t="str">
        <f>IF(VLOOKUP($A48,Sheet1!$A:$AA,MATCH(W$1,Sheet1!$A$1:$AA$1,0),FALSE)=0,"",VLOOKUP($A48,Sheet1!$A:$AA,MATCH(W$1,Sheet1!$A$1:$AA$1,0),FALSE))</f>
        <v/>
      </c>
      <c r="X48" t="str">
        <f>IF(VLOOKUP($A48,Sheet1!$A:$AA,MATCH(X$1,Sheet1!$A$1:$AA$1,0),FALSE)=0,"",VLOOKUP($A48,Sheet1!$A:$AA,MATCH(X$1,Sheet1!$A$1:$AA$1,0),FALSE))</f>
        <v>5.0</v>
      </c>
      <c r="Y48" t="str">
        <f>IF(VLOOKUP($A48,Sheet1!$A:$AA,MATCH(Y$1,Sheet1!$A$1:$AA$1,0),FALSE)=0,"",VLOOKUP($A48,Sheet1!$A:$AA,MATCH(Y$1,Sheet1!$A$1:$AA$1,0),FALSE))</f>
        <v>5.0</v>
      </c>
      <c r="Z48" t="str">
        <f>IF(VLOOKUP($A48,Sheet1!$A:$AA,MATCH(Z$1,Sheet1!$A$1:$AA$1,0),FALSE)=0,"",VLOOKUP($A48,Sheet1!$A:$AA,MATCH(Z$1,Sheet1!$A$1:$AA$1,0),FALSE))</f>
        <v/>
      </c>
      <c r="AA48">
        <f ca="1">IF(VLOOKUP($A48,Sheet1!$A:$AA,MATCH(AA$1,Sheet1!$A$1:$AA$1,0),FALSE)=0,"",VLOOKUP($A48,Sheet1!$A:$AA,MATCH(AA$1,Sheet1!$A$1:$AA$1,0),FALSE))</f>
        <v>14</v>
      </c>
    </row>
    <row r="49" spans="1:27" x14ac:dyDescent="0.25">
      <c r="A49">
        <v>10767129</v>
      </c>
      <c r="B49" t="str">
        <f>IF(VLOOKUP($A49,Sheet1!$A:$AA,MATCH(B$1,Sheet1!$A$1:$AA$1,0),FALSE)=0,"",VLOOKUP($A49,Sheet1!$A:$AA,MATCH(B$1,Sheet1!$A$1:$AA$1,0),FALSE))</f>
        <v>Lainez Jimenez, Virginia</v>
      </c>
      <c r="C49" t="str">
        <f>IF(VLOOKUP($A49,Sheet1!$A:$AA,MATCH(C$1,Sheet1!$A$1:$AA$1,0),FALSE)=0,"",VLOOKUP($A49,Sheet1!$A:$AA,MATCH(C$1,Sheet1!$A$1:$AA$1,0),FALSE))</f>
        <v>Lainez Jimenez</v>
      </c>
      <c r="D49" t="str">
        <f>IF(VLOOKUP($A49,Sheet1!$A:$AA,MATCH(D$1,Sheet1!$A$1:$AA$1,0),FALSE)=0,"",VLOOKUP($A49,Sheet1!$A:$AA,MATCH(D$1,Sheet1!$A$1:$AA$1,0),FALSE))</f>
        <v>Virginia</v>
      </c>
      <c r="E49" t="str">
        <f>IF(VLOOKUP($A49,Sheet1!$A:$AA,MATCH(E$1,Sheet1!$A$1:$AA$1,0),FALSE)=0,"",VLOOKUP($A49,Sheet1!$A:$AA,MATCH(E$1,Sheet1!$A$1:$AA$1,0),FALSE))</f>
        <v>Virginia Lainez Jimenez</v>
      </c>
      <c r="F49" t="str">
        <f>IF(VLOOKUP($A49,Sheet1!$A:$AA,MATCH(F$1,Sheet1!$A$1:$AA$1,0),FALSE)=0,"",VLOOKUP($A49,Sheet1!$A:$AA,MATCH(F$1,Sheet1!$A$1:$AA$1,0),FALSE))</f>
        <v/>
      </c>
      <c r="G49" t="str">
        <f>IF(VLOOKUP($A49,Sheet1!$A:$AA,MATCH(G$1,Sheet1!$A$1:$AA$1,0),FALSE)=0,"",VLOOKUP($A49,Sheet1!$A:$AA,MATCH(G$1,Sheet1!$A$1:$AA$1,0),FALSE))</f>
        <v/>
      </c>
      <c r="H49" t="str">
        <f>IF(VLOOKUP($A49,Sheet1!$A:$AA,MATCH(H$1,Sheet1!$A$1:$AA$1,0),FALSE)=0,"",VLOOKUP($A49,Sheet1!$A:$AA,MATCH(H$1,Sheet1!$A$1:$AA$1,0),FALSE))</f>
        <v/>
      </c>
      <c r="I49" t="str">
        <f>IF(VLOOKUP($A49,Sheet1!$A:$AA,MATCH(I$1,Sheet1!$A$1:$AA$1,0),FALSE)=0,"",VLOOKUP($A49,Sheet1!$A:$AA,MATCH(I$1,Sheet1!$A$1:$AA$1,0),FALSE))</f>
        <v/>
      </c>
      <c r="J49" t="str">
        <f>IF(VLOOKUP($A49,Sheet1!$A:$AA,MATCH(J$1,Sheet1!$A$1:$AA$1,0),FALSE)=0,"",VLOOKUP($A49,Sheet1!$A:$AA,MATCH(J$1,Sheet1!$A$1:$AA$1,0),FALSE))</f>
        <v/>
      </c>
      <c r="K49" t="str">
        <f>IF(VLOOKUP($A49,Sheet1!$A:$AA,MATCH(K$1,Sheet1!$A$1:$AA$1,0),FALSE)=0,"",VLOOKUP($A49,Sheet1!$A:$AA,MATCH(K$1,Sheet1!$A$1:$AA$1,0),FALSE))</f>
        <v>MADRID</v>
      </c>
      <c r="L49" t="str">
        <f>IF(VLOOKUP($A49,Sheet1!$A:$AA,MATCH(L$1,Sheet1!$A$1:$AA$1,0),FALSE)=0,"",VLOOKUP($A49,Sheet1!$A:$AA,MATCH(L$1,Sheet1!$A$1:$AA$1,0),FALSE))</f>
        <v/>
      </c>
      <c r="M49" t="str">
        <f>IF(VLOOKUP($A49,Sheet1!$A:$AA,MATCH(M$1,Sheet1!$A$1:$AA$1,0),FALSE)=0,"",VLOOKUP($A49,Sheet1!$A:$AA,MATCH(M$1,Sheet1!$A$1:$AA$1,0),FALSE))</f>
        <v/>
      </c>
      <c r="N49" t="str">
        <f>IF(VLOOKUP($A49,Sheet1!$A:$AA,MATCH(N$1,Sheet1!$A$1:$AA$1,0),FALSE)=0,"",VLOOKUP($A49,Sheet1!$A:$AA,MATCH(N$1,Sheet1!$A$1:$AA$1,0),FALSE))</f>
        <v/>
      </c>
      <c r="O49" t="str">
        <f>IF(VLOOKUP($A49,Sheet1!$A:$AA,MATCH(O$1,Sheet1!$A$1:$AA$1,0),FALSE)=0,"",VLOOKUP($A49,Sheet1!$A:$AA,MATCH(O$1,Sheet1!$A$1:$AA$1,0),FALSE))</f>
        <v/>
      </c>
      <c r="P49" t="str">
        <f>IF(VLOOKUP($A49,Sheet1!$A:$AA,MATCH(P$1,Sheet1!$A$1:$AA$1,0),FALSE)=0,"",VLOOKUP($A49,Sheet1!$A:$AA,MATCH(P$1,Sheet1!$A$1:$AA$1,0),FALSE))</f>
        <v/>
      </c>
      <c r="Q49" t="str">
        <f>IF(VLOOKUP($A49,Sheet1!$A:$AA,MATCH(Q$1,Sheet1!$A$1:$AA$1,0),FALSE)=0,"",VLOOKUP($A49,Sheet1!$A:$AA,MATCH(Q$1,Sheet1!$A$1:$AA$1,0),FALSE))</f>
        <v>F</v>
      </c>
      <c r="R49" s="2" t="str">
        <f>IF(VLOOKUP($A49,Sheet1!$A:$AA,MATCH(R$1,Sheet1!$A$1:$AA$1,0),FALSE)=0,"",VLOOKUP($A49,Sheet1!$A:$AA,MATCH(R$1,Sheet1!$A$1:$AA$1,0),FALSE))</f>
        <v/>
      </c>
      <c r="S49" t="str">
        <f>IF(VLOOKUP($A49,Sheet1!$A:$AA,MATCH(S$1,Sheet1!$A$1:$AA$1,0),FALSE)=0,"",VLOOKUP($A49,Sheet1!$A:$AA,MATCH(S$1,Sheet1!$A$1:$AA$1,0),FALSE))</f>
        <v/>
      </c>
      <c r="T49" t="str">
        <f>IF(VLOOKUP($A49,Sheet1!$A:$AA,MATCH(T$1,Sheet1!$A$1:$AA$1,0),FALSE)=0,"",VLOOKUP($A49,Sheet1!$A:$AA,MATCH(T$1,Sheet1!$A$1:$AA$1,0),FALSE))</f>
        <v>DF</v>
      </c>
      <c r="U49" t="str">
        <f>IF(VLOOKUP($A49,Sheet1!$A:$AA,MATCH(U$1,Sheet1!$A$1:$AA$1,0),FALSE)=0,"",VLOOKUP($A49,Sheet1!$A:$AA,MATCH(U$1,Sheet1!$A$1:$AA$1,0),FALSE))</f>
        <v>DX</v>
      </c>
      <c r="V49" t="str">
        <f>IF(VLOOKUP($A49,Sheet1!$A:$AA,MATCH(V$1,Sheet1!$A$1:$AA$1,0),FALSE)=0,"",VLOOKUP($A49,Sheet1!$A:$AA,MATCH(V$1,Sheet1!$A$1:$AA$1,0),FALSE))</f>
        <v/>
      </c>
      <c r="W49" t="str">
        <f>IF(VLOOKUP($A49,Sheet1!$A:$AA,MATCH(W$1,Sheet1!$A$1:$AA$1,0),FALSE)=0,"",VLOOKUP($A49,Sheet1!$A:$AA,MATCH(W$1,Sheet1!$A$1:$AA$1,0),FALSE))</f>
        <v/>
      </c>
      <c r="X49" t="str">
        <f>IF(VLOOKUP($A49,Sheet1!$A:$AA,MATCH(X$1,Sheet1!$A$1:$AA$1,0),FALSE)=0,"",VLOOKUP($A49,Sheet1!$A:$AA,MATCH(X$1,Sheet1!$A$1:$AA$1,0),FALSE))</f>
        <v>5.0</v>
      </c>
      <c r="Y49" t="str">
        <f>IF(VLOOKUP($A49,Sheet1!$A:$AA,MATCH(Y$1,Sheet1!$A$1:$AA$1,0),FALSE)=0,"",VLOOKUP($A49,Sheet1!$A:$AA,MATCH(Y$1,Sheet1!$A$1:$AA$1,0),FALSE))</f>
        <v>5.0</v>
      </c>
      <c r="Z49" t="str">
        <f>IF(VLOOKUP($A49,Sheet1!$A:$AA,MATCH(Z$1,Sheet1!$A$1:$AA$1,0),FALSE)=0,"",VLOOKUP($A49,Sheet1!$A:$AA,MATCH(Z$1,Sheet1!$A$1:$AA$1,0),FALSE))</f>
        <v/>
      </c>
      <c r="AA49" t="str">
        <f ca="1">IF(VLOOKUP($A49,Sheet1!$A:$AA,MATCH(AA$1,Sheet1!$A$1:$AA$1,0),FALSE)=0,"",VLOOKUP($A49,Sheet1!$A:$AA,MATCH(AA$1,Sheet1!$A$1:$AA$1,0),FALSE))</f>
        <v/>
      </c>
    </row>
    <row r="50" spans="1:27" x14ac:dyDescent="0.25">
      <c r="A50">
        <v>10769133</v>
      </c>
      <c r="B50" t="str">
        <f>IF(VLOOKUP($A50,Sheet1!$A:$AA,MATCH(B$1,Sheet1!$A$1:$AA$1,0),FALSE)=0,"",VLOOKUP($A50,Sheet1!$A:$AA,MATCH(B$1,Sheet1!$A$1:$AA$1,0),FALSE))</f>
        <v>Jelly , Kat</v>
      </c>
      <c r="C50" t="str">
        <f>IF(VLOOKUP($A50,Sheet1!$A:$AA,MATCH(C$1,Sheet1!$A$1:$AA$1,0),FALSE)=0,"",VLOOKUP($A50,Sheet1!$A:$AA,MATCH(C$1,Sheet1!$A$1:$AA$1,0),FALSE))</f>
        <v xml:space="preserve">Jelly </v>
      </c>
      <c r="D50" t="str">
        <f>IF(VLOOKUP($A50,Sheet1!$A:$AA,MATCH(D$1,Sheet1!$A$1:$AA$1,0),FALSE)=0,"",VLOOKUP($A50,Sheet1!$A:$AA,MATCH(D$1,Sheet1!$A$1:$AA$1,0),FALSE))</f>
        <v>Kat</v>
      </c>
      <c r="E50" t="str">
        <f>IF(VLOOKUP($A50,Sheet1!$A:$AA,MATCH(E$1,Sheet1!$A$1:$AA$1,0),FALSE)=0,"",VLOOKUP($A50,Sheet1!$A:$AA,MATCH(E$1,Sheet1!$A$1:$AA$1,0),FALSE))</f>
        <v xml:space="preserve">Kat Jelly </v>
      </c>
      <c r="F50" t="str">
        <f>IF(VLOOKUP($A50,Sheet1!$A:$AA,MATCH(F$1,Sheet1!$A$1:$AA$1,0),FALSE)=0,"",VLOOKUP($A50,Sheet1!$A:$AA,MATCH(F$1,Sheet1!$A$1:$AA$1,0),FALSE))</f>
        <v/>
      </c>
      <c r="G50" t="str">
        <f>IF(VLOOKUP($A50,Sheet1!$A:$AA,MATCH(G$1,Sheet1!$A$1:$AA$1,0),FALSE)=0,"",VLOOKUP($A50,Sheet1!$A:$AA,MATCH(G$1,Sheet1!$A$1:$AA$1,0),FALSE))</f>
        <v/>
      </c>
      <c r="H50" t="str">
        <f>IF(VLOOKUP($A50,Sheet1!$A:$AA,MATCH(H$1,Sheet1!$A$1:$AA$1,0),FALSE)=0,"",VLOOKUP($A50,Sheet1!$A:$AA,MATCH(H$1,Sheet1!$A$1:$AA$1,0),FALSE))</f>
        <v/>
      </c>
      <c r="I50" t="str">
        <f>IF(VLOOKUP($A50,Sheet1!$A:$AA,MATCH(I$1,Sheet1!$A$1:$AA$1,0),FALSE)=0,"",VLOOKUP($A50,Sheet1!$A:$AA,MATCH(I$1,Sheet1!$A$1:$AA$1,0),FALSE))</f>
        <v/>
      </c>
      <c r="J50" t="str">
        <f>IF(VLOOKUP($A50,Sheet1!$A:$AA,MATCH(J$1,Sheet1!$A$1:$AA$1,0),FALSE)=0,"",VLOOKUP($A50,Sheet1!$A:$AA,MATCH(J$1,Sheet1!$A$1:$AA$1,0),FALSE))</f>
        <v/>
      </c>
      <c r="K50" t="str">
        <f>IF(VLOOKUP($A50,Sheet1!$A:$AA,MATCH(K$1,Sheet1!$A$1:$AA$1,0),FALSE)=0,"",VLOOKUP($A50,Sheet1!$A:$AA,MATCH(K$1,Sheet1!$A$1:$AA$1,0),FALSE))</f>
        <v>MADRID</v>
      </c>
      <c r="L50" t="str">
        <f>IF(VLOOKUP($A50,Sheet1!$A:$AA,MATCH(L$1,Sheet1!$A$1:$AA$1,0),FALSE)=0,"",VLOOKUP($A50,Sheet1!$A:$AA,MATCH(L$1,Sheet1!$A$1:$AA$1,0),FALSE))</f>
        <v/>
      </c>
      <c r="M50" t="str">
        <f>IF(VLOOKUP($A50,Sheet1!$A:$AA,MATCH(M$1,Sheet1!$A$1:$AA$1,0),FALSE)=0,"",VLOOKUP($A50,Sheet1!$A:$AA,MATCH(M$1,Sheet1!$A$1:$AA$1,0),FALSE))</f>
        <v/>
      </c>
      <c r="N50" t="str">
        <f>IF(VLOOKUP($A50,Sheet1!$A:$AA,MATCH(N$1,Sheet1!$A$1:$AA$1,0),FALSE)=0,"",VLOOKUP($A50,Sheet1!$A:$AA,MATCH(N$1,Sheet1!$A$1:$AA$1,0),FALSE))</f>
        <v/>
      </c>
      <c r="O50" t="str">
        <f>IF(VLOOKUP($A50,Sheet1!$A:$AA,MATCH(O$1,Sheet1!$A$1:$AA$1,0),FALSE)=0,"",VLOOKUP($A50,Sheet1!$A:$AA,MATCH(O$1,Sheet1!$A$1:$AA$1,0),FALSE))</f>
        <v/>
      </c>
      <c r="P50" t="str">
        <f>IF(VLOOKUP($A50,Sheet1!$A:$AA,MATCH(P$1,Sheet1!$A$1:$AA$1,0),FALSE)=0,"",VLOOKUP($A50,Sheet1!$A:$AA,MATCH(P$1,Sheet1!$A$1:$AA$1,0),FALSE))</f>
        <v/>
      </c>
      <c r="Q50" t="str">
        <f>IF(VLOOKUP($A50,Sheet1!$A:$AA,MATCH(Q$1,Sheet1!$A$1:$AA$1,0),FALSE)=0,"",VLOOKUP($A50,Sheet1!$A:$AA,MATCH(Q$1,Sheet1!$A$1:$AA$1,0),FALSE))</f>
        <v>F</v>
      </c>
      <c r="R50" s="2" t="str">
        <f>IF(VLOOKUP($A50,Sheet1!$A:$AA,MATCH(R$1,Sheet1!$A$1:$AA$1,0),FALSE)=0,"",VLOOKUP($A50,Sheet1!$A:$AA,MATCH(R$1,Sheet1!$A$1:$AA$1,0),FALSE))</f>
        <v/>
      </c>
      <c r="S50" t="str">
        <f>IF(VLOOKUP($A50,Sheet1!$A:$AA,MATCH(S$1,Sheet1!$A$1:$AA$1,0),FALSE)=0,"",VLOOKUP($A50,Sheet1!$A:$AA,MATCH(S$1,Sheet1!$A$1:$AA$1,0),FALSE))</f>
        <v/>
      </c>
      <c r="T50" t="str">
        <f>IF(VLOOKUP($A50,Sheet1!$A:$AA,MATCH(T$1,Sheet1!$A$1:$AA$1,0),FALSE)=0,"",VLOOKUP($A50,Sheet1!$A:$AA,MATCH(T$1,Sheet1!$A$1:$AA$1,0),FALSE))</f>
        <v>DF</v>
      </c>
      <c r="U50" t="str">
        <f>IF(VLOOKUP($A50,Sheet1!$A:$AA,MATCH(U$1,Sheet1!$A$1:$AA$1,0),FALSE)=0,"",VLOOKUP($A50,Sheet1!$A:$AA,MATCH(U$1,Sheet1!$A$1:$AA$1,0),FALSE))</f>
        <v/>
      </c>
      <c r="V50" t="str">
        <f>IF(VLOOKUP($A50,Sheet1!$A:$AA,MATCH(V$1,Sheet1!$A$1:$AA$1,0),FALSE)=0,"",VLOOKUP($A50,Sheet1!$A:$AA,MATCH(V$1,Sheet1!$A$1:$AA$1,0),FALSE))</f>
        <v/>
      </c>
      <c r="W50" t="str">
        <f>IF(VLOOKUP($A50,Sheet1!$A:$AA,MATCH(W$1,Sheet1!$A$1:$AA$1,0),FALSE)=0,"",VLOOKUP($A50,Sheet1!$A:$AA,MATCH(W$1,Sheet1!$A$1:$AA$1,0),FALSE))</f>
        <v/>
      </c>
      <c r="X50" t="str">
        <f>IF(VLOOKUP($A50,Sheet1!$A:$AA,MATCH(X$1,Sheet1!$A$1:$AA$1,0),FALSE)=0,"",VLOOKUP($A50,Sheet1!$A:$AA,MATCH(X$1,Sheet1!$A$1:$AA$1,0),FALSE))</f>
        <v>4.5</v>
      </c>
      <c r="Y50" t="str">
        <f>IF(VLOOKUP($A50,Sheet1!$A:$AA,MATCH(Y$1,Sheet1!$A$1:$AA$1,0),FALSE)=0,"",VLOOKUP($A50,Sheet1!$A:$AA,MATCH(Y$1,Sheet1!$A$1:$AA$1,0),FALSE))</f>
        <v/>
      </c>
      <c r="Z50" t="str">
        <f>IF(VLOOKUP($A50,Sheet1!$A:$AA,MATCH(Z$1,Sheet1!$A$1:$AA$1,0),FALSE)=0,"",VLOOKUP($A50,Sheet1!$A:$AA,MATCH(Z$1,Sheet1!$A$1:$AA$1,0),FALSE))</f>
        <v/>
      </c>
      <c r="AA50" t="str">
        <f ca="1">IF(VLOOKUP($A50,Sheet1!$A:$AA,MATCH(AA$1,Sheet1!$A$1:$AA$1,0),FALSE)=0,"",VLOOKUP($A50,Sheet1!$A:$AA,MATCH(AA$1,Sheet1!$A$1:$AA$1,0),FALSE))</f>
        <v/>
      </c>
    </row>
    <row r="51" spans="1:27" x14ac:dyDescent="0.25">
      <c r="A51">
        <v>16952906</v>
      </c>
      <c r="B51" t="str">
        <f>IF(VLOOKUP($A51,Sheet1!$A:$AA,MATCH(B$1,Sheet1!$A$1:$AA$1,0),FALSE)=0,"",VLOOKUP($A51,Sheet1!$A:$AA,MATCH(B$1,Sheet1!$A$1:$AA$1,0),FALSE))</f>
        <v>Blanco Assanelli, Vanesa Noelia</v>
      </c>
      <c r="C51" t="str">
        <f>IF(VLOOKUP($A51,Sheet1!$A:$AA,MATCH(C$1,Sheet1!$A$1:$AA$1,0),FALSE)=0,"",VLOOKUP($A51,Sheet1!$A:$AA,MATCH(C$1,Sheet1!$A$1:$AA$1,0),FALSE))</f>
        <v>Blanco Assanelli</v>
      </c>
      <c r="D51" t="str">
        <f>IF(VLOOKUP($A51,Sheet1!$A:$AA,MATCH(D$1,Sheet1!$A$1:$AA$1,0),FALSE)=0,"",VLOOKUP($A51,Sheet1!$A:$AA,MATCH(D$1,Sheet1!$A$1:$AA$1,0),FALSE))</f>
        <v>Vanesa Noelia</v>
      </c>
      <c r="E51" t="str">
        <f>IF(VLOOKUP($A51,Sheet1!$A:$AA,MATCH(E$1,Sheet1!$A$1:$AA$1,0),FALSE)=0,"",VLOOKUP($A51,Sheet1!$A:$AA,MATCH(E$1,Sheet1!$A$1:$AA$1,0),FALSE))</f>
        <v>Vanesa Noelia Blanco Assanelli</v>
      </c>
      <c r="F51" t="str">
        <f>IF(VLOOKUP($A51,Sheet1!$A:$AA,MATCH(F$1,Sheet1!$A$1:$AA$1,0),FALSE)=0,"",VLOOKUP($A51,Sheet1!$A:$AA,MATCH(F$1,Sheet1!$A$1:$AA$1,0),FALSE))</f>
        <v/>
      </c>
      <c r="G51" t="str">
        <f>IF(VLOOKUP($A51,Sheet1!$A:$AA,MATCH(G$1,Sheet1!$A$1:$AA$1,0),FALSE)=0,"",VLOOKUP($A51,Sheet1!$A:$AA,MATCH(G$1,Sheet1!$A$1:$AA$1,0),FALSE))</f>
        <v/>
      </c>
      <c r="H51" t="str">
        <f>IF(VLOOKUP($A51,Sheet1!$A:$AA,MATCH(H$1,Sheet1!$A$1:$AA$1,0),FALSE)=0,"",VLOOKUP($A51,Sheet1!$A:$AA,MATCH(H$1,Sheet1!$A$1:$AA$1,0),FALSE))</f>
        <v/>
      </c>
      <c r="I51" t="str">
        <f>IF(VLOOKUP($A51,Sheet1!$A:$AA,MATCH(I$1,Sheet1!$A$1:$AA$1,0),FALSE)=0,"",VLOOKUP($A51,Sheet1!$A:$AA,MATCH(I$1,Sheet1!$A$1:$AA$1,0),FALSE))</f>
        <v/>
      </c>
      <c r="J51" t="str">
        <f>IF(VLOOKUP($A51,Sheet1!$A:$AA,MATCH(J$1,Sheet1!$A$1:$AA$1,0),FALSE)=0,"",VLOOKUP($A51,Sheet1!$A:$AA,MATCH(J$1,Sheet1!$A$1:$AA$1,0),FALSE))</f>
        <v/>
      </c>
      <c r="K51" t="str">
        <f>IF(VLOOKUP($A51,Sheet1!$A:$AA,MATCH(K$1,Sheet1!$A$1:$AA$1,0),FALSE)=0,"",VLOOKUP($A51,Sheet1!$A:$AA,MATCH(K$1,Sheet1!$A$1:$AA$1,0),FALSE))</f>
        <v>ANDALUCIA</v>
      </c>
      <c r="L51" t="str">
        <f>IF(VLOOKUP($A51,Sheet1!$A:$AA,MATCH(L$1,Sheet1!$A$1:$AA$1,0),FALSE)=0,"",VLOOKUP($A51,Sheet1!$A:$AA,MATCH(L$1,Sheet1!$A$1:$AA$1,0),FALSE))</f>
        <v/>
      </c>
      <c r="M51" t="str">
        <f>IF(VLOOKUP($A51,Sheet1!$A:$AA,MATCH(M$1,Sheet1!$A$1:$AA$1,0),FALSE)=0,"",VLOOKUP($A51,Sheet1!$A:$AA,MATCH(M$1,Sheet1!$A$1:$AA$1,0),FALSE))</f>
        <v/>
      </c>
      <c r="N51" t="str">
        <f>IF(VLOOKUP($A51,Sheet1!$A:$AA,MATCH(N$1,Sheet1!$A$1:$AA$1,0),FALSE)=0,"",VLOOKUP($A51,Sheet1!$A:$AA,MATCH(N$1,Sheet1!$A$1:$AA$1,0),FALSE))</f>
        <v/>
      </c>
      <c r="O51" t="str">
        <f>IF(VLOOKUP($A51,Sheet1!$A:$AA,MATCH(O$1,Sheet1!$A$1:$AA$1,0),FALSE)=0,"",VLOOKUP($A51,Sheet1!$A:$AA,MATCH(O$1,Sheet1!$A$1:$AA$1,0),FALSE))</f>
        <v/>
      </c>
      <c r="P51" t="str">
        <f>IF(VLOOKUP($A51,Sheet1!$A:$AA,MATCH(P$1,Sheet1!$A$1:$AA$1,0),FALSE)=0,"",VLOOKUP($A51,Sheet1!$A:$AA,MATCH(P$1,Sheet1!$A$1:$AA$1,0),FALSE))</f>
        <v/>
      </c>
      <c r="Q51" t="str">
        <f>IF(VLOOKUP($A51,Sheet1!$A:$AA,MATCH(Q$1,Sheet1!$A$1:$AA$1,0),FALSE)=0,"",VLOOKUP($A51,Sheet1!$A:$AA,MATCH(Q$1,Sheet1!$A$1:$AA$1,0),FALSE))</f>
        <v>F</v>
      </c>
      <c r="R51" s="2" t="str">
        <f>IF(VLOOKUP($A51,Sheet1!$A:$AA,MATCH(R$1,Sheet1!$A$1:$AA$1,0),FALSE)=0,"",VLOOKUP($A51,Sheet1!$A:$AA,MATCH(R$1,Sheet1!$A$1:$AA$1,0),FALSE))</f>
        <v/>
      </c>
      <c r="S51" t="str">
        <f>IF(VLOOKUP($A51,Sheet1!$A:$AA,MATCH(S$1,Sheet1!$A$1:$AA$1,0),FALSE)=0,"",VLOOKUP($A51,Sheet1!$A:$AA,MATCH(S$1,Sheet1!$A$1:$AA$1,0),FALSE))</f>
        <v/>
      </c>
      <c r="T51" t="str">
        <f>IF(VLOOKUP($A51,Sheet1!$A:$AA,MATCH(T$1,Sheet1!$A$1:$AA$1,0),FALSE)=0,"",VLOOKUP($A51,Sheet1!$A:$AA,MATCH(T$1,Sheet1!$A$1:$AA$1,0),FALSE))</f>
        <v>DF</v>
      </c>
      <c r="U51" t="str">
        <f>IF(VLOOKUP($A51,Sheet1!$A:$AA,MATCH(U$1,Sheet1!$A$1:$AA$1,0),FALSE)=0,"",VLOOKUP($A51,Sheet1!$A:$AA,MATCH(U$1,Sheet1!$A$1:$AA$1,0),FALSE))</f>
        <v>DX</v>
      </c>
      <c r="V51" t="str">
        <f>IF(VLOOKUP($A51,Sheet1!$A:$AA,MATCH(V$1,Sheet1!$A$1:$AA$1,0),FALSE)=0,"",VLOOKUP($A51,Sheet1!$A:$AA,MATCH(V$1,Sheet1!$A$1:$AA$1,0),FALSE))</f>
        <v/>
      </c>
      <c r="W51" t="str">
        <f>IF(VLOOKUP($A51,Sheet1!$A:$AA,MATCH(W$1,Sheet1!$A$1:$AA$1,0),FALSE)=0,"",VLOOKUP($A51,Sheet1!$A:$AA,MATCH(W$1,Sheet1!$A$1:$AA$1,0),FALSE))</f>
        <v/>
      </c>
      <c r="X51" t="str">
        <f>IF(VLOOKUP($A51,Sheet1!$A:$AA,MATCH(X$1,Sheet1!$A$1:$AA$1,0),FALSE)=0,"",VLOOKUP($A51,Sheet1!$A:$AA,MATCH(X$1,Sheet1!$A$1:$AA$1,0),FALSE))</f>
        <v>4.5</v>
      </c>
      <c r="Y51" t="str">
        <f>IF(VLOOKUP($A51,Sheet1!$A:$AA,MATCH(Y$1,Sheet1!$A$1:$AA$1,0),FALSE)=0,"",VLOOKUP($A51,Sheet1!$A:$AA,MATCH(Y$1,Sheet1!$A$1:$AA$1,0),FALSE))</f>
        <v>4.5</v>
      </c>
      <c r="Z51" t="str">
        <f>IF(VLOOKUP($A51,Sheet1!$A:$AA,MATCH(Z$1,Sheet1!$A$1:$AA$1,0),FALSE)=0,"",VLOOKUP($A51,Sheet1!$A:$AA,MATCH(Z$1,Sheet1!$A$1:$AA$1,0),FALSE))</f>
        <v/>
      </c>
      <c r="AA51" t="str">
        <f ca="1">IF(VLOOKUP($A51,Sheet1!$A:$AA,MATCH(AA$1,Sheet1!$A$1:$AA$1,0),FALSE)=0,"",VLOOKUP($A51,Sheet1!$A:$AA,MATCH(AA$1,Sheet1!$A$1:$AA$1,0),FALSE))</f>
        <v/>
      </c>
    </row>
    <row r="52" spans="1:27" x14ac:dyDescent="0.25">
      <c r="A52">
        <v>4412475</v>
      </c>
      <c r="B52" t="str">
        <f>IF(VLOOKUP($A52,Sheet1!$A:$AA,MATCH(B$1,Sheet1!$A$1:$AA$1,0),FALSE)=0,"",VLOOKUP($A52,Sheet1!$A:$AA,MATCH(B$1,Sheet1!$A$1:$AA$1,0),FALSE))</f>
        <v>García Garre, Ana</v>
      </c>
      <c r="C52" t="str">
        <f>IF(VLOOKUP($A52,Sheet1!$A:$AA,MATCH(C$1,Sheet1!$A$1:$AA$1,0),FALSE)=0,"",VLOOKUP($A52,Sheet1!$A:$AA,MATCH(C$1,Sheet1!$A$1:$AA$1,0),FALSE))</f>
        <v>García Garre</v>
      </c>
      <c r="D52" t="str">
        <f>IF(VLOOKUP($A52,Sheet1!$A:$AA,MATCH(D$1,Sheet1!$A$1:$AA$1,0),FALSE)=0,"",VLOOKUP($A52,Sheet1!$A:$AA,MATCH(D$1,Sheet1!$A$1:$AA$1,0),FALSE))</f>
        <v>Ana</v>
      </c>
      <c r="E52" t="str">
        <f>IF(VLOOKUP($A52,Sheet1!$A:$AA,MATCH(E$1,Sheet1!$A$1:$AA$1,0),FALSE)=0,"",VLOOKUP($A52,Sheet1!$A:$AA,MATCH(E$1,Sheet1!$A$1:$AA$1,0),FALSE))</f>
        <v>Ana García Garre</v>
      </c>
      <c r="F52" t="str">
        <f>IF(VLOOKUP($A52,Sheet1!$A:$AA,MATCH(F$1,Sheet1!$A$1:$AA$1,0),FALSE)=0,"",VLOOKUP($A52,Sheet1!$A:$AA,MATCH(F$1,Sheet1!$A$1:$AA$1,0),FALSE))</f>
        <v/>
      </c>
      <c r="G52" t="str">
        <f>IF(VLOOKUP($A52,Sheet1!$A:$AA,MATCH(G$1,Sheet1!$A$1:$AA$1,0),FALSE)=0,"",VLOOKUP($A52,Sheet1!$A:$AA,MATCH(G$1,Sheet1!$A$1:$AA$1,0),FALSE))</f>
        <v/>
      </c>
      <c r="H52" t="str">
        <f>IF(VLOOKUP($A52,Sheet1!$A:$AA,MATCH(H$1,Sheet1!$A$1:$AA$1,0),FALSE)=0,"",VLOOKUP($A52,Sheet1!$A:$AA,MATCH(H$1,Sheet1!$A$1:$AA$1,0),FALSE))</f>
        <v/>
      </c>
      <c r="I52" t="str">
        <f>IF(VLOOKUP($A52,Sheet1!$A:$AA,MATCH(I$1,Sheet1!$A$1:$AA$1,0),FALSE)=0,"",VLOOKUP($A52,Sheet1!$A:$AA,MATCH(I$1,Sheet1!$A$1:$AA$1,0),FALSE))</f>
        <v/>
      </c>
      <c r="J52" t="str">
        <f>IF(VLOOKUP($A52,Sheet1!$A:$AA,MATCH(J$1,Sheet1!$A$1:$AA$1,0),FALSE)=0,"",VLOOKUP($A52,Sheet1!$A:$AA,MATCH(J$1,Sheet1!$A$1:$AA$1,0),FALSE))</f>
        <v/>
      </c>
      <c r="K52" t="str">
        <f>IF(VLOOKUP($A52,Sheet1!$A:$AA,MATCH(K$1,Sheet1!$A$1:$AA$1,0),FALSE)=0,"",VLOOKUP($A52,Sheet1!$A:$AA,MATCH(K$1,Sheet1!$A$1:$AA$1,0),FALSE))</f>
        <v>ANDALUCIA</v>
      </c>
      <c r="L52" t="str">
        <f>IF(VLOOKUP($A52,Sheet1!$A:$AA,MATCH(L$1,Sheet1!$A$1:$AA$1,0),FALSE)=0,"",VLOOKUP($A52,Sheet1!$A:$AA,MATCH(L$1,Sheet1!$A$1:$AA$1,0),FALSE))</f>
        <v/>
      </c>
      <c r="M52" t="str">
        <f>IF(VLOOKUP($A52,Sheet1!$A:$AA,MATCH(M$1,Sheet1!$A$1:$AA$1,0),FALSE)=0,"",VLOOKUP($A52,Sheet1!$A:$AA,MATCH(M$1,Sheet1!$A$1:$AA$1,0),FALSE))</f>
        <v/>
      </c>
      <c r="N52" t="str">
        <f>IF(VLOOKUP($A52,Sheet1!$A:$AA,MATCH(N$1,Sheet1!$A$1:$AA$1,0),FALSE)=0,"",VLOOKUP($A52,Sheet1!$A:$AA,MATCH(N$1,Sheet1!$A$1:$AA$1,0),FALSE))</f>
        <v/>
      </c>
      <c r="O52" t="str">
        <f>IF(VLOOKUP($A52,Sheet1!$A:$AA,MATCH(O$1,Sheet1!$A$1:$AA$1,0),FALSE)=0,"",VLOOKUP($A52,Sheet1!$A:$AA,MATCH(O$1,Sheet1!$A$1:$AA$1,0),FALSE))</f>
        <v/>
      </c>
      <c r="P52" t="str">
        <f>IF(VLOOKUP($A52,Sheet1!$A:$AA,MATCH(P$1,Sheet1!$A$1:$AA$1,0),FALSE)=0,"",VLOOKUP($A52,Sheet1!$A:$AA,MATCH(P$1,Sheet1!$A$1:$AA$1,0),FALSE))</f>
        <v/>
      </c>
      <c r="Q52" t="str">
        <f>IF(VLOOKUP($A52,Sheet1!$A:$AA,MATCH(Q$1,Sheet1!$A$1:$AA$1,0),FALSE)=0,"",VLOOKUP($A52,Sheet1!$A:$AA,MATCH(Q$1,Sheet1!$A$1:$AA$1,0),FALSE))</f>
        <v>F</v>
      </c>
      <c r="R52" s="2" t="str">
        <f>IF(VLOOKUP($A52,Sheet1!$A:$AA,MATCH(R$1,Sheet1!$A$1:$AA$1,0),FALSE)=0,"",VLOOKUP($A52,Sheet1!$A:$AA,MATCH(R$1,Sheet1!$A$1:$AA$1,0),FALSE))</f>
        <v/>
      </c>
      <c r="S52" t="str">
        <f>IF(VLOOKUP($A52,Sheet1!$A:$AA,MATCH(S$1,Sheet1!$A$1:$AA$1,0),FALSE)=0,"",VLOOKUP($A52,Sheet1!$A:$AA,MATCH(S$1,Sheet1!$A$1:$AA$1,0),FALSE))</f>
        <v/>
      </c>
      <c r="T52" t="str">
        <f>IF(VLOOKUP($A52,Sheet1!$A:$AA,MATCH(T$1,Sheet1!$A$1:$AA$1,0),FALSE)=0,"",VLOOKUP($A52,Sheet1!$A:$AA,MATCH(T$1,Sheet1!$A$1:$AA$1,0),FALSE))</f>
        <v>DF</v>
      </c>
      <c r="U52" t="str">
        <f>IF(VLOOKUP($A52,Sheet1!$A:$AA,MATCH(U$1,Sheet1!$A$1:$AA$1,0),FALSE)=0,"",VLOOKUP($A52,Sheet1!$A:$AA,MATCH(U$1,Sheet1!$A$1:$AA$1,0),FALSE))</f>
        <v/>
      </c>
      <c r="V52" t="str">
        <f>IF(VLOOKUP($A52,Sheet1!$A:$AA,MATCH(V$1,Sheet1!$A$1:$AA$1,0),FALSE)=0,"",VLOOKUP($A52,Sheet1!$A:$AA,MATCH(V$1,Sheet1!$A$1:$AA$1,0),FALSE))</f>
        <v/>
      </c>
      <c r="W52" t="str">
        <f>IF(VLOOKUP($A52,Sheet1!$A:$AA,MATCH(W$1,Sheet1!$A$1:$AA$1,0),FALSE)=0,"",VLOOKUP($A52,Sheet1!$A:$AA,MATCH(W$1,Sheet1!$A$1:$AA$1,0),FALSE))</f>
        <v/>
      </c>
      <c r="X52" t="str">
        <f>IF(VLOOKUP($A52,Sheet1!$A:$AA,MATCH(X$1,Sheet1!$A$1:$AA$1,0),FALSE)=0,"",VLOOKUP($A52,Sheet1!$A:$AA,MATCH(X$1,Sheet1!$A$1:$AA$1,0),FALSE))</f>
        <v>4.5</v>
      </c>
      <c r="Y52" t="str">
        <f>IF(VLOOKUP($A52,Sheet1!$A:$AA,MATCH(Y$1,Sheet1!$A$1:$AA$1,0),FALSE)=0,"",VLOOKUP($A52,Sheet1!$A:$AA,MATCH(Y$1,Sheet1!$A$1:$AA$1,0),FALSE))</f>
        <v/>
      </c>
      <c r="Z52" t="str">
        <f>IF(VLOOKUP($A52,Sheet1!$A:$AA,MATCH(Z$1,Sheet1!$A$1:$AA$1,0),FALSE)=0,"",VLOOKUP($A52,Sheet1!$A:$AA,MATCH(Z$1,Sheet1!$A$1:$AA$1,0),FALSE))</f>
        <v/>
      </c>
      <c r="AA52" t="str">
        <f ca="1">IF(VLOOKUP($A52,Sheet1!$A:$AA,MATCH(AA$1,Sheet1!$A$1:$AA$1,0),FALSE)=0,"",VLOOKUP($A52,Sheet1!$A:$AA,MATCH(AA$1,Sheet1!$A$1:$AA$1,0),FALSE))</f>
        <v/>
      </c>
    </row>
    <row r="53" spans="1:27" x14ac:dyDescent="0.25">
      <c r="A53">
        <v>13405065</v>
      </c>
      <c r="B53" t="str">
        <f>IF(VLOOKUP($A53,Sheet1!$A:$AA,MATCH(B$1,Sheet1!$A$1:$AA$1,0),FALSE)=0,"",VLOOKUP($A53,Sheet1!$A:$AA,MATCH(B$1,Sheet1!$A$1:$AA$1,0),FALSE))</f>
        <v>Olmo , Laura</v>
      </c>
      <c r="C53" t="str">
        <f>IF(VLOOKUP($A53,Sheet1!$A:$AA,MATCH(C$1,Sheet1!$A$1:$AA$1,0),FALSE)=0,"",VLOOKUP($A53,Sheet1!$A:$AA,MATCH(C$1,Sheet1!$A$1:$AA$1,0),FALSE))</f>
        <v xml:space="preserve">Olmo </v>
      </c>
      <c r="D53" t="str">
        <f>IF(VLOOKUP($A53,Sheet1!$A:$AA,MATCH(D$1,Sheet1!$A$1:$AA$1,0),FALSE)=0,"",VLOOKUP($A53,Sheet1!$A:$AA,MATCH(D$1,Sheet1!$A$1:$AA$1,0),FALSE))</f>
        <v>Laura</v>
      </c>
      <c r="E53" t="str">
        <f>IF(VLOOKUP($A53,Sheet1!$A:$AA,MATCH(E$1,Sheet1!$A$1:$AA$1,0),FALSE)=0,"",VLOOKUP($A53,Sheet1!$A:$AA,MATCH(E$1,Sheet1!$A$1:$AA$1,0),FALSE))</f>
        <v xml:space="preserve">Laura Olmo </v>
      </c>
      <c r="F53" t="str">
        <f>IF(VLOOKUP($A53,Sheet1!$A:$AA,MATCH(F$1,Sheet1!$A$1:$AA$1,0),FALSE)=0,"",VLOOKUP($A53,Sheet1!$A:$AA,MATCH(F$1,Sheet1!$A$1:$AA$1,0),FALSE))</f>
        <v/>
      </c>
      <c r="G53" t="str">
        <f>IF(VLOOKUP($A53,Sheet1!$A:$AA,MATCH(G$1,Sheet1!$A$1:$AA$1,0),FALSE)=0,"",VLOOKUP($A53,Sheet1!$A:$AA,MATCH(G$1,Sheet1!$A$1:$AA$1,0),FALSE))</f>
        <v/>
      </c>
      <c r="H53" t="str">
        <f>IF(VLOOKUP($A53,Sheet1!$A:$AA,MATCH(H$1,Sheet1!$A$1:$AA$1,0),FALSE)=0,"",VLOOKUP($A53,Sheet1!$A:$AA,MATCH(H$1,Sheet1!$A$1:$AA$1,0),FALSE))</f>
        <v/>
      </c>
      <c r="I53" t="str">
        <f>IF(VLOOKUP($A53,Sheet1!$A:$AA,MATCH(I$1,Sheet1!$A$1:$AA$1,0),FALSE)=0,"",VLOOKUP($A53,Sheet1!$A:$AA,MATCH(I$1,Sheet1!$A$1:$AA$1,0),FALSE))</f>
        <v/>
      </c>
      <c r="J53" t="str">
        <f>IF(VLOOKUP($A53,Sheet1!$A:$AA,MATCH(J$1,Sheet1!$A$1:$AA$1,0),FALSE)=0,"",VLOOKUP($A53,Sheet1!$A:$AA,MATCH(J$1,Sheet1!$A$1:$AA$1,0),FALSE))</f>
        <v/>
      </c>
      <c r="K53" t="str">
        <f>IF(VLOOKUP($A53,Sheet1!$A:$AA,MATCH(K$1,Sheet1!$A$1:$AA$1,0),FALSE)=0,"",VLOOKUP($A53,Sheet1!$A:$AA,MATCH(K$1,Sheet1!$A$1:$AA$1,0),FALSE))</f>
        <v>MADRID</v>
      </c>
      <c r="L53" t="str">
        <f>IF(VLOOKUP($A53,Sheet1!$A:$AA,MATCH(L$1,Sheet1!$A$1:$AA$1,0),FALSE)=0,"",VLOOKUP($A53,Sheet1!$A:$AA,MATCH(L$1,Sheet1!$A$1:$AA$1,0),FALSE))</f>
        <v/>
      </c>
      <c r="M53" t="str">
        <f>IF(VLOOKUP($A53,Sheet1!$A:$AA,MATCH(M$1,Sheet1!$A$1:$AA$1,0),FALSE)=0,"",VLOOKUP($A53,Sheet1!$A:$AA,MATCH(M$1,Sheet1!$A$1:$AA$1,0),FALSE))</f>
        <v/>
      </c>
      <c r="N53" t="str">
        <f>IF(VLOOKUP($A53,Sheet1!$A:$AA,MATCH(N$1,Sheet1!$A$1:$AA$1,0),FALSE)=0,"",VLOOKUP($A53,Sheet1!$A:$AA,MATCH(N$1,Sheet1!$A$1:$AA$1,0),FALSE))</f>
        <v/>
      </c>
      <c r="O53" t="str">
        <f>IF(VLOOKUP($A53,Sheet1!$A:$AA,MATCH(O$1,Sheet1!$A$1:$AA$1,0),FALSE)=0,"",VLOOKUP($A53,Sheet1!$A:$AA,MATCH(O$1,Sheet1!$A$1:$AA$1,0),FALSE))</f>
        <v/>
      </c>
      <c r="P53" t="str">
        <f>IF(VLOOKUP($A53,Sheet1!$A:$AA,MATCH(P$1,Sheet1!$A$1:$AA$1,0),FALSE)=0,"",VLOOKUP($A53,Sheet1!$A:$AA,MATCH(P$1,Sheet1!$A$1:$AA$1,0),FALSE))</f>
        <v/>
      </c>
      <c r="Q53" t="str">
        <f>IF(VLOOKUP($A53,Sheet1!$A:$AA,MATCH(Q$1,Sheet1!$A$1:$AA$1,0),FALSE)=0,"",VLOOKUP($A53,Sheet1!$A:$AA,MATCH(Q$1,Sheet1!$A$1:$AA$1,0),FALSE))</f>
        <v>F</v>
      </c>
      <c r="R53" s="2" t="str">
        <f>IF(VLOOKUP($A53,Sheet1!$A:$AA,MATCH(R$1,Sheet1!$A$1:$AA$1,0),FALSE)=0,"",VLOOKUP($A53,Sheet1!$A:$AA,MATCH(R$1,Sheet1!$A$1:$AA$1,0),FALSE))</f>
        <v/>
      </c>
      <c r="S53" t="str">
        <f>IF(VLOOKUP($A53,Sheet1!$A:$AA,MATCH(S$1,Sheet1!$A$1:$AA$1,0),FALSE)=0,"",VLOOKUP($A53,Sheet1!$A:$AA,MATCH(S$1,Sheet1!$A$1:$AA$1,0),FALSE))</f>
        <v/>
      </c>
      <c r="T53" t="str">
        <f>IF(VLOOKUP($A53,Sheet1!$A:$AA,MATCH(T$1,Sheet1!$A$1:$AA$1,0),FALSE)=0,"",VLOOKUP($A53,Sheet1!$A:$AA,MATCH(T$1,Sheet1!$A$1:$AA$1,0),FALSE))</f>
        <v>DF</v>
      </c>
      <c r="U53" t="str">
        <f>IF(VLOOKUP($A53,Sheet1!$A:$AA,MATCH(U$1,Sheet1!$A$1:$AA$1,0),FALSE)=0,"",VLOOKUP($A53,Sheet1!$A:$AA,MATCH(U$1,Sheet1!$A$1:$AA$1,0),FALSE))</f>
        <v/>
      </c>
      <c r="V53" t="str">
        <f>IF(VLOOKUP($A53,Sheet1!$A:$AA,MATCH(V$1,Sheet1!$A$1:$AA$1,0),FALSE)=0,"",VLOOKUP($A53,Sheet1!$A:$AA,MATCH(V$1,Sheet1!$A$1:$AA$1,0),FALSE))</f>
        <v/>
      </c>
      <c r="W53" t="str">
        <f>IF(VLOOKUP($A53,Sheet1!$A:$AA,MATCH(W$1,Sheet1!$A$1:$AA$1,0),FALSE)=0,"",VLOOKUP($A53,Sheet1!$A:$AA,MATCH(W$1,Sheet1!$A$1:$AA$1,0),FALSE))</f>
        <v/>
      </c>
      <c r="X53" t="str">
        <f>IF(VLOOKUP($A53,Sheet1!$A:$AA,MATCH(X$1,Sheet1!$A$1:$AA$1,0),FALSE)=0,"",VLOOKUP($A53,Sheet1!$A:$AA,MATCH(X$1,Sheet1!$A$1:$AA$1,0),FALSE))</f>
        <v>4.5</v>
      </c>
      <c r="Y53" t="str">
        <f>IF(VLOOKUP($A53,Sheet1!$A:$AA,MATCH(Y$1,Sheet1!$A$1:$AA$1,0),FALSE)=0,"",VLOOKUP($A53,Sheet1!$A:$AA,MATCH(Y$1,Sheet1!$A$1:$AA$1,0),FALSE))</f>
        <v/>
      </c>
      <c r="Z53" t="str">
        <f>IF(VLOOKUP($A53,Sheet1!$A:$AA,MATCH(Z$1,Sheet1!$A$1:$AA$1,0),FALSE)=0,"",VLOOKUP($A53,Sheet1!$A:$AA,MATCH(Z$1,Sheet1!$A$1:$AA$1,0),FALSE))</f>
        <v/>
      </c>
      <c r="AA53" t="str">
        <f ca="1">IF(VLOOKUP($A53,Sheet1!$A:$AA,MATCH(AA$1,Sheet1!$A$1:$AA$1,0),FALSE)=0,"",VLOOKUP($A53,Sheet1!$A:$AA,MATCH(AA$1,Sheet1!$A$1:$AA$1,0),FALSE))</f>
        <v/>
      </c>
    </row>
    <row r="54" spans="1:27" x14ac:dyDescent="0.25">
      <c r="A54">
        <v>16953251</v>
      </c>
      <c r="B54" t="str">
        <f>IF(VLOOKUP($A54,Sheet1!$A:$AA,MATCH(B$1,Sheet1!$A$1:$AA$1,0),FALSE)=0,"",VLOOKUP($A54,Sheet1!$A:$AA,MATCH(B$1,Sheet1!$A$1:$AA$1,0),FALSE))</f>
        <v>Yanes Cabrera, Alicia</v>
      </c>
      <c r="C54" t="str">
        <f>IF(VLOOKUP($A54,Sheet1!$A:$AA,MATCH(C$1,Sheet1!$A$1:$AA$1,0),FALSE)=0,"",VLOOKUP($A54,Sheet1!$A:$AA,MATCH(C$1,Sheet1!$A$1:$AA$1,0),FALSE))</f>
        <v>Yanes Cabrera</v>
      </c>
      <c r="D54" t="str">
        <f>IF(VLOOKUP($A54,Sheet1!$A:$AA,MATCH(D$1,Sheet1!$A$1:$AA$1,0),FALSE)=0,"",VLOOKUP($A54,Sheet1!$A:$AA,MATCH(D$1,Sheet1!$A$1:$AA$1,0),FALSE))</f>
        <v>Alicia</v>
      </c>
      <c r="E54" t="str">
        <f>IF(VLOOKUP($A54,Sheet1!$A:$AA,MATCH(E$1,Sheet1!$A$1:$AA$1,0),FALSE)=0,"",VLOOKUP($A54,Sheet1!$A:$AA,MATCH(E$1,Sheet1!$A$1:$AA$1,0),FALSE))</f>
        <v>Alicia Yanes Cabrera</v>
      </c>
      <c r="F54" t="str">
        <f>IF(VLOOKUP($A54,Sheet1!$A:$AA,MATCH(F$1,Sheet1!$A$1:$AA$1,0),FALSE)=0,"",VLOOKUP($A54,Sheet1!$A:$AA,MATCH(F$1,Sheet1!$A$1:$AA$1,0),FALSE))</f>
        <v/>
      </c>
      <c r="G54" t="str">
        <f>IF(VLOOKUP($A54,Sheet1!$A:$AA,MATCH(G$1,Sheet1!$A$1:$AA$1,0),FALSE)=0,"",VLOOKUP($A54,Sheet1!$A:$AA,MATCH(G$1,Sheet1!$A$1:$AA$1,0),FALSE))</f>
        <v/>
      </c>
      <c r="H54" t="str">
        <f>IF(VLOOKUP($A54,Sheet1!$A:$AA,MATCH(H$1,Sheet1!$A$1:$AA$1,0),FALSE)=0,"",VLOOKUP($A54,Sheet1!$A:$AA,MATCH(H$1,Sheet1!$A$1:$AA$1,0),FALSE))</f>
        <v/>
      </c>
      <c r="I54" t="str">
        <f>IF(VLOOKUP($A54,Sheet1!$A:$AA,MATCH(I$1,Sheet1!$A$1:$AA$1,0),FALSE)=0,"",VLOOKUP($A54,Sheet1!$A:$AA,MATCH(I$1,Sheet1!$A$1:$AA$1,0),FALSE))</f>
        <v/>
      </c>
      <c r="J54" t="str">
        <f>IF(VLOOKUP($A54,Sheet1!$A:$AA,MATCH(J$1,Sheet1!$A$1:$AA$1,0),FALSE)=0,"",VLOOKUP($A54,Sheet1!$A:$AA,MATCH(J$1,Sheet1!$A$1:$AA$1,0),FALSE))</f>
        <v/>
      </c>
      <c r="K54" t="str">
        <f>IF(VLOOKUP($A54,Sheet1!$A:$AA,MATCH(K$1,Sheet1!$A$1:$AA$1,0),FALSE)=0,"",VLOOKUP($A54,Sheet1!$A:$AA,MATCH(K$1,Sheet1!$A$1:$AA$1,0),FALSE))</f>
        <v>ANDALUCIA</v>
      </c>
      <c r="L54" t="str">
        <f>IF(VLOOKUP($A54,Sheet1!$A:$AA,MATCH(L$1,Sheet1!$A$1:$AA$1,0),FALSE)=0,"",VLOOKUP($A54,Sheet1!$A:$AA,MATCH(L$1,Sheet1!$A$1:$AA$1,0),FALSE))</f>
        <v/>
      </c>
      <c r="M54" t="str">
        <f>IF(VLOOKUP($A54,Sheet1!$A:$AA,MATCH(M$1,Sheet1!$A$1:$AA$1,0),FALSE)=0,"",VLOOKUP($A54,Sheet1!$A:$AA,MATCH(M$1,Sheet1!$A$1:$AA$1,0),FALSE))</f>
        <v/>
      </c>
      <c r="N54" t="str">
        <f>IF(VLOOKUP($A54,Sheet1!$A:$AA,MATCH(N$1,Sheet1!$A$1:$AA$1,0),FALSE)=0,"",VLOOKUP($A54,Sheet1!$A:$AA,MATCH(N$1,Sheet1!$A$1:$AA$1,0),FALSE))</f>
        <v/>
      </c>
      <c r="O54" t="str">
        <f>IF(VLOOKUP($A54,Sheet1!$A:$AA,MATCH(O$1,Sheet1!$A$1:$AA$1,0),FALSE)=0,"",VLOOKUP($A54,Sheet1!$A:$AA,MATCH(O$1,Sheet1!$A$1:$AA$1,0),FALSE))</f>
        <v/>
      </c>
      <c r="P54" t="str">
        <f>IF(VLOOKUP($A54,Sheet1!$A:$AA,MATCH(P$1,Sheet1!$A$1:$AA$1,0),FALSE)=0,"",VLOOKUP($A54,Sheet1!$A:$AA,MATCH(P$1,Sheet1!$A$1:$AA$1,0),FALSE))</f>
        <v/>
      </c>
      <c r="Q54" t="str">
        <f>IF(VLOOKUP($A54,Sheet1!$A:$AA,MATCH(Q$1,Sheet1!$A$1:$AA$1,0),FALSE)=0,"",VLOOKUP($A54,Sheet1!$A:$AA,MATCH(Q$1,Sheet1!$A$1:$AA$1,0),FALSE))</f>
        <v>F</v>
      </c>
      <c r="R54" s="2" t="str">
        <f>IF(VLOOKUP($A54,Sheet1!$A:$AA,MATCH(R$1,Sheet1!$A$1:$AA$1,0),FALSE)=0,"",VLOOKUP($A54,Sheet1!$A:$AA,MATCH(R$1,Sheet1!$A$1:$AA$1,0),FALSE))</f>
        <v/>
      </c>
      <c r="S54" t="str">
        <f>IF(VLOOKUP($A54,Sheet1!$A:$AA,MATCH(S$1,Sheet1!$A$1:$AA$1,0),FALSE)=0,"",VLOOKUP($A54,Sheet1!$A:$AA,MATCH(S$1,Sheet1!$A$1:$AA$1,0),FALSE))</f>
        <v/>
      </c>
      <c r="T54" t="str">
        <f>IF(VLOOKUP($A54,Sheet1!$A:$AA,MATCH(T$1,Sheet1!$A$1:$AA$1,0),FALSE)=0,"",VLOOKUP($A54,Sheet1!$A:$AA,MATCH(T$1,Sheet1!$A$1:$AA$1,0),FALSE))</f>
        <v>DF</v>
      </c>
      <c r="U54" t="str">
        <f>IF(VLOOKUP($A54,Sheet1!$A:$AA,MATCH(U$1,Sheet1!$A$1:$AA$1,0),FALSE)=0,"",VLOOKUP($A54,Sheet1!$A:$AA,MATCH(U$1,Sheet1!$A$1:$AA$1,0),FALSE))</f>
        <v/>
      </c>
      <c r="V54" t="str">
        <f>IF(VLOOKUP($A54,Sheet1!$A:$AA,MATCH(V$1,Sheet1!$A$1:$AA$1,0),FALSE)=0,"",VLOOKUP($A54,Sheet1!$A:$AA,MATCH(V$1,Sheet1!$A$1:$AA$1,0),FALSE))</f>
        <v/>
      </c>
      <c r="W54" t="str">
        <f>IF(VLOOKUP($A54,Sheet1!$A:$AA,MATCH(W$1,Sheet1!$A$1:$AA$1,0),FALSE)=0,"",VLOOKUP($A54,Sheet1!$A:$AA,MATCH(W$1,Sheet1!$A$1:$AA$1,0),FALSE))</f>
        <v/>
      </c>
      <c r="X54" t="str">
        <f>IF(VLOOKUP($A54,Sheet1!$A:$AA,MATCH(X$1,Sheet1!$A$1:$AA$1,0),FALSE)=0,"",VLOOKUP($A54,Sheet1!$A:$AA,MATCH(X$1,Sheet1!$A$1:$AA$1,0),FALSE))</f>
        <v>4.5</v>
      </c>
      <c r="Y54" t="str">
        <f>IF(VLOOKUP($A54,Sheet1!$A:$AA,MATCH(Y$1,Sheet1!$A$1:$AA$1,0),FALSE)=0,"",VLOOKUP($A54,Sheet1!$A:$AA,MATCH(Y$1,Sheet1!$A$1:$AA$1,0),FALSE))</f>
        <v/>
      </c>
      <c r="Z54" t="str">
        <f>IF(VLOOKUP($A54,Sheet1!$A:$AA,MATCH(Z$1,Sheet1!$A$1:$AA$1,0),FALSE)=0,"",VLOOKUP($A54,Sheet1!$A:$AA,MATCH(Z$1,Sheet1!$A$1:$AA$1,0),FALSE))</f>
        <v/>
      </c>
      <c r="AA54" t="str">
        <f ca="1">IF(VLOOKUP($A54,Sheet1!$A:$AA,MATCH(AA$1,Sheet1!$A$1:$AA$1,0),FALSE)=0,"",VLOOKUP($A54,Sheet1!$A:$AA,MATCH(AA$1,Sheet1!$A$1:$AA$1,0),FALSE))</f>
        <v/>
      </c>
    </row>
    <row r="55" spans="1:27" x14ac:dyDescent="0.25">
      <c r="A55">
        <v>1178913</v>
      </c>
      <c r="B55" t="str">
        <f>IF(VLOOKUP($A55,Sheet1!$A:$AA,MATCH(B$1,Sheet1!$A$1:$AA$1,0),FALSE)=0,"",VLOOKUP($A55,Sheet1!$A:$AA,MATCH(B$1,Sheet1!$A$1:$AA$1,0),FALSE))</f>
        <v>Senciales del Moral, Araceli</v>
      </c>
      <c r="C55" t="str">
        <f>IF(VLOOKUP($A55,Sheet1!$A:$AA,MATCH(C$1,Sheet1!$A$1:$AA$1,0),FALSE)=0,"",VLOOKUP($A55,Sheet1!$A:$AA,MATCH(C$1,Sheet1!$A$1:$AA$1,0),FALSE))</f>
        <v>Senciales del Moral</v>
      </c>
      <c r="D55" t="str">
        <f>IF(VLOOKUP($A55,Sheet1!$A:$AA,MATCH(D$1,Sheet1!$A$1:$AA$1,0),FALSE)=0,"",VLOOKUP($A55,Sheet1!$A:$AA,MATCH(D$1,Sheet1!$A$1:$AA$1,0),FALSE))</f>
        <v>Araceli</v>
      </c>
      <c r="E55" t="str">
        <f>IF(VLOOKUP($A55,Sheet1!$A:$AA,MATCH(E$1,Sheet1!$A$1:$AA$1,0),FALSE)=0,"",VLOOKUP($A55,Sheet1!$A:$AA,MATCH(E$1,Sheet1!$A$1:$AA$1,0),FALSE))</f>
        <v>Araceli Senciales del Moral</v>
      </c>
      <c r="F55" t="str">
        <f>IF(VLOOKUP($A55,Sheet1!$A:$AA,MATCH(F$1,Sheet1!$A$1:$AA$1,0),FALSE)=0,"",VLOOKUP($A55,Sheet1!$A:$AA,MATCH(F$1,Sheet1!$A$1:$AA$1,0),FALSE))</f>
        <v/>
      </c>
      <c r="G55" t="str">
        <f>IF(VLOOKUP($A55,Sheet1!$A:$AA,MATCH(G$1,Sheet1!$A$1:$AA$1,0),FALSE)=0,"",VLOOKUP($A55,Sheet1!$A:$AA,MATCH(G$1,Sheet1!$A$1:$AA$1,0),FALSE))</f>
        <v/>
      </c>
      <c r="H55" t="str">
        <f>IF(VLOOKUP($A55,Sheet1!$A:$AA,MATCH(H$1,Sheet1!$A$1:$AA$1,0),FALSE)=0,"",VLOOKUP($A55,Sheet1!$A:$AA,MATCH(H$1,Sheet1!$A$1:$AA$1,0),FALSE))</f>
        <v/>
      </c>
      <c r="I55" t="str">
        <f>IF(VLOOKUP($A55,Sheet1!$A:$AA,MATCH(I$1,Sheet1!$A$1:$AA$1,0),FALSE)=0,"",VLOOKUP($A55,Sheet1!$A:$AA,MATCH(I$1,Sheet1!$A$1:$AA$1,0),FALSE))</f>
        <v/>
      </c>
      <c r="J55" t="str">
        <f>IF(VLOOKUP($A55,Sheet1!$A:$AA,MATCH(J$1,Sheet1!$A$1:$AA$1,0),FALSE)=0,"",VLOOKUP($A55,Sheet1!$A:$AA,MATCH(J$1,Sheet1!$A$1:$AA$1,0),FALSE))</f>
        <v/>
      </c>
      <c r="K55" t="str">
        <f>IF(VLOOKUP($A55,Sheet1!$A:$AA,MATCH(K$1,Sheet1!$A$1:$AA$1,0),FALSE)=0,"",VLOOKUP($A55,Sheet1!$A:$AA,MATCH(K$1,Sheet1!$A$1:$AA$1,0),FALSE))</f>
        <v>ANDALUCIA</v>
      </c>
      <c r="L55" t="str">
        <f>IF(VLOOKUP($A55,Sheet1!$A:$AA,MATCH(L$1,Sheet1!$A$1:$AA$1,0),FALSE)=0,"",VLOOKUP($A55,Sheet1!$A:$AA,MATCH(L$1,Sheet1!$A$1:$AA$1,0),FALSE))</f>
        <v/>
      </c>
      <c r="M55" t="str">
        <f>IF(VLOOKUP($A55,Sheet1!$A:$AA,MATCH(M$1,Sheet1!$A$1:$AA$1,0),FALSE)=0,"",VLOOKUP($A55,Sheet1!$A:$AA,MATCH(M$1,Sheet1!$A$1:$AA$1,0),FALSE))</f>
        <v/>
      </c>
      <c r="N55" t="str">
        <f>IF(VLOOKUP($A55,Sheet1!$A:$AA,MATCH(N$1,Sheet1!$A$1:$AA$1,0),FALSE)=0,"",VLOOKUP($A55,Sheet1!$A:$AA,MATCH(N$1,Sheet1!$A$1:$AA$1,0),FALSE))</f>
        <v/>
      </c>
      <c r="O55" t="str">
        <f>IF(VLOOKUP($A55,Sheet1!$A:$AA,MATCH(O$1,Sheet1!$A$1:$AA$1,0),FALSE)=0,"",VLOOKUP($A55,Sheet1!$A:$AA,MATCH(O$1,Sheet1!$A$1:$AA$1,0),FALSE))</f>
        <v/>
      </c>
      <c r="P55" t="str">
        <f>IF(VLOOKUP($A55,Sheet1!$A:$AA,MATCH(P$1,Sheet1!$A$1:$AA$1,0),FALSE)=0,"",VLOOKUP($A55,Sheet1!$A:$AA,MATCH(P$1,Sheet1!$A$1:$AA$1,0),FALSE))</f>
        <v/>
      </c>
      <c r="Q55" t="str">
        <f>IF(VLOOKUP($A55,Sheet1!$A:$AA,MATCH(Q$1,Sheet1!$A$1:$AA$1,0),FALSE)=0,"",VLOOKUP($A55,Sheet1!$A:$AA,MATCH(Q$1,Sheet1!$A$1:$AA$1,0),FALSE))</f>
        <v>F</v>
      </c>
      <c r="R55" s="2" t="str">
        <f>IF(VLOOKUP($A55,Sheet1!$A:$AA,MATCH(R$1,Sheet1!$A$1:$AA$1,0),FALSE)=0,"",VLOOKUP($A55,Sheet1!$A:$AA,MATCH(R$1,Sheet1!$A$1:$AA$1,0),FALSE))</f>
        <v/>
      </c>
      <c r="S55" t="str">
        <f>IF(VLOOKUP($A55,Sheet1!$A:$AA,MATCH(S$1,Sheet1!$A$1:$AA$1,0),FALSE)=0,"",VLOOKUP($A55,Sheet1!$A:$AA,MATCH(S$1,Sheet1!$A$1:$AA$1,0),FALSE))</f>
        <v/>
      </c>
      <c r="T55" t="str">
        <f>IF(VLOOKUP($A55,Sheet1!$A:$AA,MATCH(T$1,Sheet1!$A$1:$AA$1,0),FALSE)=0,"",VLOOKUP($A55,Sheet1!$A:$AA,MATCH(T$1,Sheet1!$A$1:$AA$1,0),FALSE))</f>
        <v>DF</v>
      </c>
      <c r="U55" t="str">
        <f>IF(VLOOKUP($A55,Sheet1!$A:$AA,MATCH(U$1,Sheet1!$A$1:$AA$1,0),FALSE)=0,"",VLOOKUP($A55,Sheet1!$A:$AA,MATCH(U$1,Sheet1!$A$1:$AA$1,0),FALSE))</f>
        <v/>
      </c>
      <c r="V55" t="str">
        <f>IF(VLOOKUP($A55,Sheet1!$A:$AA,MATCH(V$1,Sheet1!$A$1:$AA$1,0),FALSE)=0,"",VLOOKUP($A55,Sheet1!$A:$AA,MATCH(V$1,Sheet1!$A$1:$AA$1,0),FALSE))</f>
        <v/>
      </c>
      <c r="W55" t="str">
        <f>IF(VLOOKUP($A55,Sheet1!$A:$AA,MATCH(W$1,Sheet1!$A$1:$AA$1,0),FALSE)=0,"",VLOOKUP($A55,Sheet1!$A:$AA,MATCH(W$1,Sheet1!$A$1:$AA$1,0),FALSE))</f>
        <v/>
      </c>
      <c r="X55" t="str">
        <f>IF(VLOOKUP($A55,Sheet1!$A:$AA,MATCH(X$1,Sheet1!$A$1:$AA$1,0),FALSE)=0,"",VLOOKUP($A55,Sheet1!$A:$AA,MATCH(X$1,Sheet1!$A$1:$AA$1,0),FALSE))</f>
        <v>4.5</v>
      </c>
      <c r="Y55" t="str">
        <f>IF(VLOOKUP($A55,Sheet1!$A:$AA,MATCH(Y$1,Sheet1!$A$1:$AA$1,0),FALSE)=0,"",VLOOKUP($A55,Sheet1!$A:$AA,MATCH(Y$1,Sheet1!$A$1:$AA$1,0),FALSE))</f>
        <v/>
      </c>
      <c r="Z55" t="str">
        <f>IF(VLOOKUP($A55,Sheet1!$A:$AA,MATCH(Z$1,Sheet1!$A$1:$AA$1,0),FALSE)=0,"",VLOOKUP($A55,Sheet1!$A:$AA,MATCH(Z$1,Sheet1!$A$1:$AA$1,0),FALSE))</f>
        <v/>
      </c>
      <c r="AA55" t="str">
        <f ca="1">IF(VLOOKUP($A55,Sheet1!$A:$AA,MATCH(AA$1,Sheet1!$A$1:$AA$1,0),FALSE)=0,"",VLOOKUP($A55,Sheet1!$A:$AA,MATCH(AA$1,Sheet1!$A$1:$AA$1,0),FALSE))</f>
        <v/>
      </c>
    </row>
    <row r="56" spans="1:27" x14ac:dyDescent="0.25">
      <c r="A56">
        <v>16953235</v>
      </c>
      <c r="B56" t="str">
        <f>IF(VLOOKUP($A56,Sheet1!$A:$AA,MATCH(B$1,Sheet1!$A$1:$AA$1,0),FALSE)=0,"",VLOOKUP($A56,Sheet1!$A:$AA,MATCH(B$1,Sheet1!$A$1:$AA$1,0),FALSE))</f>
        <v>Morales Herrera, Mamen</v>
      </c>
      <c r="C56" t="str">
        <f>IF(VLOOKUP($A56,Sheet1!$A:$AA,MATCH(C$1,Sheet1!$A$1:$AA$1,0),FALSE)=0,"",VLOOKUP($A56,Sheet1!$A:$AA,MATCH(C$1,Sheet1!$A$1:$AA$1,0),FALSE))</f>
        <v>Morales Herrera</v>
      </c>
      <c r="D56" t="str">
        <f>IF(VLOOKUP($A56,Sheet1!$A:$AA,MATCH(D$1,Sheet1!$A$1:$AA$1,0),FALSE)=0,"",VLOOKUP($A56,Sheet1!$A:$AA,MATCH(D$1,Sheet1!$A$1:$AA$1,0),FALSE))</f>
        <v>Mamen</v>
      </c>
      <c r="E56" t="str">
        <f>IF(VLOOKUP($A56,Sheet1!$A:$AA,MATCH(E$1,Sheet1!$A$1:$AA$1,0),FALSE)=0,"",VLOOKUP($A56,Sheet1!$A:$AA,MATCH(E$1,Sheet1!$A$1:$AA$1,0),FALSE))</f>
        <v>Mamen Morales Herrera</v>
      </c>
      <c r="F56" t="str">
        <f>IF(VLOOKUP($A56,Sheet1!$A:$AA,MATCH(F$1,Sheet1!$A$1:$AA$1,0),FALSE)=0,"",VLOOKUP($A56,Sheet1!$A:$AA,MATCH(F$1,Sheet1!$A$1:$AA$1,0),FALSE))</f>
        <v/>
      </c>
      <c r="G56" t="str">
        <f>IF(VLOOKUP($A56,Sheet1!$A:$AA,MATCH(G$1,Sheet1!$A$1:$AA$1,0),FALSE)=0,"",VLOOKUP($A56,Sheet1!$A:$AA,MATCH(G$1,Sheet1!$A$1:$AA$1,0),FALSE))</f>
        <v/>
      </c>
      <c r="H56" t="str">
        <f>IF(VLOOKUP($A56,Sheet1!$A:$AA,MATCH(H$1,Sheet1!$A$1:$AA$1,0),FALSE)=0,"",VLOOKUP($A56,Sheet1!$A:$AA,MATCH(H$1,Sheet1!$A$1:$AA$1,0),FALSE))</f>
        <v/>
      </c>
      <c r="I56" t="str">
        <f>IF(VLOOKUP($A56,Sheet1!$A:$AA,MATCH(I$1,Sheet1!$A$1:$AA$1,0),FALSE)=0,"",VLOOKUP($A56,Sheet1!$A:$AA,MATCH(I$1,Sheet1!$A$1:$AA$1,0),FALSE))</f>
        <v/>
      </c>
      <c r="J56" t="str">
        <f>IF(VLOOKUP($A56,Sheet1!$A:$AA,MATCH(J$1,Sheet1!$A$1:$AA$1,0),FALSE)=0,"",VLOOKUP($A56,Sheet1!$A:$AA,MATCH(J$1,Sheet1!$A$1:$AA$1,0),FALSE))</f>
        <v/>
      </c>
      <c r="K56" t="str">
        <f>IF(VLOOKUP($A56,Sheet1!$A:$AA,MATCH(K$1,Sheet1!$A$1:$AA$1,0),FALSE)=0,"",VLOOKUP($A56,Sheet1!$A:$AA,MATCH(K$1,Sheet1!$A$1:$AA$1,0),FALSE))</f>
        <v>ANDALUCIA</v>
      </c>
      <c r="L56" t="str">
        <f>IF(VLOOKUP($A56,Sheet1!$A:$AA,MATCH(L$1,Sheet1!$A$1:$AA$1,0),FALSE)=0,"",VLOOKUP($A56,Sheet1!$A:$AA,MATCH(L$1,Sheet1!$A$1:$AA$1,0),FALSE))</f>
        <v/>
      </c>
      <c r="M56" t="str">
        <f>IF(VLOOKUP($A56,Sheet1!$A:$AA,MATCH(M$1,Sheet1!$A$1:$AA$1,0),FALSE)=0,"",VLOOKUP($A56,Sheet1!$A:$AA,MATCH(M$1,Sheet1!$A$1:$AA$1,0),FALSE))</f>
        <v/>
      </c>
      <c r="N56" t="str">
        <f>IF(VLOOKUP($A56,Sheet1!$A:$AA,MATCH(N$1,Sheet1!$A$1:$AA$1,0),FALSE)=0,"",VLOOKUP($A56,Sheet1!$A:$AA,MATCH(N$1,Sheet1!$A$1:$AA$1,0),FALSE))</f>
        <v/>
      </c>
      <c r="O56" t="str">
        <f>IF(VLOOKUP($A56,Sheet1!$A:$AA,MATCH(O$1,Sheet1!$A$1:$AA$1,0),FALSE)=0,"",VLOOKUP($A56,Sheet1!$A:$AA,MATCH(O$1,Sheet1!$A$1:$AA$1,0),FALSE))</f>
        <v/>
      </c>
      <c r="P56" t="str">
        <f>IF(VLOOKUP($A56,Sheet1!$A:$AA,MATCH(P$1,Sheet1!$A$1:$AA$1,0),FALSE)=0,"",VLOOKUP($A56,Sheet1!$A:$AA,MATCH(P$1,Sheet1!$A$1:$AA$1,0),FALSE))</f>
        <v/>
      </c>
      <c r="Q56" t="str">
        <f>IF(VLOOKUP($A56,Sheet1!$A:$AA,MATCH(Q$1,Sheet1!$A$1:$AA$1,0),FALSE)=0,"",VLOOKUP($A56,Sheet1!$A:$AA,MATCH(Q$1,Sheet1!$A$1:$AA$1,0),FALSE))</f>
        <v>F</v>
      </c>
      <c r="R56" s="2" t="str">
        <f>IF(VLOOKUP($A56,Sheet1!$A:$AA,MATCH(R$1,Sheet1!$A$1:$AA$1,0),FALSE)=0,"",VLOOKUP($A56,Sheet1!$A:$AA,MATCH(R$1,Sheet1!$A$1:$AA$1,0),FALSE))</f>
        <v/>
      </c>
      <c r="S56" t="str">
        <f>IF(VLOOKUP($A56,Sheet1!$A:$AA,MATCH(S$1,Sheet1!$A$1:$AA$1,0),FALSE)=0,"",VLOOKUP($A56,Sheet1!$A:$AA,MATCH(S$1,Sheet1!$A$1:$AA$1,0),FALSE))</f>
        <v/>
      </c>
      <c r="T56" t="str">
        <f>IF(VLOOKUP($A56,Sheet1!$A:$AA,MATCH(T$1,Sheet1!$A$1:$AA$1,0),FALSE)=0,"",VLOOKUP($A56,Sheet1!$A:$AA,MATCH(T$1,Sheet1!$A$1:$AA$1,0),FALSE))</f>
        <v>DF</v>
      </c>
      <c r="U56" t="str">
        <f>IF(VLOOKUP($A56,Sheet1!$A:$AA,MATCH(U$1,Sheet1!$A$1:$AA$1,0),FALSE)=0,"",VLOOKUP($A56,Sheet1!$A:$AA,MATCH(U$1,Sheet1!$A$1:$AA$1,0),FALSE))</f>
        <v>DX</v>
      </c>
      <c r="V56" t="str">
        <f>IF(VLOOKUP($A56,Sheet1!$A:$AA,MATCH(V$1,Sheet1!$A$1:$AA$1,0),FALSE)=0,"",VLOOKUP($A56,Sheet1!$A:$AA,MATCH(V$1,Sheet1!$A$1:$AA$1,0),FALSE))</f>
        <v/>
      </c>
      <c r="W56" t="str">
        <f>IF(VLOOKUP($A56,Sheet1!$A:$AA,MATCH(W$1,Sheet1!$A$1:$AA$1,0),FALSE)=0,"",VLOOKUP($A56,Sheet1!$A:$AA,MATCH(W$1,Sheet1!$A$1:$AA$1,0),FALSE))</f>
        <v/>
      </c>
      <c r="X56" t="str">
        <f>IF(VLOOKUP($A56,Sheet1!$A:$AA,MATCH(X$1,Sheet1!$A$1:$AA$1,0),FALSE)=0,"",VLOOKUP($A56,Sheet1!$A:$AA,MATCH(X$1,Sheet1!$A$1:$AA$1,0),FALSE))</f>
        <v>4.5</v>
      </c>
      <c r="Y56" t="str">
        <f>IF(VLOOKUP($A56,Sheet1!$A:$AA,MATCH(Y$1,Sheet1!$A$1:$AA$1,0),FALSE)=0,"",VLOOKUP($A56,Sheet1!$A:$AA,MATCH(Y$1,Sheet1!$A$1:$AA$1,0),FALSE))</f>
        <v>4.5</v>
      </c>
      <c r="Z56" t="str">
        <f>IF(VLOOKUP($A56,Sheet1!$A:$AA,MATCH(Z$1,Sheet1!$A$1:$AA$1,0),FALSE)=0,"",VLOOKUP($A56,Sheet1!$A:$AA,MATCH(Z$1,Sheet1!$A$1:$AA$1,0),FALSE))</f>
        <v/>
      </c>
      <c r="AA56" t="str">
        <f ca="1">IF(VLOOKUP($A56,Sheet1!$A:$AA,MATCH(AA$1,Sheet1!$A$1:$AA$1,0),FALSE)=0,"",VLOOKUP($A56,Sheet1!$A:$AA,MATCH(AA$1,Sheet1!$A$1:$AA$1,0),FALSE))</f>
        <v/>
      </c>
    </row>
    <row r="57" spans="1:27" x14ac:dyDescent="0.25">
      <c r="A57">
        <v>10766197</v>
      </c>
      <c r="B57" t="str">
        <f>IF(VLOOKUP($A57,Sheet1!$A:$AA,MATCH(B$1,Sheet1!$A$1:$AA$1,0),FALSE)=0,"",VLOOKUP($A57,Sheet1!$A:$AA,MATCH(B$1,Sheet1!$A$1:$AA$1,0),FALSE))</f>
        <v>Garcia Martin, Alejandra Herminia</v>
      </c>
      <c r="C57" t="str">
        <f>IF(VLOOKUP($A57,Sheet1!$A:$AA,MATCH(C$1,Sheet1!$A$1:$AA$1,0),FALSE)=0,"",VLOOKUP($A57,Sheet1!$A:$AA,MATCH(C$1,Sheet1!$A$1:$AA$1,0),FALSE))</f>
        <v>Garcia Martin</v>
      </c>
      <c r="D57" t="str">
        <f>IF(VLOOKUP($A57,Sheet1!$A:$AA,MATCH(D$1,Sheet1!$A$1:$AA$1,0),FALSE)=0,"",VLOOKUP($A57,Sheet1!$A:$AA,MATCH(D$1,Sheet1!$A$1:$AA$1,0),FALSE))</f>
        <v>Alejandra Herminia</v>
      </c>
      <c r="E57" t="str">
        <f>IF(VLOOKUP($A57,Sheet1!$A:$AA,MATCH(E$1,Sheet1!$A$1:$AA$1,0),FALSE)=0,"",VLOOKUP($A57,Sheet1!$A:$AA,MATCH(E$1,Sheet1!$A$1:$AA$1,0),FALSE))</f>
        <v>Alejandra Herminia Garcia Martin</v>
      </c>
      <c r="F57" t="str">
        <f>IF(VLOOKUP($A57,Sheet1!$A:$AA,MATCH(F$1,Sheet1!$A$1:$AA$1,0),FALSE)=0,"",VLOOKUP($A57,Sheet1!$A:$AA,MATCH(F$1,Sheet1!$A$1:$AA$1,0),FALSE))</f>
        <v/>
      </c>
      <c r="G57" t="str">
        <f>IF(VLOOKUP($A57,Sheet1!$A:$AA,MATCH(G$1,Sheet1!$A$1:$AA$1,0),FALSE)=0,"",VLOOKUP($A57,Sheet1!$A:$AA,MATCH(G$1,Sheet1!$A$1:$AA$1,0),FALSE))</f>
        <v/>
      </c>
      <c r="H57" t="str">
        <f>IF(VLOOKUP($A57,Sheet1!$A:$AA,MATCH(H$1,Sheet1!$A$1:$AA$1,0),FALSE)=0,"",VLOOKUP($A57,Sheet1!$A:$AA,MATCH(H$1,Sheet1!$A$1:$AA$1,0),FALSE))</f>
        <v/>
      </c>
      <c r="I57" t="str">
        <f>IF(VLOOKUP($A57,Sheet1!$A:$AA,MATCH(I$1,Sheet1!$A$1:$AA$1,0),FALSE)=0,"",VLOOKUP($A57,Sheet1!$A:$AA,MATCH(I$1,Sheet1!$A$1:$AA$1,0),FALSE))</f>
        <v/>
      </c>
      <c r="J57" t="str">
        <f>IF(VLOOKUP($A57,Sheet1!$A:$AA,MATCH(J$1,Sheet1!$A$1:$AA$1,0),FALSE)=0,"",VLOOKUP($A57,Sheet1!$A:$AA,MATCH(J$1,Sheet1!$A$1:$AA$1,0),FALSE))</f>
        <v/>
      </c>
      <c r="K57" t="str">
        <f>IF(VLOOKUP($A57,Sheet1!$A:$AA,MATCH(K$1,Sheet1!$A$1:$AA$1,0),FALSE)=0,"",VLOOKUP($A57,Sheet1!$A:$AA,MATCH(K$1,Sheet1!$A$1:$AA$1,0),FALSE))</f>
        <v>MADRID</v>
      </c>
      <c r="L57" t="str">
        <f>IF(VLOOKUP($A57,Sheet1!$A:$AA,MATCH(L$1,Sheet1!$A$1:$AA$1,0),FALSE)=0,"",VLOOKUP($A57,Sheet1!$A:$AA,MATCH(L$1,Sheet1!$A$1:$AA$1,0),FALSE))</f>
        <v/>
      </c>
      <c r="M57" t="str">
        <f>IF(VLOOKUP($A57,Sheet1!$A:$AA,MATCH(M$1,Sheet1!$A$1:$AA$1,0),FALSE)=0,"",VLOOKUP($A57,Sheet1!$A:$AA,MATCH(M$1,Sheet1!$A$1:$AA$1,0),FALSE))</f>
        <v/>
      </c>
      <c r="N57" t="str">
        <f>IF(VLOOKUP($A57,Sheet1!$A:$AA,MATCH(N$1,Sheet1!$A$1:$AA$1,0),FALSE)=0,"",VLOOKUP($A57,Sheet1!$A:$AA,MATCH(N$1,Sheet1!$A$1:$AA$1,0),FALSE))</f>
        <v/>
      </c>
      <c r="O57" t="str">
        <f>IF(VLOOKUP($A57,Sheet1!$A:$AA,MATCH(O$1,Sheet1!$A$1:$AA$1,0),FALSE)=0,"",VLOOKUP($A57,Sheet1!$A:$AA,MATCH(O$1,Sheet1!$A$1:$AA$1,0),FALSE))</f>
        <v/>
      </c>
      <c r="P57" t="str">
        <f>IF(VLOOKUP($A57,Sheet1!$A:$AA,MATCH(P$1,Sheet1!$A$1:$AA$1,0),FALSE)=0,"",VLOOKUP($A57,Sheet1!$A:$AA,MATCH(P$1,Sheet1!$A$1:$AA$1,0),FALSE))</f>
        <v/>
      </c>
      <c r="Q57" t="str">
        <f>IF(VLOOKUP($A57,Sheet1!$A:$AA,MATCH(Q$1,Sheet1!$A$1:$AA$1,0),FALSE)=0,"",VLOOKUP($A57,Sheet1!$A:$AA,MATCH(Q$1,Sheet1!$A$1:$AA$1,0),FALSE))</f>
        <v>F</v>
      </c>
      <c r="R57" s="2">
        <f>IF(VLOOKUP($A57,Sheet1!$A:$AA,MATCH(R$1,Sheet1!$A$1:$AA$1,0),FALSE)=0,"",VLOOKUP($A57,Sheet1!$A:$AA,MATCH(R$1,Sheet1!$A$1:$AA$1,0),FALSE))</f>
        <v>25910</v>
      </c>
      <c r="S57" t="str">
        <f>IF(VLOOKUP($A57,Sheet1!$A:$AA,MATCH(S$1,Sheet1!$A$1:$AA$1,0),FALSE)=0,"",VLOOKUP($A57,Sheet1!$A:$AA,MATCH(S$1,Sheet1!$A$1:$AA$1,0),FALSE))</f>
        <v/>
      </c>
      <c r="T57" t="str">
        <f>IF(VLOOKUP($A57,Sheet1!$A:$AA,MATCH(T$1,Sheet1!$A$1:$AA$1,0),FALSE)=0,"",VLOOKUP($A57,Sheet1!$A:$AA,MATCH(T$1,Sheet1!$A$1:$AA$1,0),FALSE))</f>
        <v>DF</v>
      </c>
      <c r="U57" t="str">
        <f>IF(VLOOKUP($A57,Sheet1!$A:$AA,MATCH(U$1,Sheet1!$A$1:$AA$1,0),FALSE)=0,"",VLOOKUP($A57,Sheet1!$A:$AA,MATCH(U$1,Sheet1!$A$1:$AA$1,0),FALSE))</f>
        <v/>
      </c>
      <c r="V57" t="str">
        <f>IF(VLOOKUP($A57,Sheet1!$A:$AA,MATCH(V$1,Sheet1!$A$1:$AA$1,0),FALSE)=0,"",VLOOKUP($A57,Sheet1!$A:$AA,MATCH(V$1,Sheet1!$A$1:$AA$1,0),FALSE))</f>
        <v/>
      </c>
      <c r="W57" t="str">
        <f>IF(VLOOKUP($A57,Sheet1!$A:$AA,MATCH(W$1,Sheet1!$A$1:$AA$1,0),FALSE)=0,"",VLOOKUP($A57,Sheet1!$A:$AA,MATCH(W$1,Sheet1!$A$1:$AA$1,0),FALSE))</f>
        <v/>
      </c>
      <c r="X57" t="str">
        <f>IF(VLOOKUP($A57,Sheet1!$A:$AA,MATCH(X$1,Sheet1!$A$1:$AA$1,0),FALSE)=0,"",VLOOKUP($A57,Sheet1!$A:$AA,MATCH(X$1,Sheet1!$A$1:$AA$1,0),FALSE))</f>
        <v>4.5</v>
      </c>
      <c r="Y57" t="str">
        <f>IF(VLOOKUP($A57,Sheet1!$A:$AA,MATCH(Y$1,Sheet1!$A$1:$AA$1,0),FALSE)=0,"",VLOOKUP($A57,Sheet1!$A:$AA,MATCH(Y$1,Sheet1!$A$1:$AA$1,0),FALSE))</f>
        <v/>
      </c>
      <c r="Z57" t="str">
        <f>IF(VLOOKUP($A57,Sheet1!$A:$AA,MATCH(Z$1,Sheet1!$A$1:$AA$1,0),FALSE)=0,"",VLOOKUP($A57,Sheet1!$A:$AA,MATCH(Z$1,Sheet1!$A$1:$AA$1,0),FALSE))</f>
        <v/>
      </c>
      <c r="AA57">
        <f ca="1">IF(VLOOKUP($A57,Sheet1!$A:$AA,MATCH(AA$1,Sheet1!$A$1:$AA$1,0),FALSE)=0,"",VLOOKUP($A57,Sheet1!$A:$AA,MATCH(AA$1,Sheet1!$A$1:$AA$1,0),FALSE))</f>
        <v>54</v>
      </c>
    </row>
    <row r="58" spans="1:27" x14ac:dyDescent="0.25">
      <c r="A58">
        <v>11857763</v>
      </c>
      <c r="B58" t="str">
        <f>IF(VLOOKUP($A58,Sheet1!$A:$AA,MATCH(B$1,Sheet1!$A$1:$AA$1,0),FALSE)=0,"",VLOOKUP($A58,Sheet1!$A:$AA,MATCH(B$1,Sheet1!$A$1:$AA$1,0),FALSE))</f>
        <v>Capobianco Teran, Veronica</v>
      </c>
      <c r="C58" t="str">
        <f>IF(VLOOKUP($A58,Sheet1!$A:$AA,MATCH(C$1,Sheet1!$A$1:$AA$1,0),FALSE)=0,"",VLOOKUP($A58,Sheet1!$A:$AA,MATCH(C$1,Sheet1!$A$1:$AA$1,0),FALSE))</f>
        <v>Capobianco Teran</v>
      </c>
      <c r="D58" t="str">
        <f>IF(VLOOKUP($A58,Sheet1!$A:$AA,MATCH(D$1,Sheet1!$A$1:$AA$1,0),FALSE)=0,"",VLOOKUP($A58,Sheet1!$A:$AA,MATCH(D$1,Sheet1!$A$1:$AA$1,0),FALSE))</f>
        <v>Veronica</v>
      </c>
      <c r="E58" t="str">
        <f>IF(VLOOKUP($A58,Sheet1!$A:$AA,MATCH(E$1,Sheet1!$A$1:$AA$1,0),FALSE)=0,"",VLOOKUP($A58,Sheet1!$A:$AA,MATCH(E$1,Sheet1!$A$1:$AA$1,0),FALSE))</f>
        <v>Veronica Capobianco Teran</v>
      </c>
      <c r="F58" t="str">
        <f>IF(VLOOKUP($A58,Sheet1!$A:$AA,MATCH(F$1,Sheet1!$A$1:$AA$1,0),FALSE)=0,"",VLOOKUP($A58,Sheet1!$A:$AA,MATCH(F$1,Sheet1!$A$1:$AA$1,0),FALSE))</f>
        <v/>
      </c>
      <c r="G58" t="str">
        <f>IF(VLOOKUP($A58,Sheet1!$A:$AA,MATCH(G$1,Sheet1!$A$1:$AA$1,0),FALSE)=0,"",VLOOKUP($A58,Sheet1!$A:$AA,MATCH(G$1,Sheet1!$A$1:$AA$1,0),FALSE))</f>
        <v/>
      </c>
      <c r="H58" t="str">
        <f>IF(VLOOKUP($A58,Sheet1!$A:$AA,MATCH(H$1,Sheet1!$A$1:$AA$1,0),FALSE)=0,"",VLOOKUP($A58,Sheet1!$A:$AA,MATCH(H$1,Sheet1!$A$1:$AA$1,0),FALSE))</f>
        <v/>
      </c>
      <c r="I58" t="str">
        <f>IF(VLOOKUP($A58,Sheet1!$A:$AA,MATCH(I$1,Sheet1!$A$1:$AA$1,0),FALSE)=0,"",VLOOKUP($A58,Sheet1!$A:$AA,MATCH(I$1,Sheet1!$A$1:$AA$1,0),FALSE))</f>
        <v/>
      </c>
      <c r="J58" t="str">
        <f>IF(VLOOKUP($A58,Sheet1!$A:$AA,MATCH(J$1,Sheet1!$A$1:$AA$1,0),FALSE)=0,"",VLOOKUP($A58,Sheet1!$A:$AA,MATCH(J$1,Sheet1!$A$1:$AA$1,0),FALSE))</f>
        <v/>
      </c>
      <c r="K58" t="str">
        <f>IF(VLOOKUP($A58,Sheet1!$A:$AA,MATCH(K$1,Sheet1!$A$1:$AA$1,0),FALSE)=0,"",VLOOKUP($A58,Sheet1!$A:$AA,MATCH(K$1,Sheet1!$A$1:$AA$1,0),FALSE))</f>
        <v>CATALUÑA</v>
      </c>
      <c r="L58" t="str">
        <f>IF(VLOOKUP($A58,Sheet1!$A:$AA,MATCH(L$1,Sheet1!$A$1:$AA$1,0),FALSE)=0,"",VLOOKUP($A58,Sheet1!$A:$AA,MATCH(L$1,Sheet1!$A$1:$AA$1,0),FALSE))</f>
        <v/>
      </c>
      <c r="M58" t="str">
        <f>IF(VLOOKUP($A58,Sheet1!$A:$AA,MATCH(M$1,Sheet1!$A$1:$AA$1,0),FALSE)=0,"",VLOOKUP($A58,Sheet1!$A:$AA,MATCH(M$1,Sheet1!$A$1:$AA$1,0),FALSE))</f>
        <v/>
      </c>
      <c r="N58" t="str">
        <f>IF(VLOOKUP($A58,Sheet1!$A:$AA,MATCH(N$1,Sheet1!$A$1:$AA$1,0),FALSE)=0,"",VLOOKUP($A58,Sheet1!$A:$AA,MATCH(N$1,Sheet1!$A$1:$AA$1,0),FALSE))</f>
        <v/>
      </c>
      <c r="O58" t="str">
        <f>IF(VLOOKUP($A58,Sheet1!$A:$AA,MATCH(O$1,Sheet1!$A$1:$AA$1,0),FALSE)=0,"",VLOOKUP($A58,Sheet1!$A:$AA,MATCH(O$1,Sheet1!$A$1:$AA$1,0),FALSE))</f>
        <v/>
      </c>
      <c r="P58" t="str">
        <f>IF(VLOOKUP($A58,Sheet1!$A:$AA,MATCH(P$1,Sheet1!$A$1:$AA$1,0),FALSE)=0,"",VLOOKUP($A58,Sheet1!$A:$AA,MATCH(P$1,Sheet1!$A$1:$AA$1,0),FALSE))</f>
        <v/>
      </c>
      <c r="Q58" t="str">
        <f>IF(VLOOKUP($A58,Sheet1!$A:$AA,MATCH(Q$1,Sheet1!$A$1:$AA$1,0),FALSE)=0,"",VLOOKUP($A58,Sheet1!$A:$AA,MATCH(Q$1,Sheet1!$A$1:$AA$1,0),FALSE))</f>
        <v>F</v>
      </c>
      <c r="R58" s="2" t="str">
        <f>IF(VLOOKUP($A58,Sheet1!$A:$AA,MATCH(R$1,Sheet1!$A$1:$AA$1,0),FALSE)=0,"",VLOOKUP($A58,Sheet1!$A:$AA,MATCH(R$1,Sheet1!$A$1:$AA$1,0),FALSE))</f>
        <v/>
      </c>
      <c r="S58" t="str">
        <f>IF(VLOOKUP($A58,Sheet1!$A:$AA,MATCH(S$1,Sheet1!$A$1:$AA$1,0),FALSE)=0,"",VLOOKUP($A58,Sheet1!$A:$AA,MATCH(S$1,Sheet1!$A$1:$AA$1,0),FALSE))</f>
        <v/>
      </c>
      <c r="T58" t="str">
        <f>IF(VLOOKUP($A58,Sheet1!$A:$AA,MATCH(T$1,Sheet1!$A$1:$AA$1,0),FALSE)=0,"",VLOOKUP($A58,Sheet1!$A:$AA,MATCH(T$1,Sheet1!$A$1:$AA$1,0),FALSE))</f>
        <v>DF</v>
      </c>
      <c r="U58" t="str">
        <f>IF(VLOOKUP($A58,Sheet1!$A:$AA,MATCH(U$1,Sheet1!$A$1:$AA$1,0),FALSE)=0,"",VLOOKUP($A58,Sheet1!$A:$AA,MATCH(U$1,Sheet1!$A$1:$AA$1,0),FALSE))</f>
        <v>DX</v>
      </c>
      <c r="V58" t="str">
        <f>IF(VLOOKUP($A58,Sheet1!$A:$AA,MATCH(V$1,Sheet1!$A$1:$AA$1,0),FALSE)=0,"",VLOOKUP($A58,Sheet1!$A:$AA,MATCH(V$1,Sheet1!$A$1:$AA$1,0),FALSE))</f>
        <v/>
      </c>
      <c r="W58" t="str">
        <f>IF(VLOOKUP($A58,Sheet1!$A:$AA,MATCH(W$1,Sheet1!$A$1:$AA$1,0),FALSE)=0,"",VLOOKUP($A58,Sheet1!$A:$AA,MATCH(W$1,Sheet1!$A$1:$AA$1,0),FALSE))</f>
        <v/>
      </c>
      <c r="X58" t="str">
        <f>IF(VLOOKUP($A58,Sheet1!$A:$AA,MATCH(X$1,Sheet1!$A$1:$AA$1,0),FALSE)=0,"",VLOOKUP($A58,Sheet1!$A:$AA,MATCH(X$1,Sheet1!$A$1:$AA$1,0),FALSE))</f>
        <v>4.5</v>
      </c>
      <c r="Y58" t="str">
        <f>IF(VLOOKUP($A58,Sheet1!$A:$AA,MATCH(Y$1,Sheet1!$A$1:$AA$1,0),FALSE)=0,"",VLOOKUP($A58,Sheet1!$A:$AA,MATCH(Y$1,Sheet1!$A$1:$AA$1,0),FALSE))</f>
        <v>4.5</v>
      </c>
      <c r="Z58" t="str">
        <f>IF(VLOOKUP($A58,Sheet1!$A:$AA,MATCH(Z$1,Sheet1!$A$1:$AA$1,0),FALSE)=0,"",VLOOKUP($A58,Sheet1!$A:$AA,MATCH(Z$1,Sheet1!$A$1:$AA$1,0),FALSE))</f>
        <v/>
      </c>
      <c r="AA58" t="str">
        <f ca="1">IF(VLOOKUP($A58,Sheet1!$A:$AA,MATCH(AA$1,Sheet1!$A$1:$AA$1,0),FALSE)=0,"",VLOOKUP($A58,Sheet1!$A:$AA,MATCH(AA$1,Sheet1!$A$1:$AA$1,0),FALSE))</f>
        <v/>
      </c>
    </row>
    <row r="59" spans="1:27" x14ac:dyDescent="0.25">
      <c r="A59">
        <v>16952261</v>
      </c>
      <c r="B59" t="str">
        <f>IF(VLOOKUP($A59,Sheet1!$A:$AA,MATCH(B$1,Sheet1!$A$1:$AA$1,0),FALSE)=0,"",VLOOKUP($A59,Sheet1!$A:$AA,MATCH(B$1,Sheet1!$A$1:$AA$1,0),FALSE))</f>
        <v>García , Patricia</v>
      </c>
      <c r="C59" t="str">
        <f>IF(VLOOKUP($A59,Sheet1!$A:$AA,MATCH(C$1,Sheet1!$A$1:$AA$1,0),FALSE)=0,"",VLOOKUP($A59,Sheet1!$A:$AA,MATCH(C$1,Sheet1!$A$1:$AA$1,0),FALSE))</f>
        <v xml:space="preserve">García </v>
      </c>
      <c r="D59" t="str">
        <f>IF(VLOOKUP($A59,Sheet1!$A:$AA,MATCH(D$1,Sheet1!$A$1:$AA$1,0),FALSE)=0,"",VLOOKUP($A59,Sheet1!$A:$AA,MATCH(D$1,Sheet1!$A$1:$AA$1,0),FALSE))</f>
        <v>Patricia</v>
      </c>
      <c r="E59" t="str">
        <f>IF(VLOOKUP($A59,Sheet1!$A:$AA,MATCH(E$1,Sheet1!$A$1:$AA$1,0),FALSE)=0,"",VLOOKUP($A59,Sheet1!$A:$AA,MATCH(E$1,Sheet1!$A$1:$AA$1,0),FALSE))</f>
        <v xml:space="preserve">Patricia García </v>
      </c>
      <c r="F59" t="str">
        <f>IF(VLOOKUP($A59,Sheet1!$A:$AA,MATCH(F$1,Sheet1!$A$1:$AA$1,0),FALSE)=0,"",VLOOKUP($A59,Sheet1!$A:$AA,MATCH(F$1,Sheet1!$A$1:$AA$1,0),FALSE))</f>
        <v/>
      </c>
      <c r="G59" t="str">
        <f>IF(VLOOKUP($A59,Sheet1!$A:$AA,MATCH(G$1,Sheet1!$A$1:$AA$1,0),FALSE)=0,"",VLOOKUP($A59,Sheet1!$A:$AA,MATCH(G$1,Sheet1!$A$1:$AA$1,0),FALSE))</f>
        <v/>
      </c>
      <c r="H59" t="str">
        <f>IF(VLOOKUP($A59,Sheet1!$A:$AA,MATCH(H$1,Sheet1!$A$1:$AA$1,0),FALSE)=0,"",VLOOKUP($A59,Sheet1!$A:$AA,MATCH(H$1,Sheet1!$A$1:$AA$1,0),FALSE))</f>
        <v/>
      </c>
      <c r="I59" t="str">
        <f>IF(VLOOKUP($A59,Sheet1!$A:$AA,MATCH(I$1,Sheet1!$A$1:$AA$1,0),FALSE)=0,"",VLOOKUP($A59,Sheet1!$A:$AA,MATCH(I$1,Sheet1!$A$1:$AA$1,0),FALSE))</f>
        <v/>
      </c>
      <c r="J59" t="str">
        <f>IF(VLOOKUP($A59,Sheet1!$A:$AA,MATCH(J$1,Sheet1!$A$1:$AA$1,0),FALSE)=0,"",VLOOKUP($A59,Sheet1!$A:$AA,MATCH(J$1,Sheet1!$A$1:$AA$1,0),FALSE))</f>
        <v/>
      </c>
      <c r="K59" t="str">
        <f>IF(VLOOKUP($A59,Sheet1!$A:$AA,MATCH(K$1,Sheet1!$A$1:$AA$1,0),FALSE)=0,"",VLOOKUP($A59,Sheet1!$A:$AA,MATCH(K$1,Sheet1!$A$1:$AA$1,0),FALSE))</f>
        <v>ANDALUCIA</v>
      </c>
      <c r="L59" t="str">
        <f>IF(VLOOKUP($A59,Sheet1!$A:$AA,MATCH(L$1,Sheet1!$A$1:$AA$1,0),FALSE)=0,"",VLOOKUP($A59,Sheet1!$A:$AA,MATCH(L$1,Sheet1!$A$1:$AA$1,0),FALSE))</f>
        <v/>
      </c>
      <c r="M59" t="str">
        <f>IF(VLOOKUP($A59,Sheet1!$A:$AA,MATCH(M$1,Sheet1!$A$1:$AA$1,0),FALSE)=0,"",VLOOKUP($A59,Sheet1!$A:$AA,MATCH(M$1,Sheet1!$A$1:$AA$1,0),FALSE))</f>
        <v/>
      </c>
      <c r="N59" t="str">
        <f>IF(VLOOKUP($A59,Sheet1!$A:$AA,MATCH(N$1,Sheet1!$A$1:$AA$1,0),FALSE)=0,"",VLOOKUP($A59,Sheet1!$A:$AA,MATCH(N$1,Sheet1!$A$1:$AA$1,0),FALSE))</f>
        <v/>
      </c>
      <c r="O59" t="str">
        <f>IF(VLOOKUP($A59,Sheet1!$A:$AA,MATCH(O$1,Sheet1!$A$1:$AA$1,0),FALSE)=0,"",VLOOKUP($A59,Sheet1!$A:$AA,MATCH(O$1,Sheet1!$A$1:$AA$1,0),FALSE))</f>
        <v/>
      </c>
      <c r="P59" t="str">
        <f>IF(VLOOKUP($A59,Sheet1!$A:$AA,MATCH(P$1,Sheet1!$A$1:$AA$1,0),FALSE)=0,"",VLOOKUP($A59,Sheet1!$A:$AA,MATCH(P$1,Sheet1!$A$1:$AA$1,0),FALSE))</f>
        <v/>
      </c>
      <c r="Q59" t="str">
        <f>IF(VLOOKUP($A59,Sheet1!$A:$AA,MATCH(Q$1,Sheet1!$A$1:$AA$1,0),FALSE)=0,"",VLOOKUP($A59,Sheet1!$A:$AA,MATCH(Q$1,Sheet1!$A$1:$AA$1,0),FALSE))</f>
        <v>F</v>
      </c>
      <c r="R59" s="2" t="str">
        <f>IF(VLOOKUP($A59,Sheet1!$A:$AA,MATCH(R$1,Sheet1!$A$1:$AA$1,0),FALSE)=0,"",VLOOKUP($A59,Sheet1!$A:$AA,MATCH(R$1,Sheet1!$A$1:$AA$1,0),FALSE))</f>
        <v/>
      </c>
      <c r="S59" t="str">
        <f>IF(VLOOKUP($A59,Sheet1!$A:$AA,MATCH(S$1,Sheet1!$A$1:$AA$1,0),FALSE)=0,"",VLOOKUP($A59,Sheet1!$A:$AA,MATCH(S$1,Sheet1!$A$1:$AA$1,0),FALSE))</f>
        <v/>
      </c>
      <c r="T59" t="str">
        <f>IF(VLOOKUP($A59,Sheet1!$A:$AA,MATCH(T$1,Sheet1!$A$1:$AA$1,0),FALSE)=0,"",VLOOKUP($A59,Sheet1!$A:$AA,MATCH(T$1,Sheet1!$A$1:$AA$1,0),FALSE))</f>
        <v>DF</v>
      </c>
      <c r="U59" t="str">
        <f>IF(VLOOKUP($A59,Sheet1!$A:$AA,MATCH(U$1,Sheet1!$A$1:$AA$1,0),FALSE)=0,"",VLOOKUP($A59,Sheet1!$A:$AA,MATCH(U$1,Sheet1!$A$1:$AA$1,0),FALSE))</f>
        <v/>
      </c>
      <c r="V59" t="str">
        <f>IF(VLOOKUP($A59,Sheet1!$A:$AA,MATCH(V$1,Sheet1!$A$1:$AA$1,0),FALSE)=0,"",VLOOKUP($A59,Sheet1!$A:$AA,MATCH(V$1,Sheet1!$A$1:$AA$1,0),FALSE))</f>
        <v/>
      </c>
      <c r="W59" t="str">
        <f>IF(VLOOKUP($A59,Sheet1!$A:$AA,MATCH(W$1,Sheet1!$A$1:$AA$1,0),FALSE)=0,"",VLOOKUP($A59,Sheet1!$A:$AA,MATCH(W$1,Sheet1!$A$1:$AA$1,0),FALSE))</f>
        <v/>
      </c>
      <c r="X59" t="str">
        <f>IF(VLOOKUP($A59,Sheet1!$A:$AA,MATCH(X$1,Sheet1!$A$1:$AA$1,0),FALSE)=0,"",VLOOKUP($A59,Sheet1!$A:$AA,MATCH(X$1,Sheet1!$A$1:$AA$1,0),FALSE))</f>
        <v>4.5</v>
      </c>
      <c r="Y59" t="str">
        <f>IF(VLOOKUP($A59,Sheet1!$A:$AA,MATCH(Y$1,Sheet1!$A$1:$AA$1,0),FALSE)=0,"",VLOOKUP($A59,Sheet1!$A:$AA,MATCH(Y$1,Sheet1!$A$1:$AA$1,0),FALSE))</f>
        <v/>
      </c>
      <c r="Z59" t="str">
        <f>IF(VLOOKUP($A59,Sheet1!$A:$AA,MATCH(Z$1,Sheet1!$A$1:$AA$1,0),FALSE)=0,"",VLOOKUP($A59,Sheet1!$A:$AA,MATCH(Z$1,Sheet1!$A$1:$AA$1,0),FALSE))</f>
        <v/>
      </c>
      <c r="AA59" t="str">
        <f ca="1">IF(VLOOKUP($A59,Sheet1!$A:$AA,MATCH(AA$1,Sheet1!$A$1:$AA$1,0),FALSE)=0,"",VLOOKUP($A59,Sheet1!$A:$AA,MATCH(AA$1,Sheet1!$A$1:$AA$1,0),FALSE))</f>
        <v/>
      </c>
    </row>
    <row r="60" spans="1:27" x14ac:dyDescent="0.25">
      <c r="A60">
        <v>10766189</v>
      </c>
      <c r="B60" t="str">
        <f>IF(VLOOKUP($A60,Sheet1!$A:$AA,MATCH(B$1,Sheet1!$A$1:$AA$1,0),FALSE)=0,"",VLOOKUP($A60,Sheet1!$A:$AA,MATCH(B$1,Sheet1!$A$1:$AA$1,0),FALSE))</f>
        <v>Guerrero García, Araceli Belen</v>
      </c>
      <c r="C60" t="str">
        <f>IF(VLOOKUP($A60,Sheet1!$A:$AA,MATCH(C$1,Sheet1!$A$1:$AA$1,0),FALSE)=0,"",VLOOKUP($A60,Sheet1!$A:$AA,MATCH(C$1,Sheet1!$A$1:$AA$1,0),FALSE))</f>
        <v>Guerrero García</v>
      </c>
      <c r="D60" t="str">
        <f>IF(VLOOKUP($A60,Sheet1!$A:$AA,MATCH(D$1,Sheet1!$A$1:$AA$1,0),FALSE)=0,"",VLOOKUP($A60,Sheet1!$A:$AA,MATCH(D$1,Sheet1!$A$1:$AA$1,0),FALSE))</f>
        <v>Araceli Belen</v>
      </c>
      <c r="E60" t="str">
        <f>IF(VLOOKUP($A60,Sheet1!$A:$AA,MATCH(E$1,Sheet1!$A$1:$AA$1,0),FALSE)=0,"",VLOOKUP($A60,Sheet1!$A:$AA,MATCH(E$1,Sheet1!$A$1:$AA$1,0),FALSE))</f>
        <v>Araceli Belen Guerrero García</v>
      </c>
      <c r="F60" t="str">
        <f>IF(VLOOKUP($A60,Sheet1!$A:$AA,MATCH(F$1,Sheet1!$A$1:$AA$1,0),FALSE)=0,"",VLOOKUP($A60,Sheet1!$A:$AA,MATCH(F$1,Sheet1!$A$1:$AA$1,0),FALSE))</f>
        <v/>
      </c>
      <c r="G60" t="str">
        <f>IF(VLOOKUP($A60,Sheet1!$A:$AA,MATCH(G$1,Sheet1!$A$1:$AA$1,0),FALSE)=0,"",VLOOKUP($A60,Sheet1!$A:$AA,MATCH(G$1,Sheet1!$A$1:$AA$1,0),FALSE))</f>
        <v/>
      </c>
      <c r="H60" t="str">
        <f>IF(VLOOKUP($A60,Sheet1!$A:$AA,MATCH(H$1,Sheet1!$A$1:$AA$1,0),FALSE)=0,"",VLOOKUP($A60,Sheet1!$A:$AA,MATCH(H$1,Sheet1!$A$1:$AA$1,0),FALSE))</f>
        <v/>
      </c>
      <c r="I60" t="str">
        <f>IF(VLOOKUP($A60,Sheet1!$A:$AA,MATCH(I$1,Sheet1!$A$1:$AA$1,0),FALSE)=0,"",VLOOKUP($A60,Sheet1!$A:$AA,MATCH(I$1,Sheet1!$A$1:$AA$1,0),FALSE))</f>
        <v/>
      </c>
      <c r="J60" t="str">
        <f>IF(VLOOKUP($A60,Sheet1!$A:$AA,MATCH(J$1,Sheet1!$A$1:$AA$1,0),FALSE)=0,"",VLOOKUP($A60,Sheet1!$A:$AA,MATCH(J$1,Sheet1!$A$1:$AA$1,0),FALSE))</f>
        <v/>
      </c>
      <c r="K60" t="str">
        <f>IF(VLOOKUP($A60,Sheet1!$A:$AA,MATCH(K$1,Sheet1!$A$1:$AA$1,0),FALSE)=0,"",VLOOKUP($A60,Sheet1!$A:$AA,MATCH(K$1,Sheet1!$A$1:$AA$1,0),FALSE))</f>
        <v>MADRID</v>
      </c>
      <c r="L60" t="str">
        <f>IF(VLOOKUP($A60,Sheet1!$A:$AA,MATCH(L$1,Sheet1!$A$1:$AA$1,0),FALSE)=0,"",VLOOKUP($A60,Sheet1!$A:$AA,MATCH(L$1,Sheet1!$A$1:$AA$1,0),FALSE))</f>
        <v/>
      </c>
      <c r="M60" t="str">
        <f>IF(VLOOKUP($A60,Sheet1!$A:$AA,MATCH(M$1,Sheet1!$A$1:$AA$1,0),FALSE)=0,"",VLOOKUP($A60,Sheet1!$A:$AA,MATCH(M$1,Sheet1!$A$1:$AA$1,0),FALSE))</f>
        <v/>
      </c>
      <c r="N60" t="str">
        <f>IF(VLOOKUP($A60,Sheet1!$A:$AA,MATCH(N$1,Sheet1!$A$1:$AA$1,0),FALSE)=0,"",VLOOKUP($A60,Sheet1!$A:$AA,MATCH(N$1,Sheet1!$A$1:$AA$1,0),FALSE))</f>
        <v/>
      </c>
      <c r="O60" t="str">
        <f>IF(VLOOKUP($A60,Sheet1!$A:$AA,MATCH(O$1,Sheet1!$A$1:$AA$1,0),FALSE)=0,"",VLOOKUP($A60,Sheet1!$A:$AA,MATCH(O$1,Sheet1!$A$1:$AA$1,0),FALSE))</f>
        <v/>
      </c>
      <c r="P60" t="str">
        <f>IF(VLOOKUP($A60,Sheet1!$A:$AA,MATCH(P$1,Sheet1!$A$1:$AA$1,0),FALSE)=0,"",VLOOKUP($A60,Sheet1!$A:$AA,MATCH(P$1,Sheet1!$A$1:$AA$1,0),FALSE))</f>
        <v/>
      </c>
      <c r="Q60" t="str">
        <f>IF(VLOOKUP($A60,Sheet1!$A:$AA,MATCH(Q$1,Sheet1!$A$1:$AA$1,0),FALSE)=0,"",VLOOKUP($A60,Sheet1!$A:$AA,MATCH(Q$1,Sheet1!$A$1:$AA$1,0),FALSE))</f>
        <v>F</v>
      </c>
      <c r="R60" s="2">
        <f>IF(VLOOKUP($A60,Sheet1!$A:$AA,MATCH(R$1,Sheet1!$A$1:$AA$1,0),FALSE)=0,"",VLOOKUP($A60,Sheet1!$A:$AA,MATCH(R$1,Sheet1!$A$1:$AA$1,0),FALSE))</f>
        <v>36408</v>
      </c>
      <c r="S60" t="str">
        <f>IF(VLOOKUP($A60,Sheet1!$A:$AA,MATCH(S$1,Sheet1!$A$1:$AA$1,0),FALSE)=0,"",VLOOKUP($A60,Sheet1!$A:$AA,MATCH(S$1,Sheet1!$A$1:$AA$1,0),FALSE))</f>
        <v/>
      </c>
      <c r="T60" t="str">
        <f>IF(VLOOKUP($A60,Sheet1!$A:$AA,MATCH(T$1,Sheet1!$A$1:$AA$1,0),FALSE)=0,"",VLOOKUP($A60,Sheet1!$A:$AA,MATCH(T$1,Sheet1!$A$1:$AA$1,0),FALSE))</f>
        <v>DF</v>
      </c>
      <c r="U60" t="str">
        <f>IF(VLOOKUP($A60,Sheet1!$A:$AA,MATCH(U$1,Sheet1!$A$1:$AA$1,0),FALSE)=0,"",VLOOKUP($A60,Sheet1!$A:$AA,MATCH(U$1,Sheet1!$A$1:$AA$1,0),FALSE))</f>
        <v>DX</v>
      </c>
      <c r="V60" t="str">
        <f>IF(VLOOKUP($A60,Sheet1!$A:$AA,MATCH(V$1,Sheet1!$A$1:$AA$1,0),FALSE)=0,"",VLOOKUP($A60,Sheet1!$A:$AA,MATCH(V$1,Sheet1!$A$1:$AA$1,0),FALSE))</f>
        <v/>
      </c>
      <c r="W60" t="str">
        <f>IF(VLOOKUP($A60,Sheet1!$A:$AA,MATCH(W$1,Sheet1!$A$1:$AA$1,0),FALSE)=0,"",VLOOKUP($A60,Sheet1!$A:$AA,MATCH(W$1,Sheet1!$A$1:$AA$1,0),FALSE))</f>
        <v/>
      </c>
      <c r="X60" t="str">
        <f>IF(VLOOKUP($A60,Sheet1!$A:$AA,MATCH(X$1,Sheet1!$A$1:$AA$1,0),FALSE)=0,"",VLOOKUP($A60,Sheet1!$A:$AA,MATCH(X$1,Sheet1!$A$1:$AA$1,0),FALSE))</f>
        <v>4.5</v>
      </c>
      <c r="Y60" t="str">
        <f>IF(VLOOKUP($A60,Sheet1!$A:$AA,MATCH(Y$1,Sheet1!$A$1:$AA$1,0),FALSE)=0,"",VLOOKUP($A60,Sheet1!$A:$AA,MATCH(Y$1,Sheet1!$A$1:$AA$1,0),FALSE))</f>
        <v>4.5</v>
      </c>
      <c r="Z60" t="str">
        <f>IF(VLOOKUP($A60,Sheet1!$A:$AA,MATCH(Z$1,Sheet1!$A$1:$AA$1,0),FALSE)=0,"",VLOOKUP($A60,Sheet1!$A:$AA,MATCH(Z$1,Sheet1!$A$1:$AA$1,0),FALSE))</f>
        <v/>
      </c>
      <c r="AA60">
        <f ca="1">IF(VLOOKUP($A60,Sheet1!$A:$AA,MATCH(AA$1,Sheet1!$A$1:$AA$1,0),FALSE)=0,"",VLOOKUP($A60,Sheet1!$A:$AA,MATCH(AA$1,Sheet1!$A$1:$AA$1,0),FALSE))</f>
        <v>25</v>
      </c>
    </row>
    <row r="61" spans="1:27" x14ac:dyDescent="0.25">
      <c r="A61">
        <v>16952964</v>
      </c>
      <c r="B61" t="str">
        <f>IF(VLOOKUP($A61,Sheet1!$A:$AA,MATCH(B$1,Sheet1!$A$1:$AA$1,0),FALSE)=0,"",VLOOKUP($A61,Sheet1!$A:$AA,MATCH(B$1,Sheet1!$A$1:$AA$1,0),FALSE))</f>
        <v>Garcia , Begoña</v>
      </c>
      <c r="C61" t="str">
        <f>IF(VLOOKUP($A61,Sheet1!$A:$AA,MATCH(C$1,Sheet1!$A$1:$AA$1,0),FALSE)=0,"",VLOOKUP($A61,Sheet1!$A:$AA,MATCH(C$1,Sheet1!$A$1:$AA$1,0),FALSE))</f>
        <v xml:space="preserve">Garcia </v>
      </c>
      <c r="D61" t="str">
        <f>IF(VLOOKUP($A61,Sheet1!$A:$AA,MATCH(D$1,Sheet1!$A$1:$AA$1,0),FALSE)=0,"",VLOOKUP($A61,Sheet1!$A:$AA,MATCH(D$1,Sheet1!$A$1:$AA$1,0),FALSE))</f>
        <v>Begoña</v>
      </c>
      <c r="E61" t="str">
        <f>IF(VLOOKUP($A61,Sheet1!$A:$AA,MATCH(E$1,Sheet1!$A$1:$AA$1,0),FALSE)=0,"",VLOOKUP($A61,Sheet1!$A:$AA,MATCH(E$1,Sheet1!$A$1:$AA$1,0),FALSE))</f>
        <v xml:space="preserve">Begoña Garcia </v>
      </c>
      <c r="F61" t="str">
        <f>IF(VLOOKUP($A61,Sheet1!$A:$AA,MATCH(F$1,Sheet1!$A$1:$AA$1,0),FALSE)=0,"",VLOOKUP($A61,Sheet1!$A:$AA,MATCH(F$1,Sheet1!$A$1:$AA$1,0),FALSE))</f>
        <v/>
      </c>
      <c r="G61" t="str">
        <f>IF(VLOOKUP($A61,Sheet1!$A:$AA,MATCH(G$1,Sheet1!$A$1:$AA$1,0),FALSE)=0,"",VLOOKUP($A61,Sheet1!$A:$AA,MATCH(G$1,Sheet1!$A$1:$AA$1,0),FALSE))</f>
        <v/>
      </c>
      <c r="H61" t="str">
        <f>IF(VLOOKUP($A61,Sheet1!$A:$AA,MATCH(H$1,Sheet1!$A$1:$AA$1,0),FALSE)=0,"",VLOOKUP($A61,Sheet1!$A:$AA,MATCH(H$1,Sheet1!$A$1:$AA$1,0),FALSE))</f>
        <v/>
      </c>
      <c r="I61" t="str">
        <f>IF(VLOOKUP($A61,Sheet1!$A:$AA,MATCH(I$1,Sheet1!$A$1:$AA$1,0),FALSE)=0,"",VLOOKUP($A61,Sheet1!$A:$AA,MATCH(I$1,Sheet1!$A$1:$AA$1,0),FALSE))</f>
        <v/>
      </c>
      <c r="J61" t="str">
        <f>IF(VLOOKUP($A61,Sheet1!$A:$AA,MATCH(J$1,Sheet1!$A$1:$AA$1,0),FALSE)=0,"",VLOOKUP($A61,Sheet1!$A:$AA,MATCH(J$1,Sheet1!$A$1:$AA$1,0),FALSE))</f>
        <v/>
      </c>
      <c r="K61" t="str">
        <f>IF(VLOOKUP($A61,Sheet1!$A:$AA,MATCH(K$1,Sheet1!$A$1:$AA$1,0),FALSE)=0,"",VLOOKUP($A61,Sheet1!$A:$AA,MATCH(K$1,Sheet1!$A$1:$AA$1,0),FALSE))</f>
        <v>ANDALUCIA</v>
      </c>
      <c r="L61" t="str">
        <f>IF(VLOOKUP($A61,Sheet1!$A:$AA,MATCH(L$1,Sheet1!$A$1:$AA$1,0),FALSE)=0,"",VLOOKUP($A61,Sheet1!$A:$AA,MATCH(L$1,Sheet1!$A$1:$AA$1,0),FALSE))</f>
        <v/>
      </c>
      <c r="M61" t="str">
        <f>IF(VLOOKUP($A61,Sheet1!$A:$AA,MATCH(M$1,Sheet1!$A$1:$AA$1,0),FALSE)=0,"",VLOOKUP($A61,Sheet1!$A:$AA,MATCH(M$1,Sheet1!$A$1:$AA$1,0),FALSE))</f>
        <v/>
      </c>
      <c r="N61" t="str">
        <f>IF(VLOOKUP($A61,Sheet1!$A:$AA,MATCH(N$1,Sheet1!$A$1:$AA$1,0),FALSE)=0,"",VLOOKUP($A61,Sheet1!$A:$AA,MATCH(N$1,Sheet1!$A$1:$AA$1,0),FALSE))</f>
        <v/>
      </c>
      <c r="O61" t="str">
        <f>IF(VLOOKUP($A61,Sheet1!$A:$AA,MATCH(O$1,Sheet1!$A$1:$AA$1,0),FALSE)=0,"",VLOOKUP($A61,Sheet1!$A:$AA,MATCH(O$1,Sheet1!$A$1:$AA$1,0),FALSE))</f>
        <v/>
      </c>
      <c r="P61" t="str">
        <f>IF(VLOOKUP($A61,Sheet1!$A:$AA,MATCH(P$1,Sheet1!$A$1:$AA$1,0),FALSE)=0,"",VLOOKUP($A61,Sheet1!$A:$AA,MATCH(P$1,Sheet1!$A$1:$AA$1,0),FALSE))</f>
        <v/>
      </c>
      <c r="Q61" t="str">
        <f>IF(VLOOKUP($A61,Sheet1!$A:$AA,MATCH(Q$1,Sheet1!$A$1:$AA$1,0),FALSE)=0,"",VLOOKUP($A61,Sheet1!$A:$AA,MATCH(Q$1,Sheet1!$A$1:$AA$1,0),FALSE))</f>
        <v>F</v>
      </c>
      <c r="R61" s="2" t="str">
        <f>IF(VLOOKUP($A61,Sheet1!$A:$AA,MATCH(R$1,Sheet1!$A$1:$AA$1,0),FALSE)=0,"",VLOOKUP($A61,Sheet1!$A:$AA,MATCH(R$1,Sheet1!$A$1:$AA$1,0),FALSE))</f>
        <v/>
      </c>
      <c r="S61" t="str">
        <f>IF(VLOOKUP($A61,Sheet1!$A:$AA,MATCH(S$1,Sheet1!$A$1:$AA$1,0),FALSE)=0,"",VLOOKUP($A61,Sheet1!$A:$AA,MATCH(S$1,Sheet1!$A$1:$AA$1,0),FALSE))</f>
        <v/>
      </c>
      <c r="T61" t="str">
        <f>IF(VLOOKUP($A61,Sheet1!$A:$AA,MATCH(T$1,Sheet1!$A$1:$AA$1,0),FALSE)=0,"",VLOOKUP($A61,Sheet1!$A:$AA,MATCH(T$1,Sheet1!$A$1:$AA$1,0),FALSE))</f>
        <v>DF</v>
      </c>
      <c r="U61" t="str">
        <f>IF(VLOOKUP($A61,Sheet1!$A:$AA,MATCH(U$1,Sheet1!$A$1:$AA$1,0),FALSE)=0,"",VLOOKUP($A61,Sheet1!$A:$AA,MATCH(U$1,Sheet1!$A$1:$AA$1,0),FALSE))</f>
        <v/>
      </c>
      <c r="V61" t="str">
        <f>IF(VLOOKUP($A61,Sheet1!$A:$AA,MATCH(V$1,Sheet1!$A$1:$AA$1,0),FALSE)=0,"",VLOOKUP($A61,Sheet1!$A:$AA,MATCH(V$1,Sheet1!$A$1:$AA$1,0),FALSE))</f>
        <v/>
      </c>
      <c r="W61" t="str">
        <f>IF(VLOOKUP($A61,Sheet1!$A:$AA,MATCH(W$1,Sheet1!$A$1:$AA$1,0),FALSE)=0,"",VLOOKUP($A61,Sheet1!$A:$AA,MATCH(W$1,Sheet1!$A$1:$AA$1,0),FALSE))</f>
        <v/>
      </c>
      <c r="X61" t="str">
        <f>IF(VLOOKUP($A61,Sheet1!$A:$AA,MATCH(X$1,Sheet1!$A$1:$AA$1,0),FALSE)=0,"",VLOOKUP($A61,Sheet1!$A:$AA,MATCH(X$1,Sheet1!$A$1:$AA$1,0),FALSE))</f>
        <v>4.5</v>
      </c>
      <c r="Y61" t="str">
        <f>IF(VLOOKUP($A61,Sheet1!$A:$AA,MATCH(Y$1,Sheet1!$A$1:$AA$1,0),FALSE)=0,"",VLOOKUP($A61,Sheet1!$A:$AA,MATCH(Y$1,Sheet1!$A$1:$AA$1,0),FALSE))</f>
        <v/>
      </c>
      <c r="Z61" t="str">
        <f>IF(VLOOKUP($A61,Sheet1!$A:$AA,MATCH(Z$1,Sheet1!$A$1:$AA$1,0),FALSE)=0,"",VLOOKUP($A61,Sheet1!$A:$AA,MATCH(Z$1,Sheet1!$A$1:$AA$1,0),FALSE))</f>
        <v/>
      </c>
      <c r="AA61" t="str">
        <f ca="1">IF(VLOOKUP($A61,Sheet1!$A:$AA,MATCH(AA$1,Sheet1!$A$1:$AA$1,0),FALSE)=0,"",VLOOKUP($A61,Sheet1!$A:$AA,MATCH(AA$1,Sheet1!$A$1:$AA$1,0),FALSE))</f>
        <v/>
      </c>
    </row>
    <row r="62" spans="1:27" x14ac:dyDescent="0.25">
      <c r="A62">
        <v>10769216</v>
      </c>
      <c r="B62" t="str">
        <f>IF(VLOOKUP($A62,Sheet1!$A:$AA,MATCH(B$1,Sheet1!$A$1:$AA$1,0),FALSE)=0,"",VLOOKUP($A62,Sheet1!$A:$AA,MATCH(B$1,Sheet1!$A$1:$AA$1,0),FALSE))</f>
        <v>Tornay Stinziano, Gustavo</v>
      </c>
      <c r="C62" t="str">
        <f>IF(VLOOKUP($A62,Sheet1!$A:$AA,MATCH(C$1,Sheet1!$A$1:$AA$1,0),FALSE)=0,"",VLOOKUP($A62,Sheet1!$A:$AA,MATCH(C$1,Sheet1!$A$1:$AA$1,0),FALSE))</f>
        <v>Tornay Stinziano</v>
      </c>
      <c r="D62" t="str">
        <f>IF(VLOOKUP($A62,Sheet1!$A:$AA,MATCH(D$1,Sheet1!$A$1:$AA$1,0),FALSE)=0,"",VLOOKUP($A62,Sheet1!$A:$AA,MATCH(D$1,Sheet1!$A$1:$AA$1,0),FALSE))</f>
        <v>Gustavo</v>
      </c>
      <c r="E62" t="str">
        <f>IF(VLOOKUP($A62,Sheet1!$A:$AA,MATCH(E$1,Sheet1!$A$1:$AA$1,0),FALSE)=0,"",VLOOKUP($A62,Sheet1!$A:$AA,MATCH(E$1,Sheet1!$A$1:$AA$1,0),FALSE))</f>
        <v>Gustavo Tornay Stinziano</v>
      </c>
      <c r="F62" t="str">
        <f>IF(VLOOKUP($A62,Sheet1!$A:$AA,MATCH(F$1,Sheet1!$A$1:$AA$1,0),FALSE)=0,"",VLOOKUP($A62,Sheet1!$A:$AA,MATCH(F$1,Sheet1!$A$1:$AA$1,0),FALSE))</f>
        <v/>
      </c>
      <c r="G62" t="str">
        <f>IF(VLOOKUP($A62,Sheet1!$A:$AA,MATCH(G$1,Sheet1!$A$1:$AA$1,0),FALSE)=0,"",VLOOKUP($A62,Sheet1!$A:$AA,MATCH(G$1,Sheet1!$A$1:$AA$1,0),FALSE))</f>
        <v/>
      </c>
      <c r="H62" t="str">
        <f>IF(VLOOKUP($A62,Sheet1!$A:$AA,MATCH(H$1,Sheet1!$A$1:$AA$1,0),FALSE)=0,"",VLOOKUP($A62,Sheet1!$A:$AA,MATCH(H$1,Sheet1!$A$1:$AA$1,0),FALSE))</f>
        <v/>
      </c>
      <c r="I62" t="str">
        <f>IF(VLOOKUP($A62,Sheet1!$A:$AA,MATCH(I$1,Sheet1!$A$1:$AA$1,0),FALSE)=0,"",VLOOKUP($A62,Sheet1!$A:$AA,MATCH(I$1,Sheet1!$A$1:$AA$1,0),FALSE))</f>
        <v/>
      </c>
      <c r="J62" t="str">
        <f>IF(VLOOKUP($A62,Sheet1!$A:$AA,MATCH(J$1,Sheet1!$A$1:$AA$1,0),FALSE)=0,"",VLOOKUP($A62,Sheet1!$A:$AA,MATCH(J$1,Sheet1!$A$1:$AA$1,0),FALSE))</f>
        <v/>
      </c>
      <c r="K62" t="str">
        <f>IF(VLOOKUP($A62,Sheet1!$A:$AA,MATCH(K$1,Sheet1!$A$1:$AA$1,0),FALSE)=0,"",VLOOKUP($A62,Sheet1!$A:$AA,MATCH(K$1,Sheet1!$A$1:$AA$1,0),FALSE))</f>
        <v>CASTILLA LEON</v>
      </c>
      <c r="L62" t="str">
        <f>IF(VLOOKUP($A62,Sheet1!$A:$AA,MATCH(L$1,Sheet1!$A$1:$AA$1,0),FALSE)=0,"",VLOOKUP($A62,Sheet1!$A:$AA,MATCH(L$1,Sheet1!$A$1:$AA$1,0),FALSE))</f>
        <v/>
      </c>
      <c r="M62" t="str">
        <f>IF(VLOOKUP($A62,Sheet1!$A:$AA,MATCH(M$1,Sheet1!$A$1:$AA$1,0),FALSE)=0,"",VLOOKUP($A62,Sheet1!$A:$AA,MATCH(M$1,Sheet1!$A$1:$AA$1,0),FALSE))</f>
        <v/>
      </c>
      <c r="N62" t="str">
        <f>IF(VLOOKUP($A62,Sheet1!$A:$AA,MATCH(N$1,Sheet1!$A$1:$AA$1,0),FALSE)=0,"",VLOOKUP($A62,Sheet1!$A:$AA,MATCH(N$1,Sheet1!$A$1:$AA$1,0),FALSE))</f>
        <v/>
      </c>
      <c r="O62" t="str">
        <f>IF(VLOOKUP($A62,Sheet1!$A:$AA,MATCH(O$1,Sheet1!$A$1:$AA$1,0),FALSE)=0,"",VLOOKUP($A62,Sheet1!$A:$AA,MATCH(O$1,Sheet1!$A$1:$AA$1,0),FALSE))</f>
        <v/>
      </c>
      <c r="P62" t="str">
        <f>IF(VLOOKUP($A62,Sheet1!$A:$AA,MATCH(P$1,Sheet1!$A$1:$AA$1,0),FALSE)=0,"",VLOOKUP($A62,Sheet1!$A:$AA,MATCH(P$1,Sheet1!$A$1:$AA$1,0),FALSE))</f>
        <v/>
      </c>
      <c r="Q62" t="str">
        <f>IF(VLOOKUP($A62,Sheet1!$A:$AA,MATCH(Q$1,Sheet1!$A$1:$AA$1,0),FALSE)=0,"",VLOOKUP($A62,Sheet1!$A:$AA,MATCH(Q$1,Sheet1!$A$1:$AA$1,0),FALSE))</f>
        <v>M</v>
      </c>
      <c r="R62" s="2" t="str">
        <f>IF(VLOOKUP($A62,Sheet1!$A:$AA,MATCH(R$1,Sheet1!$A$1:$AA$1,0),FALSE)=0,"",VLOOKUP($A62,Sheet1!$A:$AA,MATCH(R$1,Sheet1!$A$1:$AA$1,0),FALSE))</f>
        <v/>
      </c>
      <c r="S62" t="str">
        <f>IF(VLOOKUP($A62,Sheet1!$A:$AA,MATCH(S$1,Sheet1!$A$1:$AA$1,0),FALSE)=0,"",VLOOKUP($A62,Sheet1!$A:$AA,MATCH(S$1,Sheet1!$A$1:$AA$1,0),FALSE))</f>
        <v/>
      </c>
      <c r="T62" t="str">
        <f>IF(VLOOKUP($A62,Sheet1!$A:$AA,MATCH(T$1,Sheet1!$A$1:$AA$1,0),FALSE)=0,"",VLOOKUP($A62,Sheet1!$A:$AA,MATCH(T$1,Sheet1!$A$1:$AA$1,0),FALSE))</f>
        <v/>
      </c>
      <c r="U62" t="str">
        <f>IF(VLOOKUP($A62,Sheet1!$A:$AA,MATCH(U$1,Sheet1!$A$1:$AA$1,0),FALSE)=0,"",VLOOKUP($A62,Sheet1!$A:$AA,MATCH(U$1,Sheet1!$A$1:$AA$1,0),FALSE))</f>
        <v>DX</v>
      </c>
      <c r="V62" t="str">
        <f>IF(VLOOKUP($A62,Sheet1!$A:$AA,MATCH(V$1,Sheet1!$A$1:$AA$1,0),FALSE)=0,"",VLOOKUP($A62,Sheet1!$A:$AA,MATCH(V$1,Sheet1!$A$1:$AA$1,0),FALSE))</f>
        <v/>
      </c>
      <c r="W62" t="str">
        <f>IF(VLOOKUP($A62,Sheet1!$A:$AA,MATCH(W$1,Sheet1!$A$1:$AA$1,0),FALSE)=0,"",VLOOKUP($A62,Sheet1!$A:$AA,MATCH(W$1,Sheet1!$A$1:$AA$1,0),FALSE))</f>
        <v/>
      </c>
      <c r="X62" t="str">
        <f>IF(VLOOKUP($A62,Sheet1!$A:$AA,MATCH(X$1,Sheet1!$A$1:$AA$1,0),FALSE)=0,"",VLOOKUP($A62,Sheet1!$A:$AA,MATCH(X$1,Sheet1!$A$1:$AA$1,0),FALSE))</f>
        <v/>
      </c>
      <c r="Y62" t="str">
        <f>IF(VLOOKUP($A62,Sheet1!$A:$AA,MATCH(Y$1,Sheet1!$A$1:$AA$1,0),FALSE)=0,"",VLOOKUP($A62,Sheet1!$A:$AA,MATCH(Y$1,Sheet1!$A$1:$AA$1,0),FALSE))</f>
        <v>5.0</v>
      </c>
      <c r="Z62" t="str">
        <f>IF(VLOOKUP($A62,Sheet1!$A:$AA,MATCH(Z$1,Sheet1!$A$1:$AA$1,0),FALSE)=0,"",VLOOKUP($A62,Sheet1!$A:$AA,MATCH(Z$1,Sheet1!$A$1:$AA$1,0),FALSE))</f>
        <v/>
      </c>
      <c r="AA62" t="str">
        <f ca="1">IF(VLOOKUP($A62,Sheet1!$A:$AA,MATCH(AA$1,Sheet1!$A$1:$AA$1,0),FALSE)=0,"",VLOOKUP($A62,Sheet1!$A:$AA,MATCH(AA$1,Sheet1!$A$1:$AA$1,0),FALSE))</f>
        <v/>
      </c>
    </row>
    <row r="63" spans="1:27" x14ac:dyDescent="0.25">
      <c r="A63">
        <v>16952378</v>
      </c>
      <c r="B63" t="str">
        <f>IF(VLOOKUP($A63,Sheet1!$A:$AA,MATCH(B$1,Sheet1!$A$1:$AA$1,0),FALSE)=0,"",VLOOKUP($A63,Sheet1!$A:$AA,MATCH(B$1,Sheet1!$A$1:$AA$1,0),FALSE))</f>
        <v>Baéz Fernández, Victor</v>
      </c>
      <c r="C63" t="str">
        <f>IF(VLOOKUP($A63,Sheet1!$A:$AA,MATCH(C$1,Sheet1!$A$1:$AA$1,0),FALSE)=0,"",VLOOKUP($A63,Sheet1!$A:$AA,MATCH(C$1,Sheet1!$A$1:$AA$1,0),FALSE))</f>
        <v>Baéz Fernández</v>
      </c>
      <c r="D63" t="str">
        <f>IF(VLOOKUP($A63,Sheet1!$A:$AA,MATCH(D$1,Sheet1!$A$1:$AA$1,0),FALSE)=0,"",VLOOKUP($A63,Sheet1!$A:$AA,MATCH(D$1,Sheet1!$A$1:$AA$1,0),FALSE))</f>
        <v>Victor</v>
      </c>
      <c r="E63" t="str">
        <f>IF(VLOOKUP($A63,Sheet1!$A:$AA,MATCH(E$1,Sheet1!$A$1:$AA$1,0),FALSE)=0,"",VLOOKUP($A63,Sheet1!$A:$AA,MATCH(E$1,Sheet1!$A$1:$AA$1,0),FALSE))</f>
        <v>Victor Baéz Fernández</v>
      </c>
      <c r="F63" t="str">
        <f>IF(VLOOKUP($A63,Sheet1!$A:$AA,MATCH(F$1,Sheet1!$A$1:$AA$1,0),FALSE)=0,"",VLOOKUP($A63,Sheet1!$A:$AA,MATCH(F$1,Sheet1!$A$1:$AA$1,0),FALSE))</f>
        <v/>
      </c>
      <c r="G63" t="str">
        <f>IF(VLOOKUP($A63,Sheet1!$A:$AA,MATCH(G$1,Sheet1!$A$1:$AA$1,0),FALSE)=0,"",VLOOKUP($A63,Sheet1!$A:$AA,MATCH(G$1,Sheet1!$A$1:$AA$1,0),FALSE))</f>
        <v/>
      </c>
      <c r="H63" t="str">
        <f>IF(VLOOKUP($A63,Sheet1!$A:$AA,MATCH(H$1,Sheet1!$A$1:$AA$1,0),FALSE)=0,"",VLOOKUP($A63,Sheet1!$A:$AA,MATCH(H$1,Sheet1!$A$1:$AA$1,0),FALSE))</f>
        <v/>
      </c>
      <c r="I63" t="str">
        <f>IF(VLOOKUP($A63,Sheet1!$A:$AA,MATCH(I$1,Sheet1!$A$1:$AA$1,0),FALSE)=0,"",VLOOKUP($A63,Sheet1!$A:$AA,MATCH(I$1,Sheet1!$A$1:$AA$1,0),FALSE))</f>
        <v/>
      </c>
      <c r="J63" t="str">
        <f>IF(VLOOKUP($A63,Sheet1!$A:$AA,MATCH(J$1,Sheet1!$A$1:$AA$1,0),FALSE)=0,"",VLOOKUP($A63,Sheet1!$A:$AA,MATCH(J$1,Sheet1!$A$1:$AA$1,0),FALSE))</f>
        <v/>
      </c>
      <c r="K63" t="str">
        <f>IF(VLOOKUP($A63,Sheet1!$A:$AA,MATCH(K$1,Sheet1!$A$1:$AA$1,0),FALSE)=0,"",VLOOKUP($A63,Sheet1!$A:$AA,MATCH(K$1,Sheet1!$A$1:$AA$1,0),FALSE))</f>
        <v>ANDALUCIA</v>
      </c>
      <c r="L63" t="str">
        <f>IF(VLOOKUP($A63,Sheet1!$A:$AA,MATCH(L$1,Sheet1!$A$1:$AA$1,0),FALSE)=0,"",VLOOKUP($A63,Sheet1!$A:$AA,MATCH(L$1,Sheet1!$A$1:$AA$1,0),FALSE))</f>
        <v/>
      </c>
      <c r="M63" t="str">
        <f>IF(VLOOKUP($A63,Sheet1!$A:$AA,MATCH(M$1,Sheet1!$A$1:$AA$1,0),FALSE)=0,"",VLOOKUP($A63,Sheet1!$A:$AA,MATCH(M$1,Sheet1!$A$1:$AA$1,0),FALSE))</f>
        <v/>
      </c>
      <c r="N63" t="str">
        <f>IF(VLOOKUP($A63,Sheet1!$A:$AA,MATCH(N$1,Sheet1!$A$1:$AA$1,0),FALSE)=0,"",VLOOKUP($A63,Sheet1!$A:$AA,MATCH(N$1,Sheet1!$A$1:$AA$1,0),FALSE))</f>
        <v/>
      </c>
      <c r="O63" t="str">
        <f>IF(VLOOKUP($A63,Sheet1!$A:$AA,MATCH(O$1,Sheet1!$A$1:$AA$1,0),FALSE)=0,"",VLOOKUP($A63,Sheet1!$A:$AA,MATCH(O$1,Sheet1!$A$1:$AA$1,0),FALSE))</f>
        <v/>
      </c>
      <c r="P63" t="str">
        <f>IF(VLOOKUP($A63,Sheet1!$A:$AA,MATCH(P$1,Sheet1!$A$1:$AA$1,0),FALSE)=0,"",VLOOKUP($A63,Sheet1!$A:$AA,MATCH(P$1,Sheet1!$A$1:$AA$1,0),FALSE))</f>
        <v/>
      </c>
      <c r="Q63" t="str">
        <f>IF(VLOOKUP($A63,Sheet1!$A:$AA,MATCH(Q$1,Sheet1!$A$1:$AA$1,0),FALSE)=0,"",VLOOKUP($A63,Sheet1!$A:$AA,MATCH(Q$1,Sheet1!$A$1:$AA$1,0),FALSE))</f>
        <v>M</v>
      </c>
      <c r="R63" s="2" t="str">
        <f>IF(VLOOKUP($A63,Sheet1!$A:$AA,MATCH(R$1,Sheet1!$A$1:$AA$1,0),FALSE)=0,"",VLOOKUP($A63,Sheet1!$A:$AA,MATCH(R$1,Sheet1!$A$1:$AA$1,0),FALSE))</f>
        <v/>
      </c>
      <c r="S63" t="str">
        <f>IF(VLOOKUP($A63,Sheet1!$A:$AA,MATCH(S$1,Sheet1!$A$1:$AA$1,0),FALSE)=0,"",VLOOKUP($A63,Sheet1!$A:$AA,MATCH(S$1,Sheet1!$A$1:$AA$1,0),FALSE))</f>
        <v/>
      </c>
      <c r="T63" t="str">
        <f>IF(VLOOKUP($A63,Sheet1!$A:$AA,MATCH(T$1,Sheet1!$A$1:$AA$1,0),FALSE)=0,"",VLOOKUP($A63,Sheet1!$A:$AA,MATCH(T$1,Sheet1!$A$1:$AA$1,0),FALSE))</f>
        <v/>
      </c>
      <c r="U63" t="str">
        <f>IF(VLOOKUP($A63,Sheet1!$A:$AA,MATCH(U$1,Sheet1!$A$1:$AA$1,0),FALSE)=0,"",VLOOKUP($A63,Sheet1!$A:$AA,MATCH(U$1,Sheet1!$A$1:$AA$1,0),FALSE))</f>
        <v>DX</v>
      </c>
      <c r="V63" t="str">
        <f>IF(VLOOKUP($A63,Sheet1!$A:$AA,MATCH(V$1,Sheet1!$A$1:$AA$1,0),FALSE)=0,"",VLOOKUP($A63,Sheet1!$A:$AA,MATCH(V$1,Sheet1!$A$1:$AA$1,0),FALSE))</f>
        <v/>
      </c>
      <c r="W63" t="str">
        <f>IF(VLOOKUP($A63,Sheet1!$A:$AA,MATCH(W$1,Sheet1!$A$1:$AA$1,0),FALSE)=0,"",VLOOKUP($A63,Sheet1!$A:$AA,MATCH(W$1,Sheet1!$A$1:$AA$1,0),FALSE))</f>
        <v/>
      </c>
      <c r="X63" t="str">
        <f>IF(VLOOKUP($A63,Sheet1!$A:$AA,MATCH(X$1,Sheet1!$A$1:$AA$1,0),FALSE)=0,"",VLOOKUP($A63,Sheet1!$A:$AA,MATCH(X$1,Sheet1!$A$1:$AA$1,0),FALSE))</f>
        <v/>
      </c>
      <c r="Y63" t="str">
        <f>IF(VLOOKUP($A63,Sheet1!$A:$AA,MATCH(Y$1,Sheet1!$A$1:$AA$1,0),FALSE)=0,"",VLOOKUP($A63,Sheet1!$A:$AA,MATCH(Y$1,Sheet1!$A$1:$AA$1,0),FALSE))</f>
        <v>4.5</v>
      </c>
      <c r="Z63" t="str">
        <f>IF(VLOOKUP($A63,Sheet1!$A:$AA,MATCH(Z$1,Sheet1!$A$1:$AA$1,0),FALSE)=0,"",VLOOKUP($A63,Sheet1!$A:$AA,MATCH(Z$1,Sheet1!$A$1:$AA$1,0),FALSE))</f>
        <v/>
      </c>
      <c r="AA63" t="str">
        <f ca="1">IF(VLOOKUP($A63,Sheet1!$A:$AA,MATCH(AA$1,Sheet1!$A$1:$AA$1,0),FALSE)=0,"",VLOOKUP($A63,Sheet1!$A:$AA,MATCH(AA$1,Sheet1!$A$1:$AA$1,0),FALSE))</f>
        <v/>
      </c>
    </row>
    <row r="64" spans="1:27" x14ac:dyDescent="0.25">
      <c r="A64">
        <v>16953227</v>
      </c>
      <c r="B64" t="str">
        <f>IF(VLOOKUP($A64,Sheet1!$A:$AA,MATCH(B$1,Sheet1!$A$1:$AA$1,0),FALSE)=0,"",VLOOKUP($A64,Sheet1!$A:$AA,MATCH(B$1,Sheet1!$A$1:$AA$1,0),FALSE))</f>
        <v>Oliver De Torres, Jesús</v>
      </c>
      <c r="C64" t="str">
        <f>IF(VLOOKUP($A64,Sheet1!$A:$AA,MATCH(C$1,Sheet1!$A$1:$AA$1,0),FALSE)=0,"",VLOOKUP($A64,Sheet1!$A:$AA,MATCH(C$1,Sheet1!$A$1:$AA$1,0),FALSE))</f>
        <v>Oliver De Torres</v>
      </c>
      <c r="D64" t="str">
        <f>IF(VLOOKUP($A64,Sheet1!$A:$AA,MATCH(D$1,Sheet1!$A$1:$AA$1,0),FALSE)=0,"",VLOOKUP($A64,Sheet1!$A:$AA,MATCH(D$1,Sheet1!$A$1:$AA$1,0),FALSE))</f>
        <v>Jesús</v>
      </c>
      <c r="E64" t="str">
        <f>IF(VLOOKUP($A64,Sheet1!$A:$AA,MATCH(E$1,Sheet1!$A$1:$AA$1,0),FALSE)=0,"",VLOOKUP($A64,Sheet1!$A:$AA,MATCH(E$1,Sheet1!$A$1:$AA$1,0),FALSE))</f>
        <v>Jesús Oliver De Torres</v>
      </c>
      <c r="F64" t="str">
        <f>IF(VLOOKUP($A64,Sheet1!$A:$AA,MATCH(F$1,Sheet1!$A$1:$AA$1,0),FALSE)=0,"",VLOOKUP($A64,Sheet1!$A:$AA,MATCH(F$1,Sheet1!$A$1:$AA$1,0),FALSE))</f>
        <v/>
      </c>
      <c r="G64" t="str">
        <f>IF(VLOOKUP($A64,Sheet1!$A:$AA,MATCH(G$1,Sheet1!$A$1:$AA$1,0),FALSE)=0,"",VLOOKUP($A64,Sheet1!$A:$AA,MATCH(G$1,Sheet1!$A$1:$AA$1,0),FALSE))</f>
        <v/>
      </c>
      <c r="H64" t="str">
        <f>IF(VLOOKUP($A64,Sheet1!$A:$AA,MATCH(H$1,Sheet1!$A$1:$AA$1,0),FALSE)=0,"",VLOOKUP($A64,Sheet1!$A:$AA,MATCH(H$1,Sheet1!$A$1:$AA$1,0),FALSE))</f>
        <v/>
      </c>
      <c r="I64" t="str">
        <f>IF(VLOOKUP($A64,Sheet1!$A:$AA,MATCH(I$1,Sheet1!$A$1:$AA$1,0),FALSE)=0,"",VLOOKUP($A64,Sheet1!$A:$AA,MATCH(I$1,Sheet1!$A$1:$AA$1,0),FALSE))</f>
        <v/>
      </c>
      <c r="J64" t="str">
        <f>IF(VLOOKUP($A64,Sheet1!$A:$AA,MATCH(J$1,Sheet1!$A$1:$AA$1,0),FALSE)=0,"",VLOOKUP($A64,Sheet1!$A:$AA,MATCH(J$1,Sheet1!$A$1:$AA$1,0),FALSE))</f>
        <v/>
      </c>
      <c r="K64" t="str">
        <f>IF(VLOOKUP($A64,Sheet1!$A:$AA,MATCH(K$1,Sheet1!$A$1:$AA$1,0),FALSE)=0,"",VLOOKUP($A64,Sheet1!$A:$AA,MATCH(K$1,Sheet1!$A$1:$AA$1,0),FALSE))</f>
        <v>ANDALUCIA</v>
      </c>
      <c r="L64" t="str">
        <f>IF(VLOOKUP($A64,Sheet1!$A:$AA,MATCH(L$1,Sheet1!$A$1:$AA$1,0),FALSE)=0,"",VLOOKUP($A64,Sheet1!$A:$AA,MATCH(L$1,Sheet1!$A$1:$AA$1,0),FALSE))</f>
        <v/>
      </c>
      <c r="M64" t="str">
        <f>IF(VLOOKUP($A64,Sheet1!$A:$AA,MATCH(M$1,Sheet1!$A$1:$AA$1,0),FALSE)=0,"",VLOOKUP($A64,Sheet1!$A:$AA,MATCH(M$1,Sheet1!$A$1:$AA$1,0),FALSE))</f>
        <v/>
      </c>
      <c r="N64" t="str">
        <f>IF(VLOOKUP($A64,Sheet1!$A:$AA,MATCH(N$1,Sheet1!$A$1:$AA$1,0),FALSE)=0,"",VLOOKUP($A64,Sheet1!$A:$AA,MATCH(N$1,Sheet1!$A$1:$AA$1,0),FALSE))</f>
        <v/>
      </c>
      <c r="O64" t="str">
        <f>IF(VLOOKUP($A64,Sheet1!$A:$AA,MATCH(O$1,Sheet1!$A$1:$AA$1,0),FALSE)=0,"",VLOOKUP($A64,Sheet1!$A:$AA,MATCH(O$1,Sheet1!$A$1:$AA$1,0),FALSE))</f>
        <v/>
      </c>
      <c r="P64" t="str">
        <f>IF(VLOOKUP($A64,Sheet1!$A:$AA,MATCH(P$1,Sheet1!$A$1:$AA$1,0),FALSE)=0,"",VLOOKUP($A64,Sheet1!$A:$AA,MATCH(P$1,Sheet1!$A$1:$AA$1,0),FALSE))</f>
        <v/>
      </c>
      <c r="Q64" t="str">
        <f>IF(VLOOKUP($A64,Sheet1!$A:$AA,MATCH(Q$1,Sheet1!$A$1:$AA$1,0),FALSE)=0,"",VLOOKUP($A64,Sheet1!$A:$AA,MATCH(Q$1,Sheet1!$A$1:$AA$1,0),FALSE))</f>
        <v>M</v>
      </c>
      <c r="R64" s="2" t="str">
        <f>IF(VLOOKUP($A64,Sheet1!$A:$AA,MATCH(R$1,Sheet1!$A$1:$AA$1,0),FALSE)=0,"",VLOOKUP($A64,Sheet1!$A:$AA,MATCH(R$1,Sheet1!$A$1:$AA$1,0),FALSE))</f>
        <v/>
      </c>
      <c r="S64" t="str">
        <f>IF(VLOOKUP($A64,Sheet1!$A:$AA,MATCH(S$1,Sheet1!$A$1:$AA$1,0),FALSE)=0,"",VLOOKUP($A64,Sheet1!$A:$AA,MATCH(S$1,Sheet1!$A$1:$AA$1,0),FALSE))</f>
        <v/>
      </c>
      <c r="T64" t="str">
        <f>IF(VLOOKUP($A64,Sheet1!$A:$AA,MATCH(T$1,Sheet1!$A$1:$AA$1,0),FALSE)=0,"",VLOOKUP($A64,Sheet1!$A:$AA,MATCH(T$1,Sheet1!$A$1:$AA$1,0),FALSE))</f>
        <v/>
      </c>
      <c r="U64" t="str">
        <f>IF(VLOOKUP($A64,Sheet1!$A:$AA,MATCH(U$1,Sheet1!$A$1:$AA$1,0),FALSE)=0,"",VLOOKUP($A64,Sheet1!$A:$AA,MATCH(U$1,Sheet1!$A$1:$AA$1,0),FALSE))</f>
        <v>DX</v>
      </c>
      <c r="V64" t="str">
        <f>IF(VLOOKUP($A64,Sheet1!$A:$AA,MATCH(V$1,Sheet1!$A$1:$AA$1,0),FALSE)=0,"",VLOOKUP($A64,Sheet1!$A:$AA,MATCH(V$1,Sheet1!$A$1:$AA$1,0),FALSE))</f>
        <v/>
      </c>
      <c r="W64" t="str">
        <f>IF(VLOOKUP($A64,Sheet1!$A:$AA,MATCH(W$1,Sheet1!$A$1:$AA$1,0),FALSE)=0,"",VLOOKUP($A64,Sheet1!$A:$AA,MATCH(W$1,Sheet1!$A$1:$AA$1,0),FALSE))</f>
        <v/>
      </c>
      <c r="X64" t="str">
        <f>IF(VLOOKUP($A64,Sheet1!$A:$AA,MATCH(X$1,Sheet1!$A$1:$AA$1,0),FALSE)=0,"",VLOOKUP($A64,Sheet1!$A:$AA,MATCH(X$1,Sheet1!$A$1:$AA$1,0),FALSE))</f>
        <v/>
      </c>
      <c r="Y64" t="str">
        <f>IF(VLOOKUP($A64,Sheet1!$A:$AA,MATCH(Y$1,Sheet1!$A$1:$AA$1,0),FALSE)=0,"",VLOOKUP($A64,Sheet1!$A:$AA,MATCH(Y$1,Sheet1!$A$1:$AA$1,0),FALSE))</f>
        <v>4.5</v>
      </c>
      <c r="Z64" t="str">
        <f>IF(VLOOKUP($A64,Sheet1!$A:$AA,MATCH(Z$1,Sheet1!$A$1:$AA$1,0),FALSE)=0,"",VLOOKUP($A64,Sheet1!$A:$AA,MATCH(Z$1,Sheet1!$A$1:$AA$1,0),FALSE))</f>
        <v/>
      </c>
      <c r="AA64" t="str">
        <f ca="1">IF(VLOOKUP($A64,Sheet1!$A:$AA,MATCH(AA$1,Sheet1!$A$1:$AA$1,0),FALSE)=0,"",VLOOKUP($A64,Sheet1!$A:$AA,MATCH(AA$1,Sheet1!$A$1:$AA$1,0),FALSE))</f>
        <v/>
      </c>
    </row>
    <row r="65" spans="1:27" x14ac:dyDescent="0.25">
      <c r="A65">
        <v>10768060</v>
      </c>
      <c r="B65" t="str">
        <f>IF(VLOOKUP($A65,Sheet1!$A:$AA,MATCH(B$1,Sheet1!$A$1:$AA$1,0),FALSE)=0,"",VLOOKUP($A65,Sheet1!$A:$AA,MATCH(B$1,Sheet1!$A$1:$AA$1,0),FALSE))</f>
        <v>Novales De Diago, Eneko</v>
      </c>
      <c r="C65" t="str">
        <f>IF(VLOOKUP($A65,Sheet1!$A:$AA,MATCH(C$1,Sheet1!$A$1:$AA$1,0),FALSE)=0,"",VLOOKUP($A65,Sheet1!$A:$AA,MATCH(C$1,Sheet1!$A$1:$AA$1,0),FALSE))</f>
        <v>Novales De Diago</v>
      </c>
      <c r="D65" t="str">
        <f>IF(VLOOKUP($A65,Sheet1!$A:$AA,MATCH(D$1,Sheet1!$A$1:$AA$1,0),FALSE)=0,"",VLOOKUP($A65,Sheet1!$A:$AA,MATCH(D$1,Sheet1!$A$1:$AA$1,0),FALSE))</f>
        <v>Eneko</v>
      </c>
      <c r="E65" t="str">
        <f>IF(VLOOKUP($A65,Sheet1!$A:$AA,MATCH(E$1,Sheet1!$A$1:$AA$1,0),FALSE)=0,"",VLOOKUP($A65,Sheet1!$A:$AA,MATCH(E$1,Sheet1!$A$1:$AA$1,0),FALSE))</f>
        <v>Eneko Novales De Diago</v>
      </c>
      <c r="F65" t="str">
        <f>IF(VLOOKUP($A65,Sheet1!$A:$AA,MATCH(F$1,Sheet1!$A$1:$AA$1,0),FALSE)=0,"",VLOOKUP($A65,Sheet1!$A:$AA,MATCH(F$1,Sheet1!$A$1:$AA$1,0),FALSE))</f>
        <v/>
      </c>
      <c r="G65" t="str">
        <f>IF(VLOOKUP($A65,Sheet1!$A:$AA,MATCH(G$1,Sheet1!$A$1:$AA$1,0),FALSE)=0,"",VLOOKUP($A65,Sheet1!$A:$AA,MATCH(G$1,Sheet1!$A$1:$AA$1,0),FALSE))</f>
        <v/>
      </c>
      <c r="H65" t="str">
        <f>IF(VLOOKUP($A65,Sheet1!$A:$AA,MATCH(H$1,Sheet1!$A$1:$AA$1,0),FALSE)=0,"",VLOOKUP($A65,Sheet1!$A:$AA,MATCH(H$1,Sheet1!$A$1:$AA$1,0),FALSE))</f>
        <v/>
      </c>
      <c r="I65" t="str">
        <f>IF(VLOOKUP($A65,Sheet1!$A:$AA,MATCH(I$1,Sheet1!$A$1:$AA$1,0),FALSE)=0,"",VLOOKUP($A65,Sheet1!$A:$AA,MATCH(I$1,Sheet1!$A$1:$AA$1,0),FALSE))</f>
        <v/>
      </c>
      <c r="J65" t="str">
        <f>IF(VLOOKUP($A65,Sheet1!$A:$AA,MATCH(J$1,Sheet1!$A$1:$AA$1,0),FALSE)=0,"",VLOOKUP($A65,Sheet1!$A:$AA,MATCH(J$1,Sheet1!$A$1:$AA$1,0),FALSE))</f>
        <v/>
      </c>
      <c r="K65" t="str">
        <f>IF(VLOOKUP($A65,Sheet1!$A:$AA,MATCH(K$1,Sheet1!$A$1:$AA$1,0),FALSE)=0,"",VLOOKUP($A65,Sheet1!$A:$AA,MATCH(K$1,Sheet1!$A$1:$AA$1,0),FALSE))</f>
        <v>MADRID</v>
      </c>
      <c r="L65" t="str">
        <f>IF(VLOOKUP($A65,Sheet1!$A:$AA,MATCH(L$1,Sheet1!$A$1:$AA$1,0),FALSE)=0,"",VLOOKUP($A65,Sheet1!$A:$AA,MATCH(L$1,Sheet1!$A$1:$AA$1,0),FALSE))</f>
        <v/>
      </c>
      <c r="M65" t="str">
        <f>IF(VLOOKUP($A65,Sheet1!$A:$AA,MATCH(M$1,Sheet1!$A$1:$AA$1,0),FALSE)=0,"",VLOOKUP($A65,Sheet1!$A:$AA,MATCH(M$1,Sheet1!$A$1:$AA$1,0),FALSE))</f>
        <v/>
      </c>
      <c r="N65" t="str">
        <f>IF(VLOOKUP($A65,Sheet1!$A:$AA,MATCH(N$1,Sheet1!$A$1:$AA$1,0),FALSE)=0,"",VLOOKUP($A65,Sheet1!$A:$AA,MATCH(N$1,Sheet1!$A$1:$AA$1,0),FALSE))</f>
        <v/>
      </c>
      <c r="O65" t="str">
        <f>IF(VLOOKUP($A65,Sheet1!$A:$AA,MATCH(O$1,Sheet1!$A$1:$AA$1,0),FALSE)=0,"",VLOOKUP($A65,Sheet1!$A:$AA,MATCH(O$1,Sheet1!$A$1:$AA$1,0),FALSE))</f>
        <v/>
      </c>
      <c r="P65" t="str">
        <f>IF(VLOOKUP($A65,Sheet1!$A:$AA,MATCH(P$1,Sheet1!$A$1:$AA$1,0),FALSE)=0,"",VLOOKUP($A65,Sheet1!$A:$AA,MATCH(P$1,Sheet1!$A$1:$AA$1,0),FALSE))</f>
        <v/>
      </c>
      <c r="Q65" t="str">
        <f>IF(VLOOKUP($A65,Sheet1!$A:$AA,MATCH(Q$1,Sheet1!$A$1:$AA$1,0),FALSE)=0,"",VLOOKUP($A65,Sheet1!$A:$AA,MATCH(Q$1,Sheet1!$A$1:$AA$1,0),FALSE))</f>
        <v>M</v>
      </c>
      <c r="R65" s="2" t="str">
        <f>IF(VLOOKUP($A65,Sheet1!$A:$AA,MATCH(R$1,Sheet1!$A$1:$AA$1,0),FALSE)=0,"",VLOOKUP($A65,Sheet1!$A:$AA,MATCH(R$1,Sheet1!$A$1:$AA$1,0),FALSE))</f>
        <v/>
      </c>
      <c r="S65" t="str">
        <f>IF(VLOOKUP($A65,Sheet1!$A:$AA,MATCH(S$1,Sheet1!$A$1:$AA$1,0),FALSE)=0,"",VLOOKUP($A65,Sheet1!$A:$AA,MATCH(S$1,Sheet1!$A$1:$AA$1,0),FALSE))</f>
        <v/>
      </c>
      <c r="T65" t="str">
        <f>IF(VLOOKUP($A65,Sheet1!$A:$AA,MATCH(T$1,Sheet1!$A$1:$AA$1,0),FALSE)=0,"",VLOOKUP($A65,Sheet1!$A:$AA,MATCH(T$1,Sheet1!$A$1:$AA$1,0),FALSE))</f>
        <v/>
      </c>
      <c r="U65" t="str">
        <f>IF(VLOOKUP($A65,Sheet1!$A:$AA,MATCH(U$1,Sheet1!$A$1:$AA$1,0),FALSE)=0,"",VLOOKUP($A65,Sheet1!$A:$AA,MATCH(U$1,Sheet1!$A$1:$AA$1,0),FALSE))</f>
        <v>DX</v>
      </c>
      <c r="V65" t="str">
        <f>IF(VLOOKUP($A65,Sheet1!$A:$AA,MATCH(V$1,Sheet1!$A$1:$AA$1,0),FALSE)=0,"",VLOOKUP($A65,Sheet1!$A:$AA,MATCH(V$1,Sheet1!$A$1:$AA$1,0),FALSE))</f>
        <v/>
      </c>
      <c r="W65" t="str">
        <f>IF(VLOOKUP($A65,Sheet1!$A:$AA,MATCH(W$1,Sheet1!$A$1:$AA$1,0),FALSE)=0,"",VLOOKUP($A65,Sheet1!$A:$AA,MATCH(W$1,Sheet1!$A$1:$AA$1,0),FALSE))</f>
        <v/>
      </c>
      <c r="X65" t="str">
        <f>IF(VLOOKUP($A65,Sheet1!$A:$AA,MATCH(X$1,Sheet1!$A$1:$AA$1,0),FALSE)=0,"",VLOOKUP($A65,Sheet1!$A:$AA,MATCH(X$1,Sheet1!$A$1:$AA$1,0),FALSE))</f>
        <v/>
      </c>
      <c r="Y65" t="str">
        <f>IF(VLOOKUP($A65,Sheet1!$A:$AA,MATCH(Y$1,Sheet1!$A$1:$AA$1,0),FALSE)=0,"",VLOOKUP($A65,Sheet1!$A:$AA,MATCH(Y$1,Sheet1!$A$1:$AA$1,0),FALSE))</f>
        <v>4.5</v>
      </c>
      <c r="Z65" t="str">
        <f>IF(VLOOKUP($A65,Sheet1!$A:$AA,MATCH(Z$1,Sheet1!$A$1:$AA$1,0),FALSE)=0,"",VLOOKUP($A65,Sheet1!$A:$AA,MATCH(Z$1,Sheet1!$A$1:$AA$1,0),FALSE))</f>
        <v/>
      </c>
      <c r="AA65" t="str">
        <f ca="1">IF(VLOOKUP($A65,Sheet1!$A:$AA,MATCH(AA$1,Sheet1!$A$1:$AA$1,0),FALSE)=0,"",VLOOKUP($A65,Sheet1!$A:$AA,MATCH(AA$1,Sheet1!$A$1:$AA$1,0),FALSE))</f>
        <v/>
      </c>
    </row>
    <row r="66" spans="1:27" x14ac:dyDescent="0.25">
      <c r="A66">
        <v>10767153</v>
      </c>
      <c r="B66" t="str">
        <f>IF(VLOOKUP($A66,Sheet1!$A:$AA,MATCH(B$1,Sheet1!$A$1:$AA$1,0),FALSE)=0,"",VLOOKUP($A66,Sheet1!$A:$AA,MATCH(B$1,Sheet1!$A$1:$AA$1,0),FALSE))</f>
        <v>De Marcos Del Pozo, Francisco Javier</v>
      </c>
      <c r="C66" t="str">
        <f>IF(VLOOKUP($A66,Sheet1!$A:$AA,MATCH(C$1,Sheet1!$A$1:$AA$1,0),FALSE)=0,"",VLOOKUP($A66,Sheet1!$A:$AA,MATCH(C$1,Sheet1!$A$1:$AA$1,0),FALSE))</f>
        <v>De Marcos Del Pozo</v>
      </c>
      <c r="D66" t="str">
        <f>IF(VLOOKUP($A66,Sheet1!$A:$AA,MATCH(D$1,Sheet1!$A$1:$AA$1,0),FALSE)=0,"",VLOOKUP($A66,Sheet1!$A:$AA,MATCH(D$1,Sheet1!$A$1:$AA$1,0),FALSE))</f>
        <v>Francisco Javier</v>
      </c>
      <c r="E66" t="str">
        <f>IF(VLOOKUP($A66,Sheet1!$A:$AA,MATCH(E$1,Sheet1!$A$1:$AA$1,0),FALSE)=0,"",VLOOKUP($A66,Sheet1!$A:$AA,MATCH(E$1,Sheet1!$A$1:$AA$1,0),FALSE))</f>
        <v>Francisco Javier De Marcos Del Pozo</v>
      </c>
      <c r="F66" t="str">
        <f>IF(VLOOKUP($A66,Sheet1!$A:$AA,MATCH(F$1,Sheet1!$A$1:$AA$1,0),FALSE)=0,"",VLOOKUP($A66,Sheet1!$A:$AA,MATCH(F$1,Sheet1!$A$1:$AA$1,0),FALSE))</f>
        <v/>
      </c>
      <c r="G66" t="str">
        <f>IF(VLOOKUP($A66,Sheet1!$A:$AA,MATCH(G$1,Sheet1!$A$1:$AA$1,0),FALSE)=0,"",VLOOKUP($A66,Sheet1!$A:$AA,MATCH(G$1,Sheet1!$A$1:$AA$1,0),FALSE))</f>
        <v/>
      </c>
      <c r="H66" t="str">
        <f>IF(VLOOKUP($A66,Sheet1!$A:$AA,MATCH(H$1,Sheet1!$A$1:$AA$1,0),FALSE)=0,"",VLOOKUP($A66,Sheet1!$A:$AA,MATCH(H$1,Sheet1!$A$1:$AA$1,0),FALSE))</f>
        <v/>
      </c>
      <c r="I66" t="str">
        <f>IF(VLOOKUP($A66,Sheet1!$A:$AA,MATCH(I$1,Sheet1!$A$1:$AA$1,0),FALSE)=0,"",VLOOKUP($A66,Sheet1!$A:$AA,MATCH(I$1,Sheet1!$A$1:$AA$1,0),FALSE))</f>
        <v/>
      </c>
      <c r="J66" t="str">
        <f>IF(VLOOKUP($A66,Sheet1!$A:$AA,MATCH(J$1,Sheet1!$A$1:$AA$1,0),FALSE)=0,"",VLOOKUP($A66,Sheet1!$A:$AA,MATCH(J$1,Sheet1!$A$1:$AA$1,0),FALSE))</f>
        <v/>
      </c>
      <c r="K66" t="str">
        <f>IF(VLOOKUP($A66,Sheet1!$A:$AA,MATCH(K$1,Sheet1!$A$1:$AA$1,0),FALSE)=0,"",VLOOKUP($A66,Sheet1!$A:$AA,MATCH(K$1,Sheet1!$A$1:$AA$1,0),FALSE))</f>
        <v>MADRID</v>
      </c>
      <c r="L66" t="str">
        <f>IF(VLOOKUP($A66,Sheet1!$A:$AA,MATCH(L$1,Sheet1!$A$1:$AA$1,0),FALSE)=0,"",VLOOKUP($A66,Sheet1!$A:$AA,MATCH(L$1,Sheet1!$A$1:$AA$1,0),FALSE))</f>
        <v/>
      </c>
      <c r="M66" t="str">
        <f>IF(VLOOKUP($A66,Sheet1!$A:$AA,MATCH(M$1,Sheet1!$A$1:$AA$1,0),FALSE)=0,"",VLOOKUP($A66,Sheet1!$A:$AA,MATCH(M$1,Sheet1!$A$1:$AA$1,0),FALSE))</f>
        <v/>
      </c>
      <c r="N66" t="str">
        <f>IF(VLOOKUP($A66,Sheet1!$A:$AA,MATCH(N$1,Sheet1!$A$1:$AA$1,0),FALSE)=0,"",VLOOKUP($A66,Sheet1!$A:$AA,MATCH(N$1,Sheet1!$A$1:$AA$1,0),FALSE))</f>
        <v/>
      </c>
      <c r="O66" t="str">
        <f>IF(VLOOKUP($A66,Sheet1!$A:$AA,MATCH(O$1,Sheet1!$A$1:$AA$1,0),FALSE)=0,"",VLOOKUP($A66,Sheet1!$A:$AA,MATCH(O$1,Sheet1!$A$1:$AA$1,0),FALSE))</f>
        <v/>
      </c>
      <c r="P66" t="str">
        <f>IF(VLOOKUP($A66,Sheet1!$A:$AA,MATCH(P$1,Sheet1!$A$1:$AA$1,0),FALSE)=0,"",VLOOKUP($A66,Sheet1!$A:$AA,MATCH(P$1,Sheet1!$A$1:$AA$1,0),FALSE))</f>
        <v/>
      </c>
      <c r="Q66" t="str">
        <f>IF(VLOOKUP($A66,Sheet1!$A:$AA,MATCH(Q$1,Sheet1!$A$1:$AA$1,0),FALSE)=0,"",VLOOKUP($A66,Sheet1!$A:$AA,MATCH(Q$1,Sheet1!$A$1:$AA$1,0),FALSE))</f>
        <v>M</v>
      </c>
      <c r="R66" s="2">
        <f>IF(VLOOKUP($A66,Sheet1!$A:$AA,MATCH(R$1,Sheet1!$A$1:$AA$1,0),FALSE)=0,"",VLOOKUP($A66,Sheet1!$A:$AA,MATCH(R$1,Sheet1!$A$1:$AA$1,0),FALSE))</f>
        <v>31848</v>
      </c>
      <c r="S66" t="str">
        <f>IF(VLOOKUP($A66,Sheet1!$A:$AA,MATCH(S$1,Sheet1!$A$1:$AA$1,0),FALSE)=0,"",VLOOKUP($A66,Sheet1!$A:$AA,MATCH(S$1,Sheet1!$A$1:$AA$1,0),FALSE))</f>
        <v/>
      </c>
      <c r="T66" t="str">
        <f>IF(VLOOKUP($A66,Sheet1!$A:$AA,MATCH(T$1,Sheet1!$A$1:$AA$1,0),FALSE)=0,"",VLOOKUP($A66,Sheet1!$A:$AA,MATCH(T$1,Sheet1!$A$1:$AA$1,0),FALSE))</f>
        <v/>
      </c>
      <c r="U66" t="str">
        <f>IF(VLOOKUP($A66,Sheet1!$A:$AA,MATCH(U$1,Sheet1!$A$1:$AA$1,0),FALSE)=0,"",VLOOKUP($A66,Sheet1!$A:$AA,MATCH(U$1,Sheet1!$A$1:$AA$1,0),FALSE))</f>
        <v>DX</v>
      </c>
      <c r="V66" t="str">
        <f>IF(VLOOKUP($A66,Sheet1!$A:$AA,MATCH(V$1,Sheet1!$A$1:$AA$1,0),FALSE)=0,"",VLOOKUP($A66,Sheet1!$A:$AA,MATCH(V$1,Sheet1!$A$1:$AA$1,0),FALSE))</f>
        <v/>
      </c>
      <c r="W66" t="str">
        <f>IF(VLOOKUP($A66,Sheet1!$A:$AA,MATCH(W$1,Sheet1!$A$1:$AA$1,0),FALSE)=0,"",VLOOKUP($A66,Sheet1!$A:$AA,MATCH(W$1,Sheet1!$A$1:$AA$1,0),FALSE))</f>
        <v/>
      </c>
      <c r="X66" t="str">
        <f>IF(VLOOKUP($A66,Sheet1!$A:$AA,MATCH(X$1,Sheet1!$A$1:$AA$1,0),FALSE)=0,"",VLOOKUP($A66,Sheet1!$A:$AA,MATCH(X$1,Sheet1!$A$1:$AA$1,0),FALSE))</f>
        <v/>
      </c>
      <c r="Y66" t="str">
        <f>IF(VLOOKUP($A66,Sheet1!$A:$AA,MATCH(Y$1,Sheet1!$A$1:$AA$1,0),FALSE)=0,"",VLOOKUP($A66,Sheet1!$A:$AA,MATCH(Y$1,Sheet1!$A$1:$AA$1,0),FALSE))</f>
        <v>4.5</v>
      </c>
      <c r="Z66" t="str">
        <f>IF(VLOOKUP($A66,Sheet1!$A:$AA,MATCH(Z$1,Sheet1!$A$1:$AA$1,0),FALSE)=0,"",VLOOKUP($A66,Sheet1!$A:$AA,MATCH(Z$1,Sheet1!$A$1:$AA$1,0),FALSE))</f>
        <v/>
      </c>
      <c r="AA66">
        <f ca="1">IF(VLOOKUP($A66,Sheet1!$A:$AA,MATCH(AA$1,Sheet1!$A$1:$AA$1,0),FALSE)=0,"",VLOOKUP($A66,Sheet1!$A:$AA,MATCH(AA$1,Sheet1!$A$1:$AA$1,0),FALSE))</f>
        <v>37</v>
      </c>
    </row>
    <row r="67" spans="1:27" x14ac:dyDescent="0.25">
      <c r="A67">
        <v>16952881</v>
      </c>
      <c r="B67" t="str">
        <f>IF(VLOOKUP($A67,Sheet1!$A:$AA,MATCH(B$1,Sheet1!$A$1:$AA$1,0),FALSE)=0,"",VLOOKUP($A67,Sheet1!$A:$AA,MATCH(B$1,Sheet1!$A$1:$AA$1,0),FALSE))</f>
        <v>Garcia Corrales, Francisco Jesus</v>
      </c>
      <c r="C67" t="str">
        <f>IF(VLOOKUP($A67,Sheet1!$A:$AA,MATCH(C$1,Sheet1!$A$1:$AA$1,0),FALSE)=0,"",VLOOKUP($A67,Sheet1!$A:$AA,MATCH(C$1,Sheet1!$A$1:$AA$1,0),FALSE))</f>
        <v>Garcia Corrales</v>
      </c>
      <c r="D67" t="str">
        <f>IF(VLOOKUP($A67,Sheet1!$A:$AA,MATCH(D$1,Sheet1!$A$1:$AA$1,0),FALSE)=0,"",VLOOKUP($A67,Sheet1!$A:$AA,MATCH(D$1,Sheet1!$A$1:$AA$1,0),FALSE))</f>
        <v>Francisco Jesus</v>
      </c>
      <c r="E67" t="str">
        <f>IF(VLOOKUP($A67,Sheet1!$A:$AA,MATCH(E$1,Sheet1!$A$1:$AA$1,0),FALSE)=0,"",VLOOKUP($A67,Sheet1!$A:$AA,MATCH(E$1,Sheet1!$A$1:$AA$1,0),FALSE))</f>
        <v>Francisco Jesus Garcia Corrales</v>
      </c>
      <c r="F67" t="str">
        <f>IF(VLOOKUP($A67,Sheet1!$A:$AA,MATCH(F$1,Sheet1!$A$1:$AA$1,0),FALSE)=0,"",VLOOKUP($A67,Sheet1!$A:$AA,MATCH(F$1,Sheet1!$A$1:$AA$1,0),FALSE))</f>
        <v/>
      </c>
      <c r="G67" t="str">
        <f>IF(VLOOKUP($A67,Sheet1!$A:$AA,MATCH(G$1,Sheet1!$A$1:$AA$1,0),FALSE)=0,"",VLOOKUP($A67,Sheet1!$A:$AA,MATCH(G$1,Sheet1!$A$1:$AA$1,0),FALSE))</f>
        <v/>
      </c>
      <c r="H67" t="str">
        <f>IF(VLOOKUP($A67,Sheet1!$A:$AA,MATCH(H$1,Sheet1!$A$1:$AA$1,0),FALSE)=0,"",VLOOKUP($A67,Sheet1!$A:$AA,MATCH(H$1,Sheet1!$A$1:$AA$1,0),FALSE))</f>
        <v/>
      </c>
      <c r="I67" t="str">
        <f>IF(VLOOKUP($A67,Sheet1!$A:$AA,MATCH(I$1,Sheet1!$A$1:$AA$1,0),FALSE)=0,"",VLOOKUP($A67,Sheet1!$A:$AA,MATCH(I$1,Sheet1!$A$1:$AA$1,0),FALSE))</f>
        <v/>
      </c>
      <c r="J67" t="str">
        <f>IF(VLOOKUP($A67,Sheet1!$A:$AA,MATCH(J$1,Sheet1!$A$1:$AA$1,0),FALSE)=0,"",VLOOKUP($A67,Sheet1!$A:$AA,MATCH(J$1,Sheet1!$A$1:$AA$1,0),FALSE))</f>
        <v/>
      </c>
      <c r="K67" t="str">
        <f>IF(VLOOKUP($A67,Sheet1!$A:$AA,MATCH(K$1,Sheet1!$A$1:$AA$1,0),FALSE)=0,"",VLOOKUP($A67,Sheet1!$A:$AA,MATCH(K$1,Sheet1!$A$1:$AA$1,0),FALSE))</f>
        <v>ANDALUCIA</v>
      </c>
      <c r="L67" t="str">
        <f>IF(VLOOKUP($A67,Sheet1!$A:$AA,MATCH(L$1,Sheet1!$A$1:$AA$1,0),FALSE)=0,"",VLOOKUP($A67,Sheet1!$A:$AA,MATCH(L$1,Sheet1!$A$1:$AA$1,0),FALSE))</f>
        <v/>
      </c>
      <c r="M67" t="str">
        <f>IF(VLOOKUP($A67,Sheet1!$A:$AA,MATCH(M$1,Sheet1!$A$1:$AA$1,0),FALSE)=0,"",VLOOKUP($A67,Sheet1!$A:$AA,MATCH(M$1,Sheet1!$A$1:$AA$1,0),FALSE))</f>
        <v/>
      </c>
      <c r="N67" t="str">
        <f>IF(VLOOKUP($A67,Sheet1!$A:$AA,MATCH(N$1,Sheet1!$A$1:$AA$1,0),FALSE)=0,"",VLOOKUP($A67,Sheet1!$A:$AA,MATCH(N$1,Sheet1!$A$1:$AA$1,0),FALSE))</f>
        <v/>
      </c>
      <c r="O67" t="str">
        <f>IF(VLOOKUP($A67,Sheet1!$A:$AA,MATCH(O$1,Sheet1!$A$1:$AA$1,0),FALSE)=0,"",VLOOKUP($A67,Sheet1!$A:$AA,MATCH(O$1,Sheet1!$A$1:$AA$1,0),FALSE))</f>
        <v/>
      </c>
      <c r="P67" t="str">
        <f>IF(VLOOKUP($A67,Sheet1!$A:$AA,MATCH(P$1,Sheet1!$A$1:$AA$1,0),FALSE)=0,"",VLOOKUP($A67,Sheet1!$A:$AA,MATCH(P$1,Sheet1!$A$1:$AA$1,0),FALSE))</f>
        <v/>
      </c>
      <c r="Q67" t="str">
        <f>IF(VLOOKUP($A67,Sheet1!$A:$AA,MATCH(Q$1,Sheet1!$A$1:$AA$1,0),FALSE)=0,"",VLOOKUP($A67,Sheet1!$A:$AA,MATCH(Q$1,Sheet1!$A$1:$AA$1,0),FALSE))</f>
        <v>M</v>
      </c>
      <c r="R67" s="2" t="str">
        <f>IF(VLOOKUP($A67,Sheet1!$A:$AA,MATCH(R$1,Sheet1!$A$1:$AA$1,0),FALSE)=0,"",VLOOKUP($A67,Sheet1!$A:$AA,MATCH(R$1,Sheet1!$A$1:$AA$1,0),FALSE))</f>
        <v/>
      </c>
      <c r="S67" t="str">
        <f>IF(VLOOKUP($A67,Sheet1!$A:$AA,MATCH(S$1,Sheet1!$A$1:$AA$1,0),FALSE)=0,"",VLOOKUP($A67,Sheet1!$A:$AA,MATCH(S$1,Sheet1!$A$1:$AA$1,0),FALSE))</f>
        <v/>
      </c>
      <c r="T67" t="str">
        <f>IF(VLOOKUP($A67,Sheet1!$A:$AA,MATCH(T$1,Sheet1!$A$1:$AA$1,0),FALSE)=0,"",VLOOKUP($A67,Sheet1!$A:$AA,MATCH(T$1,Sheet1!$A$1:$AA$1,0),FALSE))</f>
        <v/>
      </c>
      <c r="U67" t="str">
        <f>IF(VLOOKUP($A67,Sheet1!$A:$AA,MATCH(U$1,Sheet1!$A$1:$AA$1,0),FALSE)=0,"",VLOOKUP($A67,Sheet1!$A:$AA,MATCH(U$1,Sheet1!$A$1:$AA$1,0),FALSE))</f>
        <v>DX</v>
      </c>
      <c r="V67" t="str">
        <f>IF(VLOOKUP($A67,Sheet1!$A:$AA,MATCH(V$1,Sheet1!$A$1:$AA$1,0),FALSE)=0,"",VLOOKUP($A67,Sheet1!$A:$AA,MATCH(V$1,Sheet1!$A$1:$AA$1,0),FALSE))</f>
        <v/>
      </c>
      <c r="W67" t="str">
        <f>IF(VLOOKUP($A67,Sheet1!$A:$AA,MATCH(W$1,Sheet1!$A$1:$AA$1,0),FALSE)=0,"",VLOOKUP($A67,Sheet1!$A:$AA,MATCH(W$1,Sheet1!$A$1:$AA$1,0),FALSE))</f>
        <v/>
      </c>
      <c r="X67" t="str">
        <f>IF(VLOOKUP($A67,Sheet1!$A:$AA,MATCH(X$1,Sheet1!$A$1:$AA$1,0),FALSE)=0,"",VLOOKUP($A67,Sheet1!$A:$AA,MATCH(X$1,Sheet1!$A$1:$AA$1,0),FALSE))</f>
        <v/>
      </c>
      <c r="Y67" t="str">
        <f>IF(VLOOKUP($A67,Sheet1!$A:$AA,MATCH(Y$1,Sheet1!$A$1:$AA$1,0),FALSE)=0,"",VLOOKUP($A67,Sheet1!$A:$AA,MATCH(Y$1,Sheet1!$A$1:$AA$1,0),FALSE))</f>
        <v>4.5</v>
      </c>
      <c r="Z67" t="str">
        <f>IF(VLOOKUP($A67,Sheet1!$A:$AA,MATCH(Z$1,Sheet1!$A$1:$AA$1,0),FALSE)=0,"",VLOOKUP($A67,Sheet1!$A:$AA,MATCH(Z$1,Sheet1!$A$1:$AA$1,0),FALSE))</f>
        <v/>
      </c>
      <c r="AA67" t="str">
        <f ca="1">IF(VLOOKUP($A67,Sheet1!$A:$AA,MATCH(AA$1,Sheet1!$A$1:$AA$1,0),FALSE)=0,"",VLOOKUP($A67,Sheet1!$A:$AA,MATCH(AA$1,Sheet1!$A$1:$AA$1,0),FALSE))</f>
        <v/>
      </c>
    </row>
    <row r="68" spans="1:27" x14ac:dyDescent="0.25">
      <c r="A68">
        <v>11855303</v>
      </c>
      <c r="B68" t="str">
        <f>IF(VLOOKUP($A68,Sheet1!$A:$AA,MATCH(B$1,Sheet1!$A$1:$AA$1,0),FALSE)=0,"",VLOOKUP($A68,Sheet1!$A:$AA,MATCH(B$1,Sheet1!$A$1:$AA$1,0),FALSE))</f>
        <v>Oliver Cruells, Ferran</v>
      </c>
      <c r="C68" t="str">
        <f>IF(VLOOKUP($A68,Sheet1!$A:$AA,MATCH(C$1,Sheet1!$A$1:$AA$1,0),FALSE)=0,"",VLOOKUP($A68,Sheet1!$A:$AA,MATCH(C$1,Sheet1!$A$1:$AA$1,0),FALSE))</f>
        <v>Oliver Cruells</v>
      </c>
      <c r="D68" t="str">
        <f>IF(VLOOKUP($A68,Sheet1!$A:$AA,MATCH(D$1,Sheet1!$A$1:$AA$1,0),FALSE)=0,"",VLOOKUP($A68,Sheet1!$A:$AA,MATCH(D$1,Sheet1!$A$1:$AA$1,0),FALSE))</f>
        <v>Ferran</v>
      </c>
      <c r="E68" t="str">
        <f>IF(VLOOKUP($A68,Sheet1!$A:$AA,MATCH(E$1,Sheet1!$A$1:$AA$1,0),FALSE)=0,"",VLOOKUP($A68,Sheet1!$A:$AA,MATCH(E$1,Sheet1!$A$1:$AA$1,0),FALSE))</f>
        <v>Ferran Oliver Cruells</v>
      </c>
      <c r="F68" t="str">
        <f>IF(VLOOKUP($A68,Sheet1!$A:$AA,MATCH(F$1,Sheet1!$A$1:$AA$1,0),FALSE)=0,"",VLOOKUP($A68,Sheet1!$A:$AA,MATCH(F$1,Sheet1!$A$1:$AA$1,0),FALSE))</f>
        <v/>
      </c>
      <c r="G68" t="str">
        <f>IF(VLOOKUP($A68,Sheet1!$A:$AA,MATCH(G$1,Sheet1!$A$1:$AA$1,0),FALSE)=0,"",VLOOKUP($A68,Sheet1!$A:$AA,MATCH(G$1,Sheet1!$A$1:$AA$1,0),FALSE))</f>
        <v/>
      </c>
      <c r="H68" t="str">
        <f>IF(VLOOKUP($A68,Sheet1!$A:$AA,MATCH(H$1,Sheet1!$A$1:$AA$1,0),FALSE)=0,"",VLOOKUP($A68,Sheet1!$A:$AA,MATCH(H$1,Sheet1!$A$1:$AA$1,0),FALSE))</f>
        <v/>
      </c>
      <c r="I68" t="str">
        <f>IF(VLOOKUP($A68,Sheet1!$A:$AA,MATCH(I$1,Sheet1!$A$1:$AA$1,0),FALSE)=0,"",VLOOKUP($A68,Sheet1!$A:$AA,MATCH(I$1,Sheet1!$A$1:$AA$1,0),FALSE))</f>
        <v/>
      </c>
      <c r="J68" t="str">
        <f>IF(VLOOKUP($A68,Sheet1!$A:$AA,MATCH(J$1,Sheet1!$A$1:$AA$1,0),FALSE)=0,"",VLOOKUP($A68,Sheet1!$A:$AA,MATCH(J$1,Sheet1!$A$1:$AA$1,0),FALSE))</f>
        <v/>
      </c>
      <c r="K68" t="str">
        <f>IF(VLOOKUP($A68,Sheet1!$A:$AA,MATCH(K$1,Sheet1!$A$1:$AA$1,0),FALSE)=0,"",VLOOKUP($A68,Sheet1!$A:$AA,MATCH(K$1,Sheet1!$A$1:$AA$1,0),FALSE))</f>
        <v>CATALUÑA</v>
      </c>
      <c r="L68" t="str">
        <f>IF(VLOOKUP($A68,Sheet1!$A:$AA,MATCH(L$1,Sheet1!$A$1:$AA$1,0),FALSE)=0,"",VLOOKUP($A68,Sheet1!$A:$AA,MATCH(L$1,Sheet1!$A$1:$AA$1,0),FALSE))</f>
        <v/>
      </c>
      <c r="M68" t="str">
        <f>IF(VLOOKUP($A68,Sheet1!$A:$AA,MATCH(M$1,Sheet1!$A$1:$AA$1,0),FALSE)=0,"",VLOOKUP($A68,Sheet1!$A:$AA,MATCH(M$1,Sheet1!$A$1:$AA$1,0),FALSE))</f>
        <v/>
      </c>
      <c r="N68" t="str">
        <f>IF(VLOOKUP($A68,Sheet1!$A:$AA,MATCH(N$1,Sheet1!$A$1:$AA$1,0),FALSE)=0,"",VLOOKUP($A68,Sheet1!$A:$AA,MATCH(N$1,Sheet1!$A$1:$AA$1,0),FALSE))</f>
        <v/>
      </c>
      <c r="O68" t="str">
        <f>IF(VLOOKUP($A68,Sheet1!$A:$AA,MATCH(O$1,Sheet1!$A$1:$AA$1,0),FALSE)=0,"",VLOOKUP($A68,Sheet1!$A:$AA,MATCH(O$1,Sheet1!$A$1:$AA$1,0),FALSE))</f>
        <v/>
      </c>
      <c r="P68" t="str">
        <f>IF(VLOOKUP($A68,Sheet1!$A:$AA,MATCH(P$1,Sheet1!$A$1:$AA$1,0),FALSE)=0,"",VLOOKUP($A68,Sheet1!$A:$AA,MATCH(P$1,Sheet1!$A$1:$AA$1,0),FALSE))</f>
        <v/>
      </c>
      <c r="Q68" t="str">
        <f>IF(VLOOKUP($A68,Sheet1!$A:$AA,MATCH(Q$1,Sheet1!$A$1:$AA$1,0),FALSE)=0,"",VLOOKUP($A68,Sheet1!$A:$AA,MATCH(Q$1,Sheet1!$A$1:$AA$1,0),FALSE))</f>
        <v>M</v>
      </c>
      <c r="R68" s="2" t="str">
        <f>IF(VLOOKUP($A68,Sheet1!$A:$AA,MATCH(R$1,Sheet1!$A$1:$AA$1,0),FALSE)=0,"",VLOOKUP($A68,Sheet1!$A:$AA,MATCH(R$1,Sheet1!$A$1:$AA$1,0),FALSE))</f>
        <v/>
      </c>
      <c r="S68" t="str">
        <f>IF(VLOOKUP($A68,Sheet1!$A:$AA,MATCH(S$1,Sheet1!$A$1:$AA$1,0),FALSE)=0,"",VLOOKUP($A68,Sheet1!$A:$AA,MATCH(S$1,Sheet1!$A$1:$AA$1,0),FALSE))</f>
        <v/>
      </c>
      <c r="T68" t="str">
        <f>IF(VLOOKUP($A68,Sheet1!$A:$AA,MATCH(T$1,Sheet1!$A$1:$AA$1,0),FALSE)=0,"",VLOOKUP($A68,Sheet1!$A:$AA,MATCH(T$1,Sheet1!$A$1:$AA$1,0),FALSE))</f>
        <v/>
      </c>
      <c r="U68" t="str">
        <f>IF(VLOOKUP($A68,Sheet1!$A:$AA,MATCH(U$1,Sheet1!$A$1:$AA$1,0),FALSE)=0,"",VLOOKUP($A68,Sheet1!$A:$AA,MATCH(U$1,Sheet1!$A$1:$AA$1,0),FALSE))</f>
        <v>DX</v>
      </c>
      <c r="V68" t="str">
        <f>IF(VLOOKUP($A68,Sheet1!$A:$AA,MATCH(V$1,Sheet1!$A$1:$AA$1,0),FALSE)=0,"",VLOOKUP($A68,Sheet1!$A:$AA,MATCH(V$1,Sheet1!$A$1:$AA$1,0),FALSE))</f>
        <v/>
      </c>
      <c r="W68" t="str">
        <f>IF(VLOOKUP($A68,Sheet1!$A:$AA,MATCH(W$1,Sheet1!$A$1:$AA$1,0),FALSE)=0,"",VLOOKUP($A68,Sheet1!$A:$AA,MATCH(W$1,Sheet1!$A$1:$AA$1,0),FALSE))</f>
        <v/>
      </c>
      <c r="X68" t="str">
        <f>IF(VLOOKUP($A68,Sheet1!$A:$AA,MATCH(X$1,Sheet1!$A$1:$AA$1,0),FALSE)=0,"",VLOOKUP($A68,Sheet1!$A:$AA,MATCH(X$1,Sheet1!$A$1:$AA$1,0),FALSE))</f>
        <v/>
      </c>
      <c r="Y68" t="str">
        <f>IF(VLOOKUP($A68,Sheet1!$A:$AA,MATCH(Y$1,Sheet1!$A$1:$AA$1,0),FALSE)=0,"",VLOOKUP($A68,Sheet1!$A:$AA,MATCH(Y$1,Sheet1!$A$1:$AA$1,0),FALSE))</f>
        <v>4.5</v>
      </c>
      <c r="Z68" t="str">
        <f>IF(VLOOKUP($A68,Sheet1!$A:$AA,MATCH(Z$1,Sheet1!$A$1:$AA$1,0),FALSE)=0,"",VLOOKUP($A68,Sheet1!$A:$AA,MATCH(Z$1,Sheet1!$A$1:$AA$1,0),FALSE))</f>
        <v/>
      </c>
      <c r="AA68" t="str">
        <f ca="1">IF(VLOOKUP($A68,Sheet1!$A:$AA,MATCH(AA$1,Sheet1!$A$1:$AA$1,0),FALSE)=0,"",VLOOKUP($A68,Sheet1!$A:$AA,MATCH(AA$1,Sheet1!$A$1:$AA$1,0),FALSE))</f>
        <v/>
      </c>
    </row>
    <row r="69" spans="1:27" x14ac:dyDescent="0.25">
      <c r="A69">
        <v>11855155</v>
      </c>
      <c r="B69" t="str">
        <f>IF(VLOOKUP($A69,Sheet1!$A:$AA,MATCH(B$1,Sheet1!$A$1:$AA$1,0),FALSE)=0,"",VLOOKUP($A69,Sheet1!$A:$AA,MATCH(B$1,Sheet1!$A$1:$AA$1,0),FALSE))</f>
        <v>Rovira Romero, Andres Alejandro</v>
      </c>
      <c r="C69" t="str">
        <f>IF(VLOOKUP($A69,Sheet1!$A:$AA,MATCH(C$1,Sheet1!$A$1:$AA$1,0),FALSE)=0,"",VLOOKUP($A69,Sheet1!$A:$AA,MATCH(C$1,Sheet1!$A$1:$AA$1,0),FALSE))</f>
        <v>Rovira Romero</v>
      </c>
      <c r="D69" t="str">
        <f>IF(VLOOKUP($A69,Sheet1!$A:$AA,MATCH(D$1,Sheet1!$A$1:$AA$1,0),FALSE)=0,"",VLOOKUP($A69,Sheet1!$A:$AA,MATCH(D$1,Sheet1!$A$1:$AA$1,0),FALSE))</f>
        <v>Andres Alejandro</v>
      </c>
      <c r="E69" t="str">
        <f>IF(VLOOKUP($A69,Sheet1!$A:$AA,MATCH(E$1,Sheet1!$A$1:$AA$1,0),FALSE)=0,"",VLOOKUP($A69,Sheet1!$A:$AA,MATCH(E$1,Sheet1!$A$1:$AA$1,0),FALSE))</f>
        <v>Andres Alejandro Rovira Romero</v>
      </c>
      <c r="F69" t="str">
        <f>IF(VLOOKUP($A69,Sheet1!$A:$AA,MATCH(F$1,Sheet1!$A$1:$AA$1,0),FALSE)=0,"",VLOOKUP($A69,Sheet1!$A:$AA,MATCH(F$1,Sheet1!$A$1:$AA$1,0),FALSE))</f>
        <v/>
      </c>
      <c r="G69" t="str">
        <f>IF(VLOOKUP($A69,Sheet1!$A:$AA,MATCH(G$1,Sheet1!$A$1:$AA$1,0),FALSE)=0,"",VLOOKUP($A69,Sheet1!$A:$AA,MATCH(G$1,Sheet1!$A$1:$AA$1,0),FALSE))</f>
        <v/>
      </c>
      <c r="H69" t="str">
        <f>IF(VLOOKUP($A69,Sheet1!$A:$AA,MATCH(H$1,Sheet1!$A$1:$AA$1,0),FALSE)=0,"",VLOOKUP($A69,Sheet1!$A:$AA,MATCH(H$1,Sheet1!$A$1:$AA$1,0),FALSE))</f>
        <v/>
      </c>
      <c r="I69" t="str">
        <f>IF(VLOOKUP($A69,Sheet1!$A:$AA,MATCH(I$1,Sheet1!$A$1:$AA$1,0),FALSE)=0,"",VLOOKUP($A69,Sheet1!$A:$AA,MATCH(I$1,Sheet1!$A$1:$AA$1,0),FALSE))</f>
        <v/>
      </c>
      <c r="J69" t="str">
        <f>IF(VLOOKUP($A69,Sheet1!$A:$AA,MATCH(J$1,Sheet1!$A$1:$AA$1,0),FALSE)=0,"",VLOOKUP($A69,Sheet1!$A:$AA,MATCH(J$1,Sheet1!$A$1:$AA$1,0),FALSE))</f>
        <v/>
      </c>
      <c r="K69" t="str">
        <f>IF(VLOOKUP($A69,Sheet1!$A:$AA,MATCH(K$1,Sheet1!$A$1:$AA$1,0),FALSE)=0,"",VLOOKUP($A69,Sheet1!$A:$AA,MATCH(K$1,Sheet1!$A$1:$AA$1,0),FALSE))</f>
        <v>CATALUÑA</v>
      </c>
      <c r="L69" t="str">
        <f>IF(VLOOKUP($A69,Sheet1!$A:$AA,MATCH(L$1,Sheet1!$A$1:$AA$1,0),FALSE)=0,"",VLOOKUP($A69,Sheet1!$A:$AA,MATCH(L$1,Sheet1!$A$1:$AA$1,0),FALSE))</f>
        <v/>
      </c>
      <c r="M69" t="str">
        <f>IF(VLOOKUP($A69,Sheet1!$A:$AA,MATCH(M$1,Sheet1!$A$1:$AA$1,0),FALSE)=0,"",VLOOKUP($A69,Sheet1!$A:$AA,MATCH(M$1,Sheet1!$A$1:$AA$1,0),FALSE))</f>
        <v/>
      </c>
      <c r="N69" t="str">
        <f>IF(VLOOKUP($A69,Sheet1!$A:$AA,MATCH(N$1,Sheet1!$A$1:$AA$1,0),FALSE)=0,"",VLOOKUP($A69,Sheet1!$A:$AA,MATCH(N$1,Sheet1!$A$1:$AA$1,0),FALSE))</f>
        <v/>
      </c>
      <c r="O69" t="str">
        <f>IF(VLOOKUP($A69,Sheet1!$A:$AA,MATCH(O$1,Sheet1!$A$1:$AA$1,0),FALSE)=0,"",VLOOKUP($A69,Sheet1!$A:$AA,MATCH(O$1,Sheet1!$A$1:$AA$1,0),FALSE))</f>
        <v/>
      </c>
      <c r="P69" t="str">
        <f>IF(VLOOKUP($A69,Sheet1!$A:$AA,MATCH(P$1,Sheet1!$A$1:$AA$1,0),FALSE)=0,"",VLOOKUP($A69,Sheet1!$A:$AA,MATCH(P$1,Sheet1!$A$1:$AA$1,0),FALSE))</f>
        <v/>
      </c>
      <c r="Q69" t="str">
        <f>IF(VLOOKUP($A69,Sheet1!$A:$AA,MATCH(Q$1,Sheet1!$A$1:$AA$1,0),FALSE)=0,"",VLOOKUP($A69,Sheet1!$A:$AA,MATCH(Q$1,Sheet1!$A$1:$AA$1,0),FALSE))</f>
        <v>M</v>
      </c>
      <c r="R69" s="2" t="str">
        <f>IF(VLOOKUP($A69,Sheet1!$A:$AA,MATCH(R$1,Sheet1!$A$1:$AA$1,0),FALSE)=0,"",VLOOKUP($A69,Sheet1!$A:$AA,MATCH(R$1,Sheet1!$A$1:$AA$1,0),FALSE))</f>
        <v/>
      </c>
      <c r="S69" t="str">
        <f>IF(VLOOKUP($A69,Sheet1!$A:$AA,MATCH(S$1,Sheet1!$A$1:$AA$1,0),FALSE)=0,"",VLOOKUP($A69,Sheet1!$A:$AA,MATCH(S$1,Sheet1!$A$1:$AA$1,0),FALSE))</f>
        <v/>
      </c>
      <c r="T69" t="str">
        <f>IF(VLOOKUP($A69,Sheet1!$A:$AA,MATCH(T$1,Sheet1!$A$1:$AA$1,0),FALSE)=0,"",VLOOKUP($A69,Sheet1!$A:$AA,MATCH(T$1,Sheet1!$A$1:$AA$1,0),FALSE))</f>
        <v/>
      </c>
      <c r="U69" t="str">
        <f>IF(VLOOKUP($A69,Sheet1!$A:$AA,MATCH(U$1,Sheet1!$A$1:$AA$1,0),FALSE)=0,"",VLOOKUP($A69,Sheet1!$A:$AA,MATCH(U$1,Sheet1!$A$1:$AA$1,0),FALSE))</f>
        <v>DX</v>
      </c>
      <c r="V69" t="str">
        <f>IF(VLOOKUP($A69,Sheet1!$A:$AA,MATCH(V$1,Sheet1!$A$1:$AA$1,0),FALSE)=0,"",VLOOKUP($A69,Sheet1!$A:$AA,MATCH(V$1,Sheet1!$A$1:$AA$1,0),FALSE))</f>
        <v/>
      </c>
      <c r="W69" t="str">
        <f>IF(VLOOKUP($A69,Sheet1!$A:$AA,MATCH(W$1,Sheet1!$A$1:$AA$1,0),FALSE)=0,"",VLOOKUP($A69,Sheet1!$A:$AA,MATCH(W$1,Sheet1!$A$1:$AA$1,0),FALSE))</f>
        <v/>
      </c>
      <c r="X69" t="str">
        <f>IF(VLOOKUP($A69,Sheet1!$A:$AA,MATCH(X$1,Sheet1!$A$1:$AA$1,0),FALSE)=0,"",VLOOKUP($A69,Sheet1!$A:$AA,MATCH(X$1,Sheet1!$A$1:$AA$1,0),FALSE))</f>
        <v/>
      </c>
      <c r="Y69" t="str">
        <f>IF(VLOOKUP($A69,Sheet1!$A:$AA,MATCH(Y$1,Sheet1!$A$1:$AA$1,0),FALSE)=0,"",VLOOKUP($A69,Sheet1!$A:$AA,MATCH(Y$1,Sheet1!$A$1:$AA$1,0),FALSE))</f>
        <v>4.5</v>
      </c>
      <c r="Z69" t="str">
        <f>IF(VLOOKUP($A69,Sheet1!$A:$AA,MATCH(Z$1,Sheet1!$A$1:$AA$1,0),FALSE)=0,"",VLOOKUP($A69,Sheet1!$A:$AA,MATCH(Z$1,Sheet1!$A$1:$AA$1,0),FALSE))</f>
        <v/>
      </c>
      <c r="AA69" t="str">
        <f ca="1">IF(VLOOKUP($A69,Sheet1!$A:$AA,MATCH(AA$1,Sheet1!$A$1:$AA$1,0),FALSE)=0,"",VLOOKUP($A69,Sheet1!$A:$AA,MATCH(AA$1,Sheet1!$A$1:$AA$1,0),FALSE))</f>
        <v/>
      </c>
    </row>
    <row r="70" spans="1:27" x14ac:dyDescent="0.25">
      <c r="A70">
        <v>10769092</v>
      </c>
      <c r="B70" t="str">
        <f>IF(VLOOKUP($A70,Sheet1!$A:$AA,MATCH(B$1,Sheet1!$A$1:$AA$1,0),FALSE)=0,"",VLOOKUP($A70,Sheet1!$A:$AA,MATCH(B$1,Sheet1!$A$1:$AA$1,0),FALSE))</f>
        <v>Sainz , Marcos</v>
      </c>
      <c r="C70" t="str">
        <f>IF(VLOOKUP($A70,Sheet1!$A:$AA,MATCH(C$1,Sheet1!$A$1:$AA$1,0),FALSE)=0,"",VLOOKUP($A70,Sheet1!$A:$AA,MATCH(C$1,Sheet1!$A$1:$AA$1,0),FALSE))</f>
        <v xml:space="preserve">Sainz </v>
      </c>
      <c r="D70" t="str">
        <f>IF(VLOOKUP($A70,Sheet1!$A:$AA,MATCH(D$1,Sheet1!$A$1:$AA$1,0),FALSE)=0,"",VLOOKUP($A70,Sheet1!$A:$AA,MATCH(D$1,Sheet1!$A$1:$AA$1,0),FALSE))</f>
        <v>Marcos</v>
      </c>
      <c r="E70" t="str">
        <f>IF(VLOOKUP($A70,Sheet1!$A:$AA,MATCH(E$1,Sheet1!$A$1:$AA$1,0),FALSE)=0,"",VLOOKUP($A70,Sheet1!$A:$AA,MATCH(E$1,Sheet1!$A$1:$AA$1,0),FALSE))</f>
        <v xml:space="preserve">Marcos Sainz </v>
      </c>
      <c r="F70" t="str">
        <f>IF(VLOOKUP($A70,Sheet1!$A:$AA,MATCH(F$1,Sheet1!$A$1:$AA$1,0),FALSE)=0,"",VLOOKUP($A70,Sheet1!$A:$AA,MATCH(F$1,Sheet1!$A$1:$AA$1,0),FALSE))</f>
        <v/>
      </c>
      <c r="G70" t="str">
        <f>IF(VLOOKUP($A70,Sheet1!$A:$AA,MATCH(G$1,Sheet1!$A$1:$AA$1,0),FALSE)=0,"",VLOOKUP($A70,Sheet1!$A:$AA,MATCH(G$1,Sheet1!$A$1:$AA$1,0),FALSE))</f>
        <v/>
      </c>
      <c r="H70" t="str">
        <f>IF(VLOOKUP($A70,Sheet1!$A:$AA,MATCH(H$1,Sheet1!$A$1:$AA$1,0),FALSE)=0,"",VLOOKUP($A70,Sheet1!$A:$AA,MATCH(H$1,Sheet1!$A$1:$AA$1,0),FALSE))</f>
        <v/>
      </c>
      <c r="I70" t="str">
        <f>IF(VLOOKUP($A70,Sheet1!$A:$AA,MATCH(I$1,Sheet1!$A$1:$AA$1,0),FALSE)=0,"",VLOOKUP($A70,Sheet1!$A:$AA,MATCH(I$1,Sheet1!$A$1:$AA$1,0),FALSE))</f>
        <v/>
      </c>
      <c r="J70" t="str">
        <f>IF(VLOOKUP($A70,Sheet1!$A:$AA,MATCH(J$1,Sheet1!$A$1:$AA$1,0),FALSE)=0,"",VLOOKUP($A70,Sheet1!$A:$AA,MATCH(J$1,Sheet1!$A$1:$AA$1,0),FALSE))</f>
        <v/>
      </c>
      <c r="K70" t="str">
        <f>IF(VLOOKUP($A70,Sheet1!$A:$AA,MATCH(K$1,Sheet1!$A$1:$AA$1,0),FALSE)=0,"",VLOOKUP($A70,Sheet1!$A:$AA,MATCH(K$1,Sheet1!$A$1:$AA$1,0),FALSE))</f>
        <v>MADRID</v>
      </c>
      <c r="L70" t="str">
        <f>IF(VLOOKUP($A70,Sheet1!$A:$AA,MATCH(L$1,Sheet1!$A$1:$AA$1,0),FALSE)=0,"",VLOOKUP($A70,Sheet1!$A:$AA,MATCH(L$1,Sheet1!$A$1:$AA$1,0),FALSE))</f>
        <v/>
      </c>
      <c r="M70" t="str">
        <f>IF(VLOOKUP($A70,Sheet1!$A:$AA,MATCH(M$1,Sheet1!$A$1:$AA$1,0),FALSE)=0,"",VLOOKUP($A70,Sheet1!$A:$AA,MATCH(M$1,Sheet1!$A$1:$AA$1,0),FALSE))</f>
        <v/>
      </c>
      <c r="N70" t="str">
        <f>IF(VLOOKUP($A70,Sheet1!$A:$AA,MATCH(N$1,Sheet1!$A$1:$AA$1,0),FALSE)=0,"",VLOOKUP($A70,Sheet1!$A:$AA,MATCH(N$1,Sheet1!$A$1:$AA$1,0),FALSE))</f>
        <v/>
      </c>
      <c r="O70" t="str">
        <f>IF(VLOOKUP($A70,Sheet1!$A:$AA,MATCH(O$1,Sheet1!$A$1:$AA$1,0),FALSE)=0,"",VLOOKUP($A70,Sheet1!$A:$AA,MATCH(O$1,Sheet1!$A$1:$AA$1,0),FALSE))</f>
        <v/>
      </c>
      <c r="P70" t="str">
        <f>IF(VLOOKUP($A70,Sheet1!$A:$AA,MATCH(P$1,Sheet1!$A$1:$AA$1,0),FALSE)=0,"",VLOOKUP($A70,Sheet1!$A:$AA,MATCH(P$1,Sheet1!$A$1:$AA$1,0),FALSE))</f>
        <v/>
      </c>
      <c r="Q70" t="str">
        <f>IF(VLOOKUP($A70,Sheet1!$A:$AA,MATCH(Q$1,Sheet1!$A$1:$AA$1,0),FALSE)=0,"",VLOOKUP($A70,Sheet1!$A:$AA,MATCH(Q$1,Sheet1!$A$1:$AA$1,0),FALSE))</f>
        <v>M</v>
      </c>
      <c r="R70" s="2" t="str">
        <f>IF(VLOOKUP($A70,Sheet1!$A:$AA,MATCH(R$1,Sheet1!$A$1:$AA$1,0),FALSE)=0,"",VLOOKUP($A70,Sheet1!$A:$AA,MATCH(R$1,Sheet1!$A$1:$AA$1,0),FALSE))</f>
        <v/>
      </c>
      <c r="S70" t="str">
        <f>IF(VLOOKUP($A70,Sheet1!$A:$AA,MATCH(S$1,Sheet1!$A$1:$AA$1,0),FALSE)=0,"",VLOOKUP($A70,Sheet1!$A:$AA,MATCH(S$1,Sheet1!$A$1:$AA$1,0),FALSE))</f>
        <v/>
      </c>
      <c r="T70" t="str">
        <f>IF(VLOOKUP($A70,Sheet1!$A:$AA,MATCH(T$1,Sheet1!$A$1:$AA$1,0),FALSE)=0,"",VLOOKUP($A70,Sheet1!$A:$AA,MATCH(T$1,Sheet1!$A$1:$AA$1,0),FALSE))</f>
        <v/>
      </c>
      <c r="U70" t="str">
        <f>IF(VLOOKUP($A70,Sheet1!$A:$AA,MATCH(U$1,Sheet1!$A$1:$AA$1,0),FALSE)=0,"",VLOOKUP($A70,Sheet1!$A:$AA,MATCH(U$1,Sheet1!$A$1:$AA$1,0),FALSE))</f>
        <v>DX</v>
      </c>
      <c r="V70" t="str">
        <f>IF(VLOOKUP($A70,Sheet1!$A:$AA,MATCH(V$1,Sheet1!$A$1:$AA$1,0),FALSE)=0,"",VLOOKUP($A70,Sheet1!$A:$AA,MATCH(V$1,Sheet1!$A$1:$AA$1,0),FALSE))</f>
        <v/>
      </c>
      <c r="W70" t="str">
        <f>IF(VLOOKUP($A70,Sheet1!$A:$AA,MATCH(W$1,Sheet1!$A$1:$AA$1,0),FALSE)=0,"",VLOOKUP($A70,Sheet1!$A:$AA,MATCH(W$1,Sheet1!$A$1:$AA$1,0),FALSE))</f>
        <v/>
      </c>
      <c r="X70" t="str">
        <f>IF(VLOOKUP($A70,Sheet1!$A:$AA,MATCH(X$1,Sheet1!$A$1:$AA$1,0),FALSE)=0,"",VLOOKUP($A70,Sheet1!$A:$AA,MATCH(X$1,Sheet1!$A$1:$AA$1,0),FALSE))</f>
        <v/>
      </c>
      <c r="Y70" t="str">
        <f>IF(VLOOKUP($A70,Sheet1!$A:$AA,MATCH(Y$1,Sheet1!$A$1:$AA$1,0),FALSE)=0,"",VLOOKUP($A70,Sheet1!$A:$AA,MATCH(Y$1,Sheet1!$A$1:$AA$1,0),FALSE))</f>
        <v>4.5</v>
      </c>
      <c r="Z70" t="str">
        <f>IF(VLOOKUP($A70,Sheet1!$A:$AA,MATCH(Z$1,Sheet1!$A$1:$AA$1,0),FALSE)=0,"",VLOOKUP($A70,Sheet1!$A:$AA,MATCH(Z$1,Sheet1!$A$1:$AA$1,0),FALSE))</f>
        <v/>
      </c>
      <c r="AA70" t="str">
        <f ca="1">IF(VLOOKUP($A70,Sheet1!$A:$AA,MATCH(AA$1,Sheet1!$A$1:$AA$1,0),FALSE)=0,"",VLOOKUP($A70,Sheet1!$A:$AA,MATCH(AA$1,Sheet1!$A$1:$AA$1,0),FALSE))</f>
        <v/>
      </c>
    </row>
    <row r="71" spans="1:27" x14ac:dyDescent="0.25">
      <c r="A71">
        <v>10766303</v>
      </c>
      <c r="B71" t="str">
        <f>IF(VLOOKUP($A71,Sheet1!$A:$AA,MATCH(B$1,Sheet1!$A$1:$AA$1,0),FALSE)=0,"",VLOOKUP($A71,Sheet1!$A:$AA,MATCH(B$1,Sheet1!$A$1:$AA$1,0),FALSE))</f>
        <v>Cortes Barrio, Jose Maria</v>
      </c>
      <c r="C71" t="str">
        <f>IF(VLOOKUP($A71,Sheet1!$A:$AA,MATCH(C$1,Sheet1!$A$1:$AA$1,0),FALSE)=0,"",VLOOKUP($A71,Sheet1!$A:$AA,MATCH(C$1,Sheet1!$A$1:$AA$1,0),FALSE))</f>
        <v>Cortes Barrio</v>
      </c>
      <c r="D71" t="str">
        <f>IF(VLOOKUP($A71,Sheet1!$A:$AA,MATCH(D$1,Sheet1!$A$1:$AA$1,0),FALSE)=0,"",VLOOKUP($A71,Sheet1!$A:$AA,MATCH(D$1,Sheet1!$A$1:$AA$1,0),FALSE))</f>
        <v>Jose Maria</v>
      </c>
      <c r="E71" t="str">
        <f>IF(VLOOKUP($A71,Sheet1!$A:$AA,MATCH(E$1,Sheet1!$A$1:$AA$1,0),FALSE)=0,"",VLOOKUP($A71,Sheet1!$A:$AA,MATCH(E$1,Sheet1!$A$1:$AA$1,0),FALSE))</f>
        <v>Jose Maria Cortes Barrio</v>
      </c>
      <c r="F71" t="str">
        <f>IF(VLOOKUP($A71,Sheet1!$A:$AA,MATCH(F$1,Sheet1!$A$1:$AA$1,0),FALSE)=0,"",VLOOKUP($A71,Sheet1!$A:$AA,MATCH(F$1,Sheet1!$A$1:$AA$1,0),FALSE))</f>
        <v/>
      </c>
      <c r="G71" t="str">
        <f>IF(VLOOKUP($A71,Sheet1!$A:$AA,MATCH(G$1,Sheet1!$A$1:$AA$1,0),FALSE)=0,"",VLOOKUP($A71,Sheet1!$A:$AA,MATCH(G$1,Sheet1!$A$1:$AA$1,0),FALSE))</f>
        <v/>
      </c>
      <c r="H71" t="str">
        <f>IF(VLOOKUP($A71,Sheet1!$A:$AA,MATCH(H$1,Sheet1!$A$1:$AA$1,0),FALSE)=0,"",VLOOKUP($A71,Sheet1!$A:$AA,MATCH(H$1,Sheet1!$A$1:$AA$1,0),FALSE))</f>
        <v/>
      </c>
      <c r="I71" t="str">
        <f>IF(VLOOKUP($A71,Sheet1!$A:$AA,MATCH(I$1,Sheet1!$A$1:$AA$1,0),FALSE)=0,"",VLOOKUP($A71,Sheet1!$A:$AA,MATCH(I$1,Sheet1!$A$1:$AA$1,0),FALSE))</f>
        <v/>
      </c>
      <c r="J71" t="str">
        <f>IF(VLOOKUP($A71,Sheet1!$A:$AA,MATCH(J$1,Sheet1!$A$1:$AA$1,0),FALSE)=0,"",VLOOKUP($A71,Sheet1!$A:$AA,MATCH(J$1,Sheet1!$A$1:$AA$1,0),FALSE))</f>
        <v/>
      </c>
      <c r="K71" t="str">
        <f>IF(VLOOKUP($A71,Sheet1!$A:$AA,MATCH(K$1,Sheet1!$A$1:$AA$1,0),FALSE)=0,"",VLOOKUP($A71,Sheet1!$A:$AA,MATCH(K$1,Sheet1!$A$1:$AA$1,0),FALSE))</f>
        <v>MADRID</v>
      </c>
      <c r="L71" t="str">
        <f>IF(VLOOKUP($A71,Sheet1!$A:$AA,MATCH(L$1,Sheet1!$A$1:$AA$1,0),FALSE)=0,"",VLOOKUP($A71,Sheet1!$A:$AA,MATCH(L$1,Sheet1!$A$1:$AA$1,0),FALSE))</f>
        <v/>
      </c>
      <c r="M71" t="str">
        <f>IF(VLOOKUP($A71,Sheet1!$A:$AA,MATCH(M$1,Sheet1!$A$1:$AA$1,0),FALSE)=0,"",VLOOKUP($A71,Sheet1!$A:$AA,MATCH(M$1,Sheet1!$A$1:$AA$1,0),FALSE))</f>
        <v/>
      </c>
      <c r="N71" t="str">
        <f>IF(VLOOKUP($A71,Sheet1!$A:$AA,MATCH(N$1,Sheet1!$A$1:$AA$1,0),FALSE)=0,"",VLOOKUP($A71,Sheet1!$A:$AA,MATCH(N$1,Sheet1!$A$1:$AA$1,0),FALSE))</f>
        <v/>
      </c>
      <c r="O71" t="str">
        <f>IF(VLOOKUP($A71,Sheet1!$A:$AA,MATCH(O$1,Sheet1!$A$1:$AA$1,0),FALSE)=0,"",VLOOKUP($A71,Sheet1!$A:$AA,MATCH(O$1,Sheet1!$A$1:$AA$1,0),FALSE))</f>
        <v/>
      </c>
      <c r="P71" t="str">
        <f>IF(VLOOKUP($A71,Sheet1!$A:$AA,MATCH(P$1,Sheet1!$A$1:$AA$1,0),FALSE)=0,"",VLOOKUP($A71,Sheet1!$A:$AA,MATCH(P$1,Sheet1!$A$1:$AA$1,0),FALSE))</f>
        <v/>
      </c>
      <c r="Q71" t="str">
        <f>IF(VLOOKUP($A71,Sheet1!$A:$AA,MATCH(Q$1,Sheet1!$A$1:$AA$1,0),FALSE)=0,"",VLOOKUP($A71,Sheet1!$A:$AA,MATCH(Q$1,Sheet1!$A$1:$AA$1,0),FALSE))</f>
        <v>M</v>
      </c>
      <c r="R71" s="2" t="str">
        <f>IF(VLOOKUP($A71,Sheet1!$A:$AA,MATCH(R$1,Sheet1!$A$1:$AA$1,0),FALSE)=0,"",VLOOKUP($A71,Sheet1!$A:$AA,MATCH(R$1,Sheet1!$A$1:$AA$1,0),FALSE))</f>
        <v/>
      </c>
      <c r="S71" t="str">
        <f>IF(VLOOKUP($A71,Sheet1!$A:$AA,MATCH(S$1,Sheet1!$A$1:$AA$1,0),FALSE)=0,"",VLOOKUP($A71,Sheet1!$A:$AA,MATCH(S$1,Sheet1!$A$1:$AA$1,0),FALSE))</f>
        <v/>
      </c>
      <c r="T71" t="str">
        <f>IF(VLOOKUP($A71,Sheet1!$A:$AA,MATCH(T$1,Sheet1!$A$1:$AA$1,0),FALSE)=0,"",VLOOKUP($A71,Sheet1!$A:$AA,MATCH(T$1,Sheet1!$A$1:$AA$1,0),FALSE))</f>
        <v/>
      </c>
      <c r="U71" t="str">
        <f>IF(VLOOKUP($A71,Sheet1!$A:$AA,MATCH(U$1,Sheet1!$A$1:$AA$1,0),FALSE)=0,"",VLOOKUP($A71,Sheet1!$A:$AA,MATCH(U$1,Sheet1!$A$1:$AA$1,0),FALSE))</f>
        <v>DX</v>
      </c>
      <c r="V71" t="str">
        <f>IF(VLOOKUP($A71,Sheet1!$A:$AA,MATCH(V$1,Sheet1!$A$1:$AA$1,0),FALSE)=0,"",VLOOKUP($A71,Sheet1!$A:$AA,MATCH(V$1,Sheet1!$A$1:$AA$1,0),FALSE))</f>
        <v/>
      </c>
      <c r="W71" t="str">
        <f>IF(VLOOKUP($A71,Sheet1!$A:$AA,MATCH(W$1,Sheet1!$A$1:$AA$1,0),FALSE)=0,"",VLOOKUP($A71,Sheet1!$A:$AA,MATCH(W$1,Sheet1!$A$1:$AA$1,0),FALSE))</f>
        <v/>
      </c>
      <c r="X71" t="str">
        <f>IF(VLOOKUP($A71,Sheet1!$A:$AA,MATCH(X$1,Sheet1!$A$1:$AA$1,0),FALSE)=0,"",VLOOKUP($A71,Sheet1!$A:$AA,MATCH(X$1,Sheet1!$A$1:$AA$1,0),FALSE))</f>
        <v/>
      </c>
      <c r="Y71" t="str">
        <f>IF(VLOOKUP($A71,Sheet1!$A:$AA,MATCH(Y$1,Sheet1!$A$1:$AA$1,0),FALSE)=0,"",VLOOKUP($A71,Sheet1!$A:$AA,MATCH(Y$1,Sheet1!$A$1:$AA$1,0),FALSE))</f>
        <v>4.5</v>
      </c>
      <c r="Z71" t="str">
        <f>IF(VLOOKUP($A71,Sheet1!$A:$AA,MATCH(Z$1,Sheet1!$A$1:$AA$1,0),FALSE)=0,"",VLOOKUP($A71,Sheet1!$A:$AA,MATCH(Z$1,Sheet1!$A$1:$AA$1,0),FALSE))</f>
        <v/>
      </c>
      <c r="AA71" t="str">
        <f ca="1">IF(VLOOKUP($A71,Sheet1!$A:$AA,MATCH(AA$1,Sheet1!$A$1:$AA$1,0),FALSE)=0,"",VLOOKUP($A71,Sheet1!$A:$AA,MATCH(AA$1,Sheet1!$A$1:$AA$1,0),FALSE))</f>
        <v/>
      </c>
    </row>
    <row r="72" spans="1:27" x14ac:dyDescent="0.25">
      <c r="A72">
        <v>10769349</v>
      </c>
      <c r="B72" t="str">
        <f>IF(VLOOKUP($A72,Sheet1!$A:$AA,MATCH(B$1,Sheet1!$A$1:$AA$1,0),FALSE)=0,"",VLOOKUP($A72,Sheet1!$A:$AA,MATCH(B$1,Sheet1!$A$1:$AA$1,0),FALSE))</f>
        <v>Ziarreta Fernandez, Nerea</v>
      </c>
      <c r="C72" t="str">
        <f>IF(VLOOKUP($A72,Sheet1!$A:$AA,MATCH(C$1,Sheet1!$A$1:$AA$1,0),FALSE)=0,"",VLOOKUP($A72,Sheet1!$A:$AA,MATCH(C$1,Sheet1!$A$1:$AA$1,0),FALSE))</f>
        <v>Ziarreta Fernandez</v>
      </c>
      <c r="D72" t="str">
        <f>IF(VLOOKUP($A72,Sheet1!$A:$AA,MATCH(D$1,Sheet1!$A$1:$AA$1,0),FALSE)=0,"",VLOOKUP($A72,Sheet1!$A:$AA,MATCH(D$1,Sheet1!$A$1:$AA$1,0),FALSE))</f>
        <v>Nerea</v>
      </c>
      <c r="E72" t="str">
        <f>IF(VLOOKUP($A72,Sheet1!$A:$AA,MATCH(E$1,Sheet1!$A$1:$AA$1,0),FALSE)=0,"",VLOOKUP($A72,Sheet1!$A:$AA,MATCH(E$1,Sheet1!$A$1:$AA$1,0),FALSE))</f>
        <v>Nerea Ziarreta Fernandez</v>
      </c>
      <c r="F72" t="str">
        <f>IF(VLOOKUP($A72,Sheet1!$A:$AA,MATCH(F$1,Sheet1!$A$1:$AA$1,0),FALSE)=0,"",VLOOKUP($A72,Sheet1!$A:$AA,MATCH(F$1,Sheet1!$A$1:$AA$1,0),FALSE))</f>
        <v/>
      </c>
      <c r="G72" t="str">
        <f>IF(VLOOKUP($A72,Sheet1!$A:$AA,MATCH(G$1,Sheet1!$A$1:$AA$1,0),FALSE)=0,"",VLOOKUP($A72,Sheet1!$A:$AA,MATCH(G$1,Sheet1!$A$1:$AA$1,0),FALSE))</f>
        <v/>
      </c>
      <c r="H72" t="str">
        <f>IF(VLOOKUP($A72,Sheet1!$A:$AA,MATCH(H$1,Sheet1!$A$1:$AA$1,0),FALSE)=0,"",VLOOKUP($A72,Sheet1!$A:$AA,MATCH(H$1,Sheet1!$A$1:$AA$1,0),FALSE))</f>
        <v/>
      </c>
      <c r="I72" t="str">
        <f>IF(VLOOKUP($A72,Sheet1!$A:$AA,MATCH(I$1,Sheet1!$A$1:$AA$1,0),FALSE)=0,"",VLOOKUP($A72,Sheet1!$A:$AA,MATCH(I$1,Sheet1!$A$1:$AA$1,0),FALSE))</f>
        <v/>
      </c>
      <c r="J72" t="str">
        <f>IF(VLOOKUP($A72,Sheet1!$A:$AA,MATCH(J$1,Sheet1!$A$1:$AA$1,0),FALSE)=0,"",VLOOKUP($A72,Sheet1!$A:$AA,MATCH(J$1,Sheet1!$A$1:$AA$1,0),FALSE))</f>
        <v/>
      </c>
      <c r="K72" t="str">
        <f>IF(VLOOKUP($A72,Sheet1!$A:$AA,MATCH(K$1,Sheet1!$A$1:$AA$1,0),FALSE)=0,"",VLOOKUP($A72,Sheet1!$A:$AA,MATCH(K$1,Sheet1!$A$1:$AA$1,0),FALSE))</f>
        <v>MADRID</v>
      </c>
      <c r="L72" t="str">
        <f>IF(VLOOKUP($A72,Sheet1!$A:$AA,MATCH(L$1,Sheet1!$A$1:$AA$1,0),FALSE)=0,"",VLOOKUP($A72,Sheet1!$A:$AA,MATCH(L$1,Sheet1!$A$1:$AA$1,0),FALSE))</f>
        <v/>
      </c>
      <c r="M72" t="str">
        <f>IF(VLOOKUP($A72,Sheet1!$A:$AA,MATCH(M$1,Sheet1!$A$1:$AA$1,0),FALSE)=0,"",VLOOKUP($A72,Sheet1!$A:$AA,MATCH(M$1,Sheet1!$A$1:$AA$1,0),FALSE))</f>
        <v/>
      </c>
      <c r="N72" t="str">
        <f>IF(VLOOKUP($A72,Sheet1!$A:$AA,MATCH(N$1,Sheet1!$A$1:$AA$1,0),FALSE)=0,"",VLOOKUP($A72,Sheet1!$A:$AA,MATCH(N$1,Sheet1!$A$1:$AA$1,0),FALSE))</f>
        <v/>
      </c>
      <c r="O72" t="str">
        <f>IF(VLOOKUP($A72,Sheet1!$A:$AA,MATCH(O$1,Sheet1!$A$1:$AA$1,0),FALSE)=0,"",VLOOKUP($A72,Sheet1!$A:$AA,MATCH(O$1,Sheet1!$A$1:$AA$1,0),FALSE))</f>
        <v/>
      </c>
      <c r="P72" t="str">
        <f>IF(VLOOKUP($A72,Sheet1!$A:$AA,MATCH(P$1,Sheet1!$A$1:$AA$1,0),FALSE)=0,"",VLOOKUP($A72,Sheet1!$A:$AA,MATCH(P$1,Sheet1!$A$1:$AA$1,0),FALSE))</f>
        <v/>
      </c>
      <c r="Q72" t="str">
        <f>IF(VLOOKUP($A72,Sheet1!$A:$AA,MATCH(Q$1,Sheet1!$A$1:$AA$1,0),FALSE)=0,"",VLOOKUP($A72,Sheet1!$A:$AA,MATCH(Q$1,Sheet1!$A$1:$AA$1,0),FALSE))</f>
        <v>F</v>
      </c>
      <c r="R72" s="2">
        <f>IF(VLOOKUP($A72,Sheet1!$A:$AA,MATCH(R$1,Sheet1!$A$1:$AA$1,0),FALSE)=0,"",VLOOKUP($A72,Sheet1!$A:$AA,MATCH(R$1,Sheet1!$A$1:$AA$1,0),FALSE))</f>
        <v>32678</v>
      </c>
      <c r="S72" t="str">
        <f>IF(VLOOKUP($A72,Sheet1!$A:$AA,MATCH(S$1,Sheet1!$A$1:$AA$1,0),FALSE)=0,"",VLOOKUP($A72,Sheet1!$A:$AA,MATCH(S$1,Sheet1!$A$1:$AA$1,0),FALSE))</f>
        <v/>
      </c>
      <c r="T72" t="str">
        <f>IF(VLOOKUP($A72,Sheet1!$A:$AA,MATCH(T$1,Sheet1!$A$1:$AA$1,0),FALSE)=0,"",VLOOKUP($A72,Sheet1!$A:$AA,MATCH(T$1,Sheet1!$A$1:$AA$1,0),FALSE))</f>
        <v/>
      </c>
      <c r="U72" t="str">
        <f>IF(VLOOKUP($A72,Sheet1!$A:$AA,MATCH(U$1,Sheet1!$A$1:$AA$1,0),FALSE)=0,"",VLOOKUP($A72,Sheet1!$A:$AA,MATCH(U$1,Sheet1!$A$1:$AA$1,0),FALSE))</f>
        <v>DX</v>
      </c>
      <c r="V72" t="str">
        <f>IF(VLOOKUP($A72,Sheet1!$A:$AA,MATCH(V$1,Sheet1!$A$1:$AA$1,0),FALSE)=0,"",VLOOKUP($A72,Sheet1!$A:$AA,MATCH(V$1,Sheet1!$A$1:$AA$1,0),FALSE))</f>
        <v/>
      </c>
      <c r="W72" t="str">
        <f>IF(VLOOKUP($A72,Sheet1!$A:$AA,MATCH(W$1,Sheet1!$A$1:$AA$1,0),FALSE)=0,"",VLOOKUP($A72,Sheet1!$A:$AA,MATCH(W$1,Sheet1!$A$1:$AA$1,0),FALSE))</f>
        <v/>
      </c>
      <c r="X72" t="str">
        <f>IF(VLOOKUP($A72,Sheet1!$A:$AA,MATCH(X$1,Sheet1!$A$1:$AA$1,0),FALSE)=0,"",VLOOKUP($A72,Sheet1!$A:$AA,MATCH(X$1,Sheet1!$A$1:$AA$1,0),FALSE))</f>
        <v/>
      </c>
      <c r="Y72" t="str">
        <f>IF(VLOOKUP($A72,Sheet1!$A:$AA,MATCH(Y$1,Sheet1!$A$1:$AA$1,0),FALSE)=0,"",VLOOKUP($A72,Sheet1!$A:$AA,MATCH(Y$1,Sheet1!$A$1:$AA$1,0),FALSE))</f>
        <v>4.5</v>
      </c>
      <c r="Z72" t="str">
        <f>IF(VLOOKUP($A72,Sheet1!$A:$AA,MATCH(Z$1,Sheet1!$A$1:$AA$1,0),FALSE)=0,"",VLOOKUP($A72,Sheet1!$A:$AA,MATCH(Z$1,Sheet1!$A$1:$AA$1,0),FALSE))</f>
        <v/>
      </c>
      <c r="AA72">
        <f ca="1">IF(VLOOKUP($A72,Sheet1!$A:$AA,MATCH(AA$1,Sheet1!$A$1:$AA$1,0),FALSE)=0,"",VLOOKUP($A72,Sheet1!$A:$AA,MATCH(AA$1,Sheet1!$A$1:$AA$1,0),FALSE))</f>
        <v>35</v>
      </c>
    </row>
    <row r="73" spans="1:27" x14ac:dyDescent="0.25">
      <c r="A73">
        <v>10766254</v>
      </c>
      <c r="B73" t="str">
        <f>IF(VLOOKUP($A73,Sheet1!$A:$AA,MATCH(B$1,Sheet1!$A$1:$AA$1,0),FALSE)=0,"",VLOOKUP($A73,Sheet1!$A:$AA,MATCH(B$1,Sheet1!$A$1:$AA$1,0),FALSE))</f>
        <v>Sarabia Navajo, Raquel</v>
      </c>
      <c r="C73" t="str">
        <f>IF(VLOOKUP($A73,Sheet1!$A:$AA,MATCH(C$1,Sheet1!$A$1:$AA$1,0),FALSE)=0,"",VLOOKUP($A73,Sheet1!$A:$AA,MATCH(C$1,Sheet1!$A$1:$AA$1,0),FALSE))</f>
        <v>Sarabia Navajo</v>
      </c>
      <c r="D73" t="str">
        <f>IF(VLOOKUP($A73,Sheet1!$A:$AA,MATCH(D$1,Sheet1!$A$1:$AA$1,0),FALSE)=0,"",VLOOKUP($A73,Sheet1!$A:$AA,MATCH(D$1,Sheet1!$A$1:$AA$1,0),FALSE))</f>
        <v>Raquel</v>
      </c>
      <c r="E73" t="str">
        <f>IF(VLOOKUP($A73,Sheet1!$A:$AA,MATCH(E$1,Sheet1!$A$1:$AA$1,0),FALSE)=0,"",VLOOKUP($A73,Sheet1!$A:$AA,MATCH(E$1,Sheet1!$A$1:$AA$1,0),FALSE))</f>
        <v>Raquel Sarabia Navajo</v>
      </c>
      <c r="F73" t="str">
        <f>IF(VLOOKUP($A73,Sheet1!$A:$AA,MATCH(F$1,Sheet1!$A$1:$AA$1,0),FALSE)=0,"",VLOOKUP($A73,Sheet1!$A:$AA,MATCH(F$1,Sheet1!$A$1:$AA$1,0),FALSE))</f>
        <v/>
      </c>
      <c r="G73" t="str">
        <f>IF(VLOOKUP($A73,Sheet1!$A:$AA,MATCH(G$1,Sheet1!$A$1:$AA$1,0),FALSE)=0,"",VLOOKUP($A73,Sheet1!$A:$AA,MATCH(G$1,Sheet1!$A$1:$AA$1,0),FALSE))</f>
        <v/>
      </c>
      <c r="H73" t="str">
        <f>IF(VLOOKUP($A73,Sheet1!$A:$AA,MATCH(H$1,Sheet1!$A$1:$AA$1,0),FALSE)=0,"",VLOOKUP($A73,Sheet1!$A:$AA,MATCH(H$1,Sheet1!$A$1:$AA$1,0),FALSE))</f>
        <v/>
      </c>
      <c r="I73" t="str">
        <f>IF(VLOOKUP($A73,Sheet1!$A:$AA,MATCH(I$1,Sheet1!$A$1:$AA$1,0),FALSE)=0,"",VLOOKUP($A73,Sheet1!$A:$AA,MATCH(I$1,Sheet1!$A$1:$AA$1,0),FALSE))</f>
        <v/>
      </c>
      <c r="J73" t="str">
        <f>IF(VLOOKUP($A73,Sheet1!$A:$AA,MATCH(J$1,Sheet1!$A$1:$AA$1,0),FALSE)=0,"",VLOOKUP($A73,Sheet1!$A:$AA,MATCH(J$1,Sheet1!$A$1:$AA$1,0),FALSE))</f>
        <v/>
      </c>
      <c r="K73" t="str">
        <f>IF(VLOOKUP($A73,Sheet1!$A:$AA,MATCH(K$1,Sheet1!$A$1:$AA$1,0),FALSE)=0,"",VLOOKUP($A73,Sheet1!$A:$AA,MATCH(K$1,Sheet1!$A$1:$AA$1,0),FALSE))</f>
        <v>MADRID</v>
      </c>
      <c r="L73" t="str">
        <f>IF(VLOOKUP($A73,Sheet1!$A:$AA,MATCH(L$1,Sheet1!$A$1:$AA$1,0),FALSE)=0,"",VLOOKUP($A73,Sheet1!$A:$AA,MATCH(L$1,Sheet1!$A$1:$AA$1,0),FALSE))</f>
        <v/>
      </c>
      <c r="M73" t="str">
        <f>IF(VLOOKUP($A73,Sheet1!$A:$AA,MATCH(M$1,Sheet1!$A$1:$AA$1,0),FALSE)=0,"",VLOOKUP($A73,Sheet1!$A:$AA,MATCH(M$1,Sheet1!$A$1:$AA$1,0),FALSE))</f>
        <v/>
      </c>
      <c r="N73" t="str">
        <f>IF(VLOOKUP($A73,Sheet1!$A:$AA,MATCH(N$1,Sheet1!$A$1:$AA$1,0),FALSE)=0,"",VLOOKUP($A73,Sheet1!$A:$AA,MATCH(N$1,Sheet1!$A$1:$AA$1,0),FALSE))</f>
        <v/>
      </c>
      <c r="O73" t="str">
        <f>IF(VLOOKUP($A73,Sheet1!$A:$AA,MATCH(O$1,Sheet1!$A$1:$AA$1,0),FALSE)=0,"",VLOOKUP($A73,Sheet1!$A:$AA,MATCH(O$1,Sheet1!$A$1:$AA$1,0),FALSE))</f>
        <v/>
      </c>
      <c r="P73" t="str">
        <f>IF(VLOOKUP($A73,Sheet1!$A:$AA,MATCH(P$1,Sheet1!$A$1:$AA$1,0),FALSE)=0,"",VLOOKUP($A73,Sheet1!$A:$AA,MATCH(P$1,Sheet1!$A$1:$AA$1,0),FALSE))</f>
        <v/>
      </c>
      <c r="Q73" t="str">
        <f>IF(VLOOKUP($A73,Sheet1!$A:$AA,MATCH(Q$1,Sheet1!$A$1:$AA$1,0),FALSE)=0,"",VLOOKUP($A73,Sheet1!$A:$AA,MATCH(Q$1,Sheet1!$A$1:$AA$1,0),FALSE))</f>
        <v>F</v>
      </c>
      <c r="R73" s="2" t="str">
        <f>IF(VLOOKUP($A73,Sheet1!$A:$AA,MATCH(R$1,Sheet1!$A$1:$AA$1,0),FALSE)=0,"",VLOOKUP($A73,Sheet1!$A:$AA,MATCH(R$1,Sheet1!$A$1:$AA$1,0),FALSE))</f>
        <v/>
      </c>
      <c r="S73" t="str">
        <f>IF(VLOOKUP($A73,Sheet1!$A:$AA,MATCH(S$1,Sheet1!$A$1:$AA$1,0),FALSE)=0,"",VLOOKUP($A73,Sheet1!$A:$AA,MATCH(S$1,Sheet1!$A$1:$AA$1,0),FALSE))</f>
        <v/>
      </c>
      <c r="T73" t="str">
        <f>IF(VLOOKUP($A73,Sheet1!$A:$AA,MATCH(T$1,Sheet1!$A$1:$AA$1,0),FALSE)=0,"",VLOOKUP($A73,Sheet1!$A:$AA,MATCH(T$1,Sheet1!$A$1:$AA$1,0),FALSE))</f>
        <v/>
      </c>
      <c r="U73" t="str">
        <f>IF(VLOOKUP($A73,Sheet1!$A:$AA,MATCH(U$1,Sheet1!$A$1:$AA$1,0),FALSE)=0,"",VLOOKUP($A73,Sheet1!$A:$AA,MATCH(U$1,Sheet1!$A$1:$AA$1,0),FALSE))</f>
        <v>DX</v>
      </c>
      <c r="V73" t="str">
        <f>IF(VLOOKUP($A73,Sheet1!$A:$AA,MATCH(V$1,Sheet1!$A$1:$AA$1,0),FALSE)=0,"",VLOOKUP($A73,Sheet1!$A:$AA,MATCH(V$1,Sheet1!$A$1:$AA$1,0),FALSE))</f>
        <v/>
      </c>
      <c r="W73" t="str">
        <f>IF(VLOOKUP($A73,Sheet1!$A:$AA,MATCH(W$1,Sheet1!$A$1:$AA$1,0),FALSE)=0,"",VLOOKUP($A73,Sheet1!$A:$AA,MATCH(W$1,Sheet1!$A$1:$AA$1,0),FALSE))</f>
        <v/>
      </c>
      <c r="X73" t="str">
        <f>IF(VLOOKUP($A73,Sheet1!$A:$AA,MATCH(X$1,Sheet1!$A$1:$AA$1,0),FALSE)=0,"",VLOOKUP($A73,Sheet1!$A:$AA,MATCH(X$1,Sheet1!$A$1:$AA$1,0),FALSE))</f>
        <v/>
      </c>
      <c r="Y73" t="str">
        <f>IF(VLOOKUP($A73,Sheet1!$A:$AA,MATCH(Y$1,Sheet1!$A$1:$AA$1,0),FALSE)=0,"",VLOOKUP($A73,Sheet1!$A:$AA,MATCH(Y$1,Sheet1!$A$1:$AA$1,0),FALSE))</f>
        <v>4.5</v>
      </c>
      <c r="Z73" t="str">
        <f>IF(VLOOKUP($A73,Sheet1!$A:$AA,MATCH(Z$1,Sheet1!$A$1:$AA$1,0),FALSE)=0,"",VLOOKUP($A73,Sheet1!$A:$AA,MATCH(Z$1,Sheet1!$A$1:$AA$1,0),FALSE))</f>
        <v/>
      </c>
      <c r="AA73" t="str">
        <f ca="1">IF(VLOOKUP($A73,Sheet1!$A:$AA,MATCH(AA$1,Sheet1!$A$1:$AA$1,0),FALSE)=0,"",VLOOKUP($A73,Sheet1!$A:$AA,MATCH(AA$1,Sheet1!$A$1:$AA$1,0),FALSE))</f>
        <v/>
      </c>
    </row>
    <row r="74" spans="1:27" x14ac:dyDescent="0.25">
      <c r="A74">
        <v>10766296</v>
      </c>
      <c r="B74" t="str">
        <f>IF(VLOOKUP($A74,Sheet1!$A:$AA,MATCH(B$1,Sheet1!$A$1:$AA$1,0),FALSE)=0,"",VLOOKUP($A74,Sheet1!$A:$AA,MATCH(B$1,Sheet1!$A$1:$AA$1,0),FALSE))</f>
        <v>Puebla Prada, Enrique</v>
      </c>
      <c r="C74" t="str">
        <f>IF(VLOOKUP($A74,Sheet1!$A:$AA,MATCH(C$1,Sheet1!$A$1:$AA$1,0),FALSE)=0,"",VLOOKUP($A74,Sheet1!$A:$AA,MATCH(C$1,Sheet1!$A$1:$AA$1,0),FALSE))</f>
        <v>Puebla Prada</v>
      </c>
      <c r="D74" t="str">
        <f>IF(VLOOKUP($A74,Sheet1!$A:$AA,MATCH(D$1,Sheet1!$A$1:$AA$1,0),FALSE)=0,"",VLOOKUP($A74,Sheet1!$A:$AA,MATCH(D$1,Sheet1!$A$1:$AA$1,0),FALSE))</f>
        <v>Enrique</v>
      </c>
      <c r="E74" t="str">
        <f>IF(VLOOKUP($A74,Sheet1!$A:$AA,MATCH(E$1,Sheet1!$A$1:$AA$1,0),FALSE)=0,"",VLOOKUP($A74,Sheet1!$A:$AA,MATCH(E$1,Sheet1!$A$1:$AA$1,0),FALSE))</f>
        <v>Enrique Puebla Prada</v>
      </c>
      <c r="F74" t="str">
        <f>IF(VLOOKUP($A74,Sheet1!$A:$AA,MATCH(F$1,Sheet1!$A$1:$AA$1,0),FALSE)=0,"",VLOOKUP($A74,Sheet1!$A:$AA,MATCH(F$1,Sheet1!$A$1:$AA$1,0),FALSE))</f>
        <v/>
      </c>
      <c r="G74" t="str">
        <f>IF(VLOOKUP($A74,Sheet1!$A:$AA,MATCH(G$1,Sheet1!$A$1:$AA$1,0),FALSE)=0,"",VLOOKUP($A74,Sheet1!$A:$AA,MATCH(G$1,Sheet1!$A$1:$AA$1,0),FALSE))</f>
        <v/>
      </c>
      <c r="H74" t="str">
        <f>IF(VLOOKUP($A74,Sheet1!$A:$AA,MATCH(H$1,Sheet1!$A$1:$AA$1,0),FALSE)=0,"",VLOOKUP($A74,Sheet1!$A:$AA,MATCH(H$1,Sheet1!$A$1:$AA$1,0),FALSE))</f>
        <v/>
      </c>
      <c r="I74" t="str">
        <f>IF(VLOOKUP($A74,Sheet1!$A:$AA,MATCH(I$1,Sheet1!$A$1:$AA$1,0),FALSE)=0,"",VLOOKUP($A74,Sheet1!$A:$AA,MATCH(I$1,Sheet1!$A$1:$AA$1,0),FALSE))</f>
        <v/>
      </c>
      <c r="J74" t="str">
        <f>IF(VLOOKUP($A74,Sheet1!$A:$AA,MATCH(J$1,Sheet1!$A$1:$AA$1,0),FALSE)=0,"",VLOOKUP($A74,Sheet1!$A:$AA,MATCH(J$1,Sheet1!$A$1:$AA$1,0),FALSE))</f>
        <v/>
      </c>
      <c r="K74" t="str">
        <f>IF(VLOOKUP($A74,Sheet1!$A:$AA,MATCH(K$1,Sheet1!$A$1:$AA$1,0),FALSE)=0,"",VLOOKUP($A74,Sheet1!$A:$AA,MATCH(K$1,Sheet1!$A$1:$AA$1,0),FALSE))</f>
        <v>MADRID</v>
      </c>
      <c r="L74" t="str">
        <f>IF(VLOOKUP($A74,Sheet1!$A:$AA,MATCH(L$1,Sheet1!$A$1:$AA$1,0),FALSE)=0,"",VLOOKUP($A74,Sheet1!$A:$AA,MATCH(L$1,Sheet1!$A$1:$AA$1,0),FALSE))</f>
        <v/>
      </c>
      <c r="M74" t="str">
        <f>IF(VLOOKUP($A74,Sheet1!$A:$AA,MATCH(M$1,Sheet1!$A$1:$AA$1,0),FALSE)=0,"",VLOOKUP($A74,Sheet1!$A:$AA,MATCH(M$1,Sheet1!$A$1:$AA$1,0),FALSE))</f>
        <v/>
      </c>
      <c r="N74" t="str">
        <f>IF(VLOOKUP($A74,Sheet1!$A:$AA,MATCH(N$1,Sheet1!$A$1:$AA$1,0),FALSE)=0,"",VLOOKUP($A74,Sheet1!$A:$AA,MATCH(N$1,Sheet1!$A$1:$AA$1,0),FALSE))</f>
        <v/>
      </c>
      <c r="O74" t="str">
        <f>IF(VLOOKUP($A74,Sheet1!$A:$AA,MATCH(O$1,Sheet1!$A$1:$AA$1,0),FALSE)=0,"",VLOOKUP($A74,Sheet1!$A:$AA,MATCH(O$1,Sheet1!$A$1:$AA$1,0),FALSE))</f>
        <v/>
      </c>
      <c r="P74" t="str">
        <f>IF(VLOOKUP($A74,Sheet1!$A:$AA,MATCH(P$1,Sheet1!$A$1:$AA$1,0),FALSE)=0,"",VLOOKUP($A74,Sheet1!$A:$AA,MATCH(P$1,Sheet1!$A$1:$AA$1,0),FALSE))</f>
        <v/>
      </c>
      <c r="Q74" t="str">
        <f>IF(VLOOKUP($A74,Sheet1!$A:$AA,MATCH(Q$1,Sheet1!$A$1:$AA$1,0),FALSE)=0,"",VLOOKUP($A74,Sheet1!$A:$AA,MATCH(Q$1,Sheet1!$A$1:$AA$1,0),FALSE))</f>
        <v>M</v>
      </c>
      <c r="R74" s="2" t="str">
        <f>IF(VLOOKUP($A74,Sheet1!$A:$AA,MATCH(R$1,Sheet1!$A$1:$AA$1,0),FALSE)=0,"",VLOOKUP($A74,Sheet1!$A:$AA,MATCH(R$1,Sheet1!$A$1:$AA$1,0),FALSE))</f>
        <v/>
      </c>
      <c r="S74" t="str">
        <f>IF(VLOOKUP($A74,Sheet1!$A:$AA,MATCH(S$1,Sheet1!$A$1:$AA$1,0),FALSE)=0,"",VLOOKUP($A74,Sheet1!$A:$AA,MATCH(S$1,Sheet1!$A$1:$AA$1,0),FALSE))</f>
        <v/>
      </c>
      <c r="T74" t="str">
        <f>IF(VLOOKUP($A74,Sheet1!$A:$AA,MATCH(T$1,Sheet1!$A$1:$AA$1,0),FALSE)=0,"",VLOOKUP($A74,Sheet1!$A:$AA,MATCH(T$1,Sheet1!$A$1:$AA$1,0),FALSE))</f>
        <v/>
      </c>
      <c r="U74" t="str">
        <f>IF(VLOOKUP($A74,Sheet1!$A:$AA,MATCH(U$1,Sheet1!$A$1:$AA$1,0),FALSE)=0,"",VLOOKUP($A74,Sheet1!$A:$AA,MATCH(U$1,Sheet1!$A$1:$AA$1,0),FALSE))</f>
        <v>DX</v>
      </c>
      <c r="V74" t="str">
        <f>IF(VLOOKUP($A74,Sheet1!$A:$AA,MATCH(V$1,Sheet1!$A$1:$AA$1,0),FALSE)=0,"",VLOOKUP($A74,Sheet1!$A:$AA,MATCH(V$1,Sheet1!$A$1:$AA$1,0),FALSE))</f>
        <v/>
      </c>
      <c r="W74" t="str">
        <f>IF(VLOOKUP($A74,Sheet1!$A:$AA,MATCH(W$1,Sheet1!$A$1:$AA$1,0),FALSE)=0,"",VLOOKUP($A74,Sheet1!$A:$AA,MATCH(W$1,Sheet1!$A$1:$AA$1,0),FALSE))</f>
        <v/>
      </c>
      <c r="X74" t="str">
        <f>IF(VLOOKUP($A74,Sheet1!$A:$AA,MATCH(X$1,Sheet1!$A$1:$AA$1,0),FALSE)=0,"",VLOOKUP($A74,Sheet1!$A:$AA,MATCH(X$1,Sheet1!$A$1:$AA$1,0),FALSE))</f>
        <v/>
      </c>
      <c r="Y74" t="str">
        <f>IF(VLOOKUP($A74,Sheet1!$A:$AA,MATCH(Y$1,Sheet1!$A$1:$AA$1,0),FALSE)=0,"",VLOOKUP($A74,Sheet1!$A:$AA,MATCH(Y$1,Sheet1!$A$1:$AA$1,0),FALSE))</f>
        <v>4.5</v>
      </c>
      <c r="Z74" t="str">
        <f>IF(VLOOKUP($A74,Sheet1!$A:$AA,MATCH(Z$1,Sheet1!$A$1:$AA$1,0),FALSE)=0,"",VLOOKUP($A74,Sheet1!$A:$AA,MATCH(Z$1,Sheet1!$A$1:$AA$1,0),FALSE))</f>
        <v/>
      </c>
      <c r="AA74" t="str">
        <f ca="1">IF(VLOOKUP($A74,Sheet1!$A:$AA,MATCH(AA$1,Sheet1!$A$1:$AA$1,0),FALSE)=0,"",VLOOKUP($A74,Sheet1!$A:$AA,MATCH(AA$1,Sheet1!$A$1:$AA$1,0),FALSE))</f>
        <v/>
      </c>
    </row>
    <row r="75" spans="1:27" x14ac:dyDescent="0.25">
      <c r="A75">
        <v>16953053</v>
      </c>
      <c r="B75" t="str">
        <f>IF(VLOOKUP($A75,Sheet1!$A:$AA,MATCH(B$1,Sheet1!$A$1:$AA$1,0),FALSE)=0,"",VLOOKUP($A75,Sheet1!$A:$AA,MATCH(B$1,Sheet1!$A$1:$AA$1,0),FALSE))</f>
        <v>Ballesteros Aguilar, Ruben</v>
      </c>
      <c r="C75" t="str">
        <f>IF(VLOOKUP($A75,Sheet1!$A:$AA,MATCH(C$1,Sheet1!$A$1:$AA$1,0),FALSE)=0,"",VLOOKUP($A75,Sheet1!$A:$AA,MATCH(C$1,Sheet1!$A$1:$AA$1,0),FALSE))</f>
        <v>Ballesteros Aguilar</v>
      </c>
      <c r="D75" t="str">
        <f>IF(VLOOKUP($A75,Sheet1!$A:$AA,MATCH(D$1,Sheet1!$A$1:$AA$1,0),FALSE)=0,"",VLOOKUP($A75,Sheet1!$A:$AA,MATCH(D$1,Sheet1!$A$1:$AA$1,0),FALSE))</f>
        <v>Ruben</v>
      </c>
      <c r="E75" t="str">
        <f>IF(VLOOKUP($A75,Sheet1!$A:$AA,MATCH(E$1,Sheet1!$A$1:$AA$1,0),FALSE)=0,"",VLOOKUP($A75,Sheet1!$A:$AA,MATCH(E$1,Sheet1!$A$1:$AA$1,0),FALSE))</f>
        <v>Ruben Ballesteros Aguilar</v>
      </c>
      <c r="F75" t="str">
        <f>IF(VLOOKUP($A75,Sheet1!$A:$AA,MATCH(F$1,Sheet1!$A$1:$AA$1,0),FALSE)=0,"",VLOOKUP($A75,Sheet1!$A:$AA,MATCH(F$1,Sheet1!$A$1:$AA$1,0),FALSE))</f>
        <v/>
      </c>
      <c r="G75" t="str">
        <f>IF(VLOOKUP($A75,Sheet1!$A:$AA,MATCH(G$1,Sheet1!$A$1:$AA$1,0),FALSE)=0,"",VLOOKUP($A75,Sheet1!$A:$AA,MATCH(G$1,Sheet1!$A$1:$AA$1,0),FALSE))</f>
        <v/>
      </c>
      <c r="H75" t="str">
        <f>IF(VLOOKUP($A75,Sheet1!$A:$AA,MATCH(H$1,Sheet1!$A$1:$AA$1,0),FALSE)=0,"",VLOOKUP($A75,Sheet1!$A:$AA,MATCH(H$1,Sheet1!$A$1:$AA$1,0),FALSE))</f>
        <v/>
      </c>
      <c r="I75" t="str">
        <f>IF(VLOOKUP($A75,Sheet1!$A:$AA,MATCH(I$1,Sheet1!$A$1:$AA$1,0),FALSE)=0,"",VLOOKUP($A75,Sheet1!$A:$AA,MATCH(I$1,Sheet1!$A$1:$AA$1,0),FALSE))</f>
        <v/>
      </c>
      <c r="J75" t="str">
        <f>IF(VLOOKUP($A75,Sheet1!$A:$AA,MATCH(J$1,Sheet1!$A$1:$AA$1,0),FALSE)=0,"",VLOOKUP($A75,Sheet1!$A:$AA,MATCH(J$1,Sheet1!$A$1:$AA$1,0),FALSE))</f>
        <v/>
      </c>
      <c r="K75" t="str">
        <f>IF(VLOOKUP($A75,Sheet1!$A:$AA,MATCH(K$1,Sheet1!$A$1:$AA$1,0),FALSE)=0,"",VLOOKUP($A75,Sheet1!$A:$AA,MATCH(K$1,Sheet1!$A$1:$AA$1,0),FALSE))</f>
        <v>ANDALUCIA</v>
      </c>
      <c r="L75" t="str">
        <f>IF(VLOOKUP($A75,Sheet1!$A:$AA,MATCH(L$1,Sheet1!$A$1:$AA$1,0),FALSE)=0,"",VLOOKUP($A75,Sheet1!$A:$AA,MATCH(L$1,Sheet1!$A$1:$AA$1,0),FALSE))</f>
        <v/>
      </c>
      <c r="M75" t="str">
        <f>IF(VLOOKUP($A75,Sheet1!$A:$AA,MATCH(M$1,Sheet1!$A$1:$AA$1,0),FALSE)=0,"",VLOOKUP($A75,Sheet1!$A:$AA,MATCH(M$1,Sheet1!$A$1:$AA$1,0),FALSE))</f>
        <v/>
      </c>
      <c r="N75" t="str">
        <f>IF(VLOOKUP($A75,Sheet1!$A:$AA,MATCH(N$1,Sheet1!$A$1:$AA$1,0),FALSE)=0,"",VLOOKUP($A75,Sheet1!$A:$AA,MATCH(N$1,Sheet1!$A$1:$AA$1,0),FALSE))</f>
        <v/>
      </c>
      <c r="O75" t="str">
        <f>IF(VLOOKUP($A75,Sheet1!$A:$AA,MATCH(O$1,Sheet1!$A$1:$AA$1,0),FALSE)=0,"",VLOOKUP($A75,Sheet1!$A:$AA,MATCH(O$1,Sheet1!$A$1:$AA$1,0),FALSE))</f>
        <v/>
      </c>
      <c r="P75" t="str">
        <f>IF(VLOOKUP($A75,Sheet1!$A:$AA,MATCH(P$1,Sheet1!$A$1:$AA$1,0),FALSE)=0,"",VLOOKUP($A75,Sheet1!$A:$AA,MATCH(P$1,Sheet1!$A$1:$AA$1,0),FALSE))</f>
        <v/>
      </c>
      <c r="Q75" t="str">
        <f>IF(VLOOKUP($A75,Sheet1!$A:$AA,MATCH(Q$1,Sheet1!$A$1:$AA$1,0),FALSE)=0,"",VLOOKUP($A75,Sheet1!$A:$AA,MATCH(Q$1,Sheet1!$A$1:$AA$1,0),FALSE))</f>
        <v>M</v>
      </c>
      <c r="R75" s="2" t="str">
        <f>IF(VLOOKUP($A75,Sheet1!$A:$AA,MATCH(R$1,Sheet1!$A$1:$AA$1,0),FALSE)=0,"",VLOOKUP($A75,Sheet1!$A:$AA,MATCH(R$1,Sheet1!$A$1:$AA$1,0),FALSE))</f>
        <v/>
      </c>
      <c r="S75" t="str">
        <f>IF(VLOOKUP($A75,Sheet1!$A:$AA,MATCH(S$1,Sheet1!$A$1:$AA$1,0),FALSE)=0,"",VLOOKUP($A75,Sheet1!$A:$AA,MATCH(S$1,Sheet1!$A$1:$AA$1,0),FALSE))</f>
        <v/>
      </c>
      <c r="T75" t="str">
        <f>IF(VLOOKUP($A75,Sheet1!$A:$AA,MATCH(T$1,Sheet1!$A$1:$AA$1,0),FALSE)=0,"",VLOOKUP($A75,Sheet1!$A:$AA,MATCH(T$1,Sheet1!$A$1:$AA$1,0),FALSE))</f>
        <v/>
      </c>
      <c r="U75" t="str">
        <f>IF(VLOOKUP($A75,Sheet1!$A:$AA,MATCH(U$1,Sheet1!$A$1:$AA$1,0),FALSE)=0,"",VLOOKUP($A75,Sheet1!$A:$AA,MATCH(U$1,Sheet1!$A$1:$AA$1,0),FALSE))</f>
        <v>DX</v>
      </c>
      <c r="V75" t="str">
        <f>IF(VLOOKUP($A75,Sheet1!$A:$AA,MATCH(V$1,Sheet1!$A$1:$AA$1,0),FALSE)=0,"",VLOOKUP($A75,Sheet1!$A:$AA,MATCH(V$1,Sheet1!$A$1:$AA$1,0),FALSE))</f>
        <v/>
      </c>
      <c r="W75" t="str">
        <f>IF(VLOOKUP($A75,Sheet1!$A:$AA,MATCH(W$1,Sheet1!$A$1:$AA$1,0),FALSE)=0,"",VLOOKUP($A75,Sheet1!$A:$AA,MATCH(W$1,Sheet1!$A$1:$AA$1,0),FALSE))</f>
        <v/>
      </c>
      <c r="X75" t="str">
        <f>IF(VLOOKUP($A75,Sheet1!$A:$AA,MATCH(X$1,Sheet1!$A$1:$AA$1,0),FALSE)=0,"",VLOOKUP($A75,Sheet1!$A:$AA,MATCH(X$1,Sheet1!$A$1:$AA$1,0),FALSE))</f>
        <v/>
      </c>
      <c r="Y75" t="str">
        <f>IF(VLOOKUP($A75,Sheet1!$A:$AA,MATCH(Y$1,Sheet1!$A$1:$AA$1,0),FALSE)=0,"",VLOOKUP($A75,Sheet1!$A:$AA,MATCH(Y$1,Sheet1!$A$1:$AA$1,0),FALSE))</f>
        <v>4.5</v>
      </c>
      <c r="Z75" t="str">
        <f>IF(VLOOKUP($A75,Sheet1!$A:$AA,MATCH(Z$1,Sheet1!$A$1:$AA$1,0),FALSE)=0,"",VLOOKUP($A75,Sheet1!$A:$AA,MATCH(Z$1,Sheet1!$A$1:$AA$1,0),FALSE))</f>
        <v/>
      </c>
      <c r="AA75" t="str">
        <f ca="1">IF(VLOOKUP($A75,Sheet1!$A:$AA,MATCH(AA$1,Sheet1!$A$1:$AA$1,0),FALSE)=0,"",VLOOKUP($A75,Sheet1!$A:$AA,MATCH(AA$1,Sheet1!$A$1:$AA$1,0),FALSE))</f>
        <v/>
      </c>
    </row>
    <row r="76" spans="1:27" x14ac:dyDescent="0.25">
      <c r="A76">
        <v>10765983</v>
      </c>
      <c r="B76" t="str">
        <f>IF(VLOOKUP($A76,Sheet1!$A:$AA,MATCH(B$1,Sheet1!$A$1:$AA$1,0),FALSE)=0,"",VLOOKUP($A76,Sheet1!$A:$AA,MATCH(B$1,Sheet1!$A$1:$AA$1,0),FALSE))</f>
        <v>Blanco Acedo, Francisco Javier</v>
      </c>
      <c r="C76" t="str">
        <f>IF(VLOOKUP($A76,Sheet1!$A:$AA,MATCH(C$1,Sheet1!$A$1:$AA$1,0),FALSE)=0,"",VLOOKUP($A76,Sheet1!$A:$AA,MATCH(C$1,Sheet1!$A$1:$AA$1,0),FALSE))</f>
        <v>Blanco Acedo</v>
      </c>
      <c r="D76" t="str">
        <f>IF(VLOOKUP($A76,Sheet1!$A:$AA,MATCH(D$1,Sheet1!$A$1:$AA$1,0),FALSE)=0,"",VLOOKUP($A76,Sheet1!$A:$AA,MATCH(D$1,Sheet1!$A$1:$AA$1,0),FALSE))</f>
        <v>Francisco Javier</v>
      </c>
      <c r="E76" t="str">
        <f>IF(VLOOKUP($A76,Sheet1!$A:$AA,MATCH(E$1,Sheet1!$A$1:$AA$1,0),FALSE)=0,"",VLOOKUP($A76,Sheet1!$A:$AA,MATCH(E$1,Sheet1!$A$1:$AA$1,0),FALSE))</f>
        <v>Francisco Javier Blanco Acedo</v>
      </c>
      <c r="F76" t="str">
        <f>IF(VLOOKUP($A76,Sheet1!$A:$AA,MATCH(F$1,Sheet1!$A$1:$AA$1,0),FALSE)=0,"",VLOOKUP($A76,Sheet1!$A:$AA,MATCH(F$1,Sheet1!$A$1:$AA$1,0),FALSE))</f>
        <v/>
      </c>
      <c r="G76" t="str">
        <f>IF(VLOOKUP($A76,Sheet1!$A:$AA,MATCH(G$1,Sheet1!$A$1:$AA$1,0),FALSE)=0,"",VLOOKUP($A76,Sheet1!$A:$AA,MATCH(G$1,Sheet1!$A$1:$AA$1,0),FALSE))</f>
        <v/>
      </c>
      <c r="H76" t="str">
        <f>IF(VLOOKUP($A76,Sheet1!$A:$AA,MATCH(H$1,Sheet1!$A$1:$AA$1,0),FALSE)=0,"",VLOOKUP($A76,Sheet1!$A:$AA,MATCH(H$1,Sheet1!$A$1:$AA$1,0),FALSE))</f>
        <v/>
      </c>
      <c r="I76" t="str">
        <f>IF(VLOOKUP($A76,Sheet1!$A:$AA,MATCH(I$1,Sheet1!$A$1:$AA$1,0),FALSE)=0,"",VLOOKUP($A76,Sheet1!$A:$AA,MATCH(I$1,Sheet1!$A$1:$AA$1,0),FALSE))</f>
        <v/>
      </c>
      <c r="J76" t="str">
        <f>IF(VLOOKUP($A76,Sheet1!$A:$AA,MATCH(J$1,Sheet1!$A$1:$AA$1,0),FALSE)=0,"",VLOOKUP($A76,Sheet1!$A:$AA,MATCH(J$1,Sheet1!$A$1:$AA$1,0),FALSE))</f>
        <v/>
      </c>
      <c r="K76" t="str">
        <f>IF(VLOOKUP($A76,Sheet1!$A:$AA,MATCH(K$1,Sheet1!$A$1:$AA$1,0),FALSE)=0,"",VLOOKUP($A76,Sheet1!$A:$AA,MATCH(K$1,Sheet1!$A$1:$AA$1,0),FALSE))</f>
        <v>MADRID</v>
      </c>
      <c r="L76" t="str">
        <f>IF(VLOOKUP($A76,Sheet1!$A:$AA,MATCH(L$1,Sheet1!$A$1:$AA$1,0),FALSE)=0,"",VLOOKUP($A76,Sheet1!$A:$AA,MATCH(L$1,Sheet1!$A$1:$AA$1,0),FALSE))</f>
        <v/>
      </c>
      <c r="M76" t="str">
        <f>IF(VLOOKUP($A76,Sheet1!$A:$AA,MATCH(M$1,Sheet1!$A$1:$AA$1,0),FALSE)=0,"",VLOOKUP($A76,Sheet1!$A:$AA,MATCH(M$1,Sheet1!$A$1:$AA$1,0),FALSE))</f>
        <v/>
      </c>
      <c r="N76" t="str">
        <f>IF(VLOOKUP($A76,Sheet1!$A:$AA,MATCH(N$1,Sheet1!$A$1:$AA$1,0),FALSE)=0,"",VLOOKUP($A76,Sheet1!$A:$AA,MATCH(N$1,Sheet1!$A$1:$AA$1,0),FALSE))</f>
        <v/>
      </c>
      <c r="O76" t="str">
        <f>IF(VLOOKUP($A76,Sheet1!$A:$AA,MATCH(O$1,Sheet1!$A$1:$AA$1,0),FALSE)=0,"",VLOOKUP($A76,Sheet1!$A:$AA,MATCH(O$1,Sheet1!$A$1:$AA$1,0),FALSE))</f>
        <v/>
      </c>
      <c r="P76" t="str">
        <f>IF(VLOOKUP($A76,Sheet1!$A:$AA,MATCH(P$1,Sheet1!$A$1:$AA$1,0),FALSE)=0,"",VLOOKUP($A76,Sheet1!$A:$AA,MATCH(P$1,Sheet1!$A$1:$AA$1,0),FALSE))</f>
        <v/>
      </c>
      <c r="Q76" t="str">
        <f>IF(VLOOKUP($A76,Sheet1!$A:$AA,MATCH(Q$1,Sheet1!$A$1:$AA$1,0),FALSE)=0,"",VLOOKUP($A76,Sheet1!$A:$AA,MATCH(Q$1,Sheet1!$A$1:$AA$1,0),FALSE))</f>
        <v>M</v>
      </c>
      <c r="R76" s="2" t="str">
        <f>IF(VLOOKUP($A76,Sheet1!$A:$AA,MATCH(R$1,Sheet1!$A$1:$AA$1,0),FALSE)=0,"",VLOOKUP($A76,Sheet1!$A:$AA,MATCH(R$1,Sheet1!$A$1:$AA$1,0),FALSE))</f>
        <v/>
      </c>
      <c r="S76" t="str">
        <f>IF(VLOOKUP($A76,Sheet1!$A:$AA,MATCH(S$1,Sheet1!$A$1:$AA$1,0),FALSE)=0,"",VLOOKUP($A76,Sheet1!$A:$AA,MATCH(S$1,Sheet1!$A$1:$AA$1,0),FALSE))</f>
        <v/>
      </c>
      <c r="T76" t="str">
        <f>IF(VLOOKUP($A76,Sheet1!$A:$AA,MATCH(T$1,Sheet1!$A$1:$AA$1,0),FALSE)=0,"",VLOOKUP($A76,Sheet1!$A:$AA,MATCH(T$1,Sheet1!$A$1:$AA$1,0),FALSE))</f>
        <v/>
      </c>
      <c r="U76" t="str">
        <f>IF(VLOOKUP($A76,Sheet1!$A:$AA,MATCH(U$1,Sheet1!$A$1:$AA$1,0),FALSE)=0,"",VLOOKUP($A76,Sheet1!$A:$AA,MATCH(U$1,Sheet1!$A$1:$AA$1,0),FALSE))</f>
        <v>DX</v>
      </c>
      <c r="V76" t="str">
        <f>IF(VLOOKUP($A76,Sheet1!$A:$AA,MATCH(V$1,Sheet1!$A$1:$AA$1,0),FALSE)=0,"",VLOOKUP($A76,Sheet1!$A:$AA,MATCH(V$1,Sheet1!$A$1:$AA$1,0),FALSE))</f>
        <v/>
      </c>
      <c r="W76" t="str">
        <f>IF(VLOOKUP($A76,Sheet1!$A:$AA,MATCH(W$1,Sheet1!$A$1:$AA$1,0),FALSE)=0,"",VLOOKUP($A76,Sheet1!$A:$AA,MATCH(W$1,Sheet1!$A$1:$AA$1,0),FALSE))</f>
        <v/>
      </c>
      <c r="X76" t="str">
        <f>IF(VLOOKUP($A76,Sheet1!$A:$AA,MATCH(X$1,Sheet1!$A$1:$AA$1,0),FALSE)=0,"",VLOOKUP($A76,Sheet1!$A:$AA,MATCH(X$1,Sheet1!$A$1:$AA$1,0),FALSE))</f>
        <v/>
      </c>
      <c r="Y76" t="str">
        <f>IF(VLOOKUP($A76,Sheet1!$A:$AA,MATCH(Y$1,Sheet1!$A$1:$AA$1,0),FALSE)=0,"",VLOOKUP($A76,Sheet1!$A:$AA,MATCH(Y$1,Sheet1!$A$1:$AA$1,0),FALSE))</f>
        <v>4.5</v>
      </c>
      <c r="Z76" t="str">
        <f>IF(VLOOKUP($A76,Sheet1!$A:$AA,MATCH(Z$1,Sheet1!$A$1:$AA$1,0),FALSE)=0,"",VLOOKUP($A76,Sheet1!$A:$AA,MATCH(Z$1,Sheet1!$A$1:$AA$1,0),FALSE))</f>
        <v/>
      </c>
      <c r="AA76" t="str">
        <f ca="1">IF(VLOOKUP($A76,Sheet1!$A:$AA,MATCH(AA$1,Sheet1!$A$1:$AA$1,0),FALSE)=0,"",VLOOKUP($A76,Sheet1!$A:$AA,MATCH(AA$1,Sheet1!$A$1:$AA$1,0),FALSE))</f>
        <v/>
      </c>
    </row>
    <row r="77" spans="1:27" x14ac:dyDescent="0.25">
      <c r="A77">
        <v>16953061</v>
      </c>
      <c r="B77" t="str">
        <f>IF(VLOOKUP($A77,Sheet1!$A:$AA,MATCH(B$1,Sheet1!$A$1:$AA$1,0),FALSE)=0,"",VLOOKUP($A77,Sheet1!$A:$AA,MATCH(B$1,Sheet1!$A$1:$AA$1,0),FALSE))</f>
        <v>García de la Plaza Guardeño, Antonio</v>
      </c>
      <c r="C77" t="str">
        <f>IF(VLOOKUP($A77,Sheet1!$A:$AA,MATCH(C$1,Sheet1!$A$1:$AA$1,0),FALSE)=0,"",VLOOKUP($A77,Sheet1!$A:$AA,MATCH(C$1,Sheet1!$A$1:$AA$1,0),FALSE))</f>
        <v>García de la Plaza Guardeño</v>
      </c>
      <c r="D77" t="str">
        <f>IF(VLOOKUP($A77,Sheet1!$A:$AA,MATCH(D$1,Sheet1!$A$1:$AA$1,0),FALSE)=0,"",VLOOKUP($A77,Sheet1!$A:$AA,MATCH(D$1,Sheet1!$A$1:$AA$1,0),FALSE))</f>
        <v>Antonio</v>
      </c>
      <c r="E77" t="str">
        <f>IF(VLOOKUP($A77,Sheet1!$A:$AA,MATCH(E$1,Sheet1!$A$1:$AA$1,0),FALSE)=0,"",VLOOKUP($A77,Sheet1!$A:$AA,MATCH(E$1,Sheet1!$A$1:$AA$1,0),FALSE))</f>
        <v>Antonio García de la Plaza Guardeño</v>
      </c>
      <c r="F77" t="str">
        <f>IF(VLOOKUP($A77,Sheet1!$A:$AA,MATCH(F$1,Sheet1!$A$1:$AA$1,0),FALSE)=0,"",VLOOKUP($A77,Sheet1!$A:$AA,MATCH(F$1,Sheet1!$A$1:$AA$1,0),FALSE))</f>
        <v/>
      </c>
      <c r="G77" t="str">
        <f>IF(VLOOKUP($A77,Sheet1!$A:$AA,MATCH(G$1,Sheet1!$A$1:$AA$1,0),FALSE)=0,"",VLOOKUP($A77,Sheet1!$A:$AA,MATCH(G$1,Sheet1!$A$1:$AA$1,0),FALSE))</f>
        <v/>
      </c>
      <c r="H77" t="str">
        <f>IF(VLOOKUP($A77,Sheet1!$A:$AA,MATCH(H$1,Sheet1!$A$1:$AA$1,0),FALSE)=0,"",VLOOKUP($A77,Sheet1!$A:$AA,MATCH(H$1,Sheet1!$A$1:$AA$1,0),FALSE))</f>
        <v/>
      </c>
      <c r="I77" t="str">
        <f>IF(VLOOKUP($A77,Sheet1!$A:$AA,MATCH(I$1,Sheet1!$A$1:$AA$1,0),FALSE)=0,"",VLOOKUP($A77,Sheet1!$A:$AA,MATCH(I$1,Sheet1!$A$1:$AA$1,0),FALSE))</f>
        <v/>
      </c>
      <c r="J77" t="str">
        <f>IF(VLOOKUP($A77,Sheet1!$A:$AA,MATCH(J$1,Sheet1!$A$1:$AA$1,0),FALSE)=0,"",VLOOKUP($A77,Sheet1!$A:$AA,MATCH(J$1,Sheet1!$A$1:$AA$1,0),FALSE))</f>
        <v/>
      </c>
      <c r="K77" t="str">
        <f>IF(VLOOKUP($A77,Sheet1!$A:$AA,MATCH(K$1,Sheet1!$A$1:$AA$1,0),FALSE)=0,"",VLOOKUP($A77,Sheet1!$A:$AA,MATCH(K$1,Sheet1!$A$1:$AA$1,0),FALSE))</f>
        <v>ANDALUCIA</v>
      </c>
      <c r="L77" t="str">
        <f>IF(VLOOKUP($A77,Sheet1!$A:$AA,MATCH(L$1,Sheet1!$A$1:$AA$1,0),FALSE)=0,"",VLOOKUP($A77,Sheet1!$A:$AA,MATCH(L$1,Sheet1!$A$1:$AA$1,0),FALSE))</f>
        <v/>
      </c>
      <c r="M77" t="str">
        <f>IF(VLOOKUP($A77,Sheet1!$A:$AA,MATCH(M$1,Sheet1!$A$1:$AA$1,0),FALSE)=0,"",VLOOKUP($A77,Sheet1!$A:$AA,MATCH(M$1,Sheet1!$A$1:$AA$1,0),FALSE))</f>
        <v/>
      </c>
      <c r="N77" t="str">
        <f>IF(VLOOKUP($A77,Sheet1!$A:$AA,MATCH(N$1,Sheet1!$A$1:$AA$1,0),FALSE)=0,"",VLOOKUP($A77,Sheet1!$A:$AA,MATCH(N$1,Sheet1!$A$1:$AA$1,0),FALSE))</f>
        <v/>
      </c>
      <c r="O77" t="str">
        <f>IF(VLOOKUP($A77,Sheet1!$A:$AA,MATCH(O$1,Sheet1!$A$1:$AA$1,0),FALSE)=0,"",VLOOKUP($A77,Sheet1!$A:$AA,MATCH(O$1,Sheet1!$A$1:$AA$1,0),FALSE))</f>
        <v/>
      </c>
      <c r="P77" t="str">
        <f>IF(VLOOKUP($A77,Sheet1!$A:$AA,MATCH(P$1,Sheet1!$A$1:$AA$1,0),FALSE)=0,"",VLOOKUP($A77,Sheet1!$A:$AA,MATCH(P$1,Sheet1!$A$1:$AA$1,0),FALSE))</f>
        <v/>
      </c>
      <c r="Q77" t="str">
        <f>IF(VLOOKUP($A77,Sheet1!$A:$AA,MATCH(Q$1,Sheet1!$A$1:$AA$1,0),FALSE)=0,"",VLOOKUP($A77,Sheet1!$A:$AA,MATCH(Q$1,Sheet1!$A$1:$AA$1,0),FALSE))</f>
        <v>M</v>
      </c>
      <c r="R77" s="2" t="str">
        <f>IF(VLOOKUP($A77,Sheet1!$A:$AA,MATCH(R$1,Sheet1!$A$1:$AA$1,0),FALSE)=0,"",VLOOKUP($A77,Sheet1!$A:$AA,MATCH(R$1,Sheet1!$A$1:$AA$1,0),FALSE))</f>
        <v/>
      </c>
      <c r="S77" t="str">
        <f>IF(VLOOKUP($A77,Sheet1!$A:$AA,MATCH(S$1,Sheet1!$A$1:$AA$1,0),FALSE)=0,"",VLOOKUP($A77,Sheet1!$A:$AA,MATCH(S$1,Sheet1!$A$1:$AA$1,0),FALSE))</f>
        <v/>
      </c>
      <c r="T77" t="str">
        <f>IF(VLOOKUP($A77,Sheet1!$A:$AA,MATCH(T$1,Sheet1!$A$1:$AA$1,0),FALSE)=0,"",VLOOKUP($A77,Sheet1!$A:$AA,MATCH(T$1,Sheet1!$A$1:$AA$1,0),FALSE))</f>
        <v/>
      </c>
      <c r="U77" t="str">
        <f>IF(VLOOKUP($A77,Sheet1!$A:$AA,MATCH(U$1,Sheet1!$A$1:$AA$1,0),FALSE)=0,"",VLOOKUP($A77,Sheet1!$A:$AA,MATCH(U$1,Sheet1!$A$1:$AA$1,0),FALSE))</f>
        <v>DX</v>
      </c>
      <c r="V77" t="str">
        <f>IF(VLOOKUP($A77,Sheet1!$A:$AA,MATCH(V$1,Sheet1!$A$1:$AA$1,0),FALSE)=0,"",VLOOKUP($A77,Sheet1!$A:$AA,MATCH(V$1,Sheet1!$A$1:$AA$1,0),FALSE))</f>
        <v/>
      </c>
      <c r="W77" t="str">
        <f>IF(VLOOKUP($A77,Sheet1!$A:$AA,MATCH(W$1,Sheet1!$A$1:$AA$1,0),FALSE)=0,"",VLOOKUP($A77,Sheet1!$A:$AA,MATCH(W$1,Sheet1!$A$1:$AA$1,0),FALSE))</f>
        <v/>
      </c>
      <c r="X77" t="str">
        <f>IF(VLOOKUP($A77,Sheet1!$A:$AA,MATCH(X$1,Sheet1!$A$1:$AA$1,0),FALSE)=0,"",VLOOKUP($A77,Sheet1!$A:$AA,MATCH(X$1,Sheet1!$A$1:$AA$1,0),FALSE))</f>
        <v/>
      </c>
      <c r="Y77" t="str">
        <f>IF(VLOOKUP($A77,Sheet1!$A:$AA,MATCH(Y$1,Sheet1!$A$1:$AA$1,0),FALSE)=0,"",VLOOKUP($A77,Sheet1!$A:$AA,MATCH(Y$1,Sheet1!$A$1:$AA$1,0),FALSE))</f>
        <v>4.5</v>
      </c>
      <c r="Z77" t="str">
        <f>IF(VLOOKUP($A77,Sheet1!$A:$AA,MATCH(Z$1,Sheet1!$A$1:$AA$1,0),FALSE)=0,"",VLOOKUP($A77,Sheet1!$A:$AA,MATCH(Z$1,Sheet1!$A$1:$AA$1,0),FALSE))</f>
        <v/>
      </c>
      <c r="AA77" t="str">
        <f ca="1">IF(VLOOKUP($A77,Sheet1!$A:$AA,MATCH(AA$1,Sheet1!$A$1:$AA$1,0),FALSE)=0,"",VLOOKUP($A77,Sheet1!$A:$AA,MATCH(AA$1,Sheet1!$A$1:$AA$1,0),FALSE))</f>
        <v/>
      </c>
    </row>
    <row r="78" spans="1:27" x14ac:dyDescent="0.25">
      <c r="A78">
        <v>10605866</v>
      </c>
      <c r="B78" t="str">
        <f>IF(VLOOKUP($A78,Sheet1!$A:$AA,MATCH(B$1,Sheet1!$A$1:$AA$1,0),FALSE)=0,"",VLOOKUP($A78,Sheet1!$A:$AA,MATCH(B$1,Sheet1!$A$1:$AA$1,0),FALSE))</f>
        <v>Parrilla Garcia, José Maria</v>
      </c>
      <c r="C78" t="str">
        <f>IF(VLOOKUP($A78,Sheet1!$A:$AA,MATCH(C$1,Sheet1!$A$1:$AA$1,0),FALSE)=0,"",VLOOKUP($A78,Sheet1!$A:$AA,MATCH(C$1,Sheet1!$A$1:$AA$1,0),FALSE))</f>
        <v>Parrilla Garcia</v>
      </c>
      <c r="D78" t="str">
        <f>IF(VLOOKUP($A78,Sheet1!$A:$AA,MATCH(D$1,Sheet1!$A$1:$AA$1,0),FALSE)=0,"",VLOOKUP($A78,Sheet1!$A:$AA,MATCH(D$1,Sheet1!$A$1:$AA$1,0),FALSE))</f>
        <v>José Maria</v>
      </c>
      <c r="E78" t="str">
        <f>IF(VLOOKUP($A78,Sheet1!$A:$AA,MATCH(E$1,Sheet1!$A$1:$AA$1,0),FALSE)=0,"",VLOOKUP($A78,Sheet1!$A:$AA,MATCH(E$1,Sheet1!$A$1:$AA$1,0),FALSE))</f>
        <v>José Maria Parrilla Garcia</v>
      </c>
      <c r="F78" t="str">
        <f>IF(VLOOKUP($A78,Sheet1!$A:$AA,MATCH(F$1,Sheet1!$A$1:$AA$1,0),FALSE)=0,"",VLOOKUP($A78,Sheet1!$A:$AA,MATCH(F$1,Sheet1!$A$1:$AA$1,0),FALSE))</f>
        <v/>
      </c>
      <c r="G78" t="str">
        <f>IF(VLOOKUP($A78,Sheet1!$A:$AA,MATCH(G$1,Sheet1!$A$1:$AA$1,0),FALSE)=0,"",VLOOKUP($A78,Sheet1!$A:$AA,MATCH(G$1,Sheet1!$A$1:$AA$1,0),FALSE))</f>
        <v/>
      </c>
      <c r="H78" t="str">
        <f>IF(VLOOKUP($A78,Sheet1!$A:$AA,MATCH(H$1,Sheet1!$A$1:$AA$1,0),FALSE)=0,"",VLOOKUP($A78,Sheet1!$A:$AA,MATCH(H$1,Sheet1!$A$1:$AA$1,0),FALSE))</f>
        <v/>
      </c>
      <c r="I78" t="str">
        <f>IF(VLOOKUP($A78,Sheet1!$A:$AA,MATCH(I$1,Sheet1!$A$1:$AA$1,0),FALSE)=0,"",VLOOKUP($A78,Sheet1!$A:$AA,MATCH(I$1,Sheet1!$A$1:$AA$1,0),FALSE))</f>
        <v/>
      </c>
      <c r="J78" t="str">
        <f>IF(VLOOKUP($A78,Sheet1!$A:$AA,MATCH(J$1,Sheet1!$A$1:$AA$1,0),FALSE)=0,"",VLOOKUP($A78,Sheet1!$A:$AA,MATCH(J$1,Sheet1!$A$1:$AA$1,0),FALSE))</f>
        <v/>
      </c>
      <c r="K78" t="str">
        <f>IF(VLOOKUP($A78,Sheet1!$A:$AA,MATCH(K$1,Sheet1!$A$1:$AA$1,0),FALSE)=0,"",VLOOKUP($A78,Sheet1!$A:$AA,MATCH(K$1,Sheet1!$A$1:$AA$1,0),FALSE))</f>
        <v>MADRID</v>
      </c>
      <c r="L78" t="str">
        <f>IF(VLOOKUP($A78,Sheet1!$A:$AA,MATCH(L$1,Sheet1!$A$1:$AA$1,0),FALSE)=0,"",VLOOKUP($A78,Sheet1!$A:$AA,MATCH(L$1,Sheet1!$A$1:$AA$1,0),FALSE))</f>
        <v/>
      </c>
      <c r="M78" t="str">
        <f>IF(VLOOKUP($A78,Sheet1!$A:$AA,MATCH(M$1,Sheet1!$A$1:$AA$1,0),FALSE)=0,"",VLOOKUP($A78,Sheet1!$A:$AA,MATCH(M$1,Sheet1!$A$1:$AA$1,0),FALSE))</f>
        <v/>
      </c>
      <c r="N78" t="str">
        <f>IF(VLOOKUP($A78,Sheet1!$A:$AA,MATCH(N$1,Sheet1!$A$1:$AA$1,0),FALSE)=0,"",VLOOKUP($A78,Sheet1!$A:$AA,MATCH(N$1,Sheet1!$A$1:$AA$1,0),FALSE))</f>
        <v/>
      </c>
      <c r="O78" t="str">
        <f>IF(VLOOKUP($A78,Sheet1!$A:$AA,MATCH(O$1,Sheet1!$A$1:$AA$1,0),FALSE)=0,"",VLOOKUP($A78,Sheet1!$A:$AA,MATCH(O$1,Sheet1!$A$1:$AA$1,0),FALSE))</f>
        <v/>
      </c>
      <c r="P78" t="str">
        <f>IF(VLOOKUP($A78,Sheet1!$A:$AA,MATCH(P$1,Sheet1!$A$1:$AA$1,0),FALSE)=0,"",VLOOKUP($A78,Sheet1!$A:$AA,MATCH(P$1,Sheet1!$A$1:$AA$1,0),FALSE))</f>
        <v/>
      </c>
      <c r="Q78" t="str">
        <f>IF(VLOOKUP($A78,Sheet1!$A:$AA,MATCH(Q$1,Sheet1!$A$1:$AA$1,0),FALSE)=0,"",VLOOKUP($A78,Sheet1!$A:$AA,MATCH(Q$1,Sheet1!$A$1:$AA$1,0),FALSE))</f>
        <v>M</v>
      </c>
      <c r="R78" s="2">
        <f>IF(VLOOKUP($A78,Sheet1!$A:$AA,MATCH(R$1,Sheet1!$A$1:$AA$1,0),FALSE)=0,"",VLOOKUP($A78,Sheet1!$A:$AA,MATCH(R$1,Sheet1!$A$1:$AA$1,0),FALSE))</f>
        <v>30220</v>
      </c>
      <c r="S78" t="str">
        <f>IF(VLOOKUP($A78,Sheet1!$A:$AA,MATCH(S$1,Sheet1!$A$1:$AA$1,0),FALSE)=0,"",VLOOKUP($A78,Sheet1!$A:$AA,MATCH(S$1,Sheet1!$A$1:$AA$1,0),FALSE))</f>
        <v/>
      </c>
      <c r="T78" t="str">
        <f>IF(VLOOKUP($A78,Sheet1!$A:$AA,MATCH(T$1,Sheet1!$A$1:$AA$1,0),FALSE)=0,"",VLOOKUP($A78,Sheet1!$A:$AA,MATCH(T$1,Sheet1!$A$1:$AA$1,0),FALSE))</f>
        <v/>
      </c>
      <c r="U78" t="str">
        <f>IF(VLOOKUP($A78,Sheet1!$A:$AA,MATCH(U$1,Sheet1!$A$1:$AA$1,0),FALSE)=0,"",VLOOKUP($A78,Sheet1!$A:$AA,MATCH(U$1,Sheet1!$A$1:$AA$1,0),FALSE))</f>
        <v>DX</v>
      </c>
      <c r="V78" t="str">
        <f>IF(VLOOKUP($A78,Sheet1!$A:$AA,MATCH(V$1,Sheet1!$A$1:$AA$1,0),FALSE)=0,"",VLOOKUP($A78,Sheet1!$A:$AA,MATCH(V$1,Sheet1!$A$1:$AA$1,0),FALSE))</f>
        <v/>
      </c>
      <c r="W78" t="str">
        <f>IF(VLOOKUP($A78,Sheet1!$A:$AA,MATCH(W$1,Sheet1!$A$1:$AA$1,0),FALSE)=0,"",VLOOKUP($A78,Sheet1!$A:$AA,MATCH(W$1,Sheet1!$A$1:$AA$1,0),FALSE))</f>
        <v/>
      </c>
      <c r="X78" t="str">
        <f>IF(VLOOKUP($A78,Sheet1!$A:$AA,MATCH(X$1,Sheet1!$A$1:$AA$1,0),FALSE)=0,"",VLOOKUP($A78,Sheet1!$A:$AA,MATCH(X$1,Sheet1!$A$1:$AA$1,0),FALSE))</f>
        <v/>
      </c>
      <c r="Y78" t="str">
        <f>IF(VLOOKUP($A78,Sheet1!$A:$AA,MATCH(Y$1,Sheet1!$A$1:$AA$1,0),FALSE)=0,"",VLOOKUP($A78,Sheet1!$A:$AA,MATCH(Y$1,Sheet1!$A$1:$AA$1,0),FALSE))</f>
        <v>4.5</v>
      </c>
      <c r="Z78" t="str">
        <f>IF(VLOOKUP($A78,Sheet1!$A:$AA,MATCH(Z$1,Sheet1!$A$1:$AA$1,0),FALSE)=0,"",VLOOKUP($A78,Sheet1!$A:$AA,MATCH(Z$1,Sheet1!$A$1:$AA$1,0),FALSE))</f>
        <v/>
      </c>
      <c r="AA78">
        <f ca="1">IF(VLOOKUP($A78,Sheet1!$A:$AA,MATCH(AA$1,Sheet1!$A$1:$AA$1,0),FALSE)=0,"",VLOOKUP($A78,Sheet1!$A:$AA,MATCH(AA$1,Sheet1!$A$1:$AA$1,0),FALSE))</f>
        <v>42</v>
      </c>
    </row>
    <row r="79" spans="1:27" x14ac:dyDescent="0.25">
      <c r="A79">
        <v>10574079</v>
      </c>
      <c r="B79" t="str">
        <f>IF(VLOOKUP($A79,Sheet1!$A:$AA,MATCH(B$1,Sheet1!$A$1:$AA$1,0),FALSE)=0,"",VLOOKUP($A79,Sheet1!$A:$AA,MATCH(B$1,Sheet1!$A$1:$AA$1,0),FALSE))</f>
        <v>Alvarez Narros, Cristina</v>
      </c>
      <c r="C79" t="str">
        <f>IF(VLOOKUP($A79,Sheet1!$A:$AA,MATCH(C$1,Sheet1!$A$1:$AA$1,0),FALSE)=0,"",VLOOKUP($A79,Sheet1!$A:$AA,MATCH(C$1,Sheet1!$A$1:$AA$1,0),FALSE))</f>
        <v>Alvarez Narros</v>
      </c>
      <c r="D79" t="str">
        <f>IF(VLOOKUP($A79,Sheet1!$A:$AA,MATCH(D$1,Sheet1!$A$1:$AA$1,0),FALSE)=0,"",VLOOKUP($A79,Sheet1!$A:$AA,MATCH(D$1,Sheet1!$A$1:$AA$1,0),FALSE))</f>
        <v>Cristina</v>
      </c>
      <c r="E79" t="str">
        <f>IF(VLOOKUP($A79,Sheet1!$A:$AA,MATCH(E$1,Sheet1!$A$1:$AA$1,0),FALSE)=0,"",VLOOKUP($A79,Sheet1!$A:$AA,MATCH(E$1,Sheet1!$A$1:$AA$1,0),FALSE))</f>
        <v>Cristina Alvarez Narros</v>
      </c>
      <c r="F79" t="str">
        <f>IF(VLOOKUP($A79,Sheet1!$A:$AA,MATCH(F$1,Sheet1!$A$1:$AA$1,0),FALSE)=0,"",VLOOKUP($A79,Sheet1!$A:$AA,MATCH(F$1,Sheet1!$A$1:$AA$1,0),FALSE))</f>
        <v/>
      </c>
      <c r="G79" t="str">
        <f>IF(VLOOKUP($A79,Sheet1!$A:$AA,MATCH(G$1,Sheet1!$A$1:$AA$1,0),FALSE)=0,"",VLOOKUP($A79,Sheet1!$A:$AA,MATCH(G$1,Sheet1!$A$1:$AA$1,0),FALSE))</f>
        <v/>
      </c>
      <c r="H79" t="str">
        <f>IF(VLOOKUP($A79,Sheet1!$A:$AA,MATCH(H$1,Sheet1!$A$1:$AA$1,0),FALSE)=0,"",VLOOKUP($A79,Sheet1!$A:$AA,MATCH(H$1,Sheet1!$A$1:$AA$1,0),FALSE))</f>
        <v/>
      </c>
      <c r="I79" t="str">
        <f>IF(VLOOKUP($A79,Sheet1!$A:$AA,MATCH(I$1,Sheet1!$A$1:$AA$1,0),FALSE)=0,"",VLOOKUP($A79,Sheet1!$A:$AA,MATCH(I$1,Sheet1!$A$1:$AA$1,0),FALSE))</f>
        <v/>
      </c>
      <c r="J79" t="str">
        <f>IF(VLOOKUP($A79,Sheet1!$A:$AA,MATCH(J$1,Sheet1!$A$1:$AA$1,0),FALSE)=0,"",VLOOKUP($A79,Sheet1!$A:$AA,MATCH(J$1,Sheet1!$A$1:$AA$1,0),FALSE))</f>
        <v/>
      </c>
      <c r="K79" t="str">
        <f>IF(VLOOKUP($A79,Sheet1!$A:$AA,MATCH(K$1,Sheet1!$A$1:$AA$1,0),FALSE)=0,"",VLOOKUP($A79,Sheet1!$A:$AA,MATCH(K$1,Sheet1!$A$1:$AA$1,0),FALSE))</f>
        <v>MADRID</v>
      </c>
      <c r="L79" t="str">
        <f>IF(VLOOKUP($A79,Sheet1!$A:$AA,MATCH(L$1,Sheet1!$A$1:$AA$1,0),FALSE)=0,"",VLOOKUP($A79,Sheet1!$A:$AA,MATCH(L$1,Sheet1!$A$1:$AA$1,0),FALSE))</f>
        <v/>
      </c>
      <c r="M79" t="str">
        <f>IF(VLOOKUP($A79,Sheet1!$A:$AA,MATCH(M$1,Sheet1!$A$1:$AA$1,0),FALSE)=0,"",VLOOKUP($A79,Sheet1!$A:$AA,MATCH(M$1,Sheet1!$A$1:$AA$1,0),FALSE))</f>
        <v/>
      </c>
      <c r="N79" t="str">
        <f>IF(VLOOKUP($A79,Sheet1!$A:$AA,MATCH(N$1,Sheet1!$A$1:$AA$1,0),FALSE)=0,"",VLOOKUP($A79,Sheet1!$A:$AA,MATCH(N$1,Sheet1!$A$1:$AA$1,0),FALSE))</f>
        <v/>
      </c>
      <c r="O79" t="str">
        <f>IF(VLOOKUP($A79,Sheet1!$A:$AA,MATCH(O$1,Sheet1!$A$1:$AA$1,0),FALSE)=0,"",VLOOKUP($A79,Sheet1!$A:$AA,MATCH(O$1,Sheet1!$A$1:$AA$1,0),FALSE))</f>
        <v/>
      </c>
      <c r="P79" t="str">
        <f>IF(VLOOKUP($A79,Sheet1!$A:$AA,MATCH(P$1,Sheet1!$A$1:$AA$1,0),FALSE)=0,"",VLOOKUP($A79,Sheet1!$A:$AA,MATCH(P$1,Sheet1!$A$1:$AA$1,0),FALSE))</f>
        <v/>
      </c>
      <c r="Q79" t="str">
        <f>IF(VLOOKUP($A79,Sheet1!$A:$AA,MATCH(Q$1,Sheet1!$A$1:$AA$1,0),FALSE)=0,"",VLOOKUP($A79,Sheet1!$A:$AA,MATCH(Q$1,Sheet1!$A$1:$AA$1,0),FALSE))</f>
        <v>F</v>
      </c>
      <c r="R79" s="2" t="str">
        <f>IF(VLOOKUP($A79,Sheet1!$A:$AA,MATCH(R$1,Sheet1!$A$1:$AA$1,0),FALSE)=0,"",VLOOKUP($A79,Sheet1!$A:$AA,MATCH(R$1,Sheet1!$A$1:$AA$1,0),FALSE))</f>
        <v/>
      </c>
      <c r="S79" t="str">
        <f>IF(VLOOKUP($A79,Sheet1!$A:$AA,MATCH(S$1,Sheet1!$A$1:$AA$1,0),FALSE)=0,"",VLOOKUP($A79,Sheet1!$A:$AA,MATCH(S$1,Sheet1!$A$1:$AA$1,0),FALSE))</f>
        <v/>
      </c>
      <c r="T79" t="str">
        <f>IF(VLOOKUP($A79,Sheet1!$A:$AA,MATCH(T$1,Sheet1!$A$1:$AA$1,0),FALSE)=0,"",VLOOKUP($A79,Sheet1!$A:$AA,MATCH(T$1,Sheet1!$A$1:$AA$1,0),FALSE))</f>
        <v/>
      </c>
      <c r="U79" t="str">
        <f>IF(VLOOKUP($A79,Sheet1!$A:$AA,MATCH(U$1,Sheet1!$A$1:$AA$1,0),FALSE)=0,"",VLOOKUP($A79,Sheet1!$A:$AA,MATCH(U$1,Sheet1!$A$1:$AA$1,0),FALSE))</f>
        <v>DX</v>
      </c>
      <c r="V79" t="str">
        <f>IF(VLOOKUP($A79,Sheet1!$A:$AA,MATCH(V$1,Sheet1!$A$1:$AA$1,0),FALSE)=0,"",VLOOKUP($A79,Sheet1!$A:$AA,MATCH(V$1,Sheet1!$A$1:$AA$1,0),FALSE))</f>
        <v/>
      </c>
      <c r="W79" t="str">
        <f>IF(VLOOKUP($A79,Sheet1!$A:$AA,MATCH(W$1,Sheet1!$A$1:$AA$1,0),FALSE)=0,"",VLOOKUP($A79,Sheet1!$A:$AA,MATCH(W$1,Sheet1!$A$1:$AA$1,0),FALSE))</f>
        <v/>
      </c>
      <c r="X79" t="str">
        <f>IF(VLOOKUP($A79,Sheet1!$A:$AA,MATCH(X$1,Sheet1!$A$1:$AA$1,0),FALSE)=0,"",VLOOKUP($A79,Sheet1!$A:$AA,MATCH(X$1,Sheet1!$A$1:$AA$1,0),FALSE))</f>
        <v/>
      </c>
      <c r="Y79" t="str">
        <f>IF(VLOOKUP($A79,Sheet1!$A:$AA,MATCH(Y$1,Sheet1!$A$1:$AA$1,0),FALSE)=0,"",VLOOKUP($A79,Sheet1!$A:$AA,MATCH(Y$1,Sheet1!$A$1:$AA$1,0),FALSE))</f>
        <v>4.5</v>
      </c>
      <c r="Z79" t="str">
        <f>IF(VLOOKUP($A79,Sheet1!$A:$AA,MATCH(Z$1,Sheet1!$A$1:$AA$1,0),FALSE)=0,"",VLOOKUP($A79,Sheet1!$A:$AA,MATCH(Z$1,Sheet1!$A$1:$AA$1,0),FALSE))</f>
        <v/>
      </c>
      <c r="AA79" t="str">
        <f ca="1">IF(VLOOKUP($A79,Sheet1!$A:$AA,MATCH(AA$1,Sheet1!$A$1:$AA$1,0),FALSE)=0,"",VLOOKUP($A79,Sheet1!$A:$AA,MATCH(AA$1,Sheet1!$A$1:$AA$1,0),FALSE))</f>
        <v/>
      </c>
    </row>
    <row r="80" spans="1:27" x14ac:dyDescent="0.25">
      <c r="A80">
        <v>10574095</v>
      </c>
      <c r="B80" t="str">
        <f>IF(VLOOKUP($A80,Sheet1!$A:$AA,MATCH(B$1,Sheet1!$A$1:$AA$1,0),FALSE)=0,"",VLOOKUP($A80,Sheet1!$A:$AA,MATCH(B$1,Sheet1!$A$1:$AA$1,0),FALSE))</f>
        <v>Bilbao Areitio, Beatriz</v>
      </c>
      <c r="C80" t="str">
        <f>IF(VLOOKUP($A80,Sheet1!$A:$AA,MATCH(C$1,Sheet1!$A$1:$AA$1,0),FALSE)=0,"",VLOOKUP($A80,Sheet1!$A:$AA,MATCH(C$1,Sheet1!$A$1:$AA$1,0),FALSE))</f>
        <v>Bilbao Areitio</v>
      </c>
      <c r="D80" t="str">
        <f>IF(VLOOKUP($A80,Sheet1!$A:$AA,MATCH(D$1,Sheet1!$A$1:$AA$1,0),FALSE)=0,"",VLOOKUP($A80,Sheet1!$A:$AA,MATCH(D$1,Sheet1!$A$1:$AA$1,0),FALSE))</f>
        <v>Beatriz</v>
      </c>
      <c r="E80" t="str">
        <f>IF(VLOOKUP($A80,Sheet1!$A:$AA,MATCH(E$1,Sheet1!$A$1:$AA$1,0),FALSE)=0,"",VLOOKUP($A80,Sheet1!$A:$AA,MATCH(E$1,Sheet1!$A$1:$AA$1,0),FALSE))</f>
        <v>Beatriz Bilbao Areitio</v>
      </c>
      <c r="F80" t="str">
        <f>IF(VLOOKUP($A80,Sheet1!$A:$AA,MATCH(F$1,Sheet1!$A$1:$AA$1,0),FALSE)=0,"",VLOOKUP($A80,Sheet1!$A:$AA,MATCH(F$1,Sheet1!$A$1:$AA$1,0),FALSE))</f>
        <v/>
      </c>
      <c r="G80" t="str">
        <f>IF(VLOOKUP($A80,Sheet1!$A:$AA,MATCH(G$1,Sheet1!$A$1:$AA$1,0),FALSE)=0,"",VLOOKUP($A80,Sheet1!$A:$AA,MATCH(G$1,Sheet1!$A$1:$AA$1,0),FALSE))</f>
        <v/>
      </c>
      <c r="H80" t="str">
        <f>IF(VLOOKUP($A80,Sheet1!$A:$AA,MATCH(H$1,Sheet1!$A$1:$AA$1,0),FALSE)=0,"",VLOOKUP($A80,Sheet1!$A:$AA,MATCH(H$1,Sheet1!$A$1:$AA$1,0),FALSE))</f>
        <v/>
      </c>
      <c r="I80" t="str">
        <f>IF(VLOOKUP($A80,Sheet1!$A:$AA,MATCH(I$1,Sheet1!$A$1:$AA$1,0),FALSE)=0,"",VLOOKUP($A80,Sheet1!$A:$AA,MATCH(I$1,Sheet1!$A$1:$AA$1,0),FALSE))</f>
        <v/>
      </c>
      <c r="J80" t="str">
        <f>IF(VLOOKUP($A80,Sheet1!$A:$AA,MATCH(J$1,Sheet1!$A$1:$AA$1,0),FALSE)=0,"",VLOOKUP($A80,Sheet1!$A:$AA,MATCH(J$1,Sheet1!$A$1:$AA$1,0),FALSE))</f>
        <v/>
      </c>
      <c r="K80" t="str">
        <f>IF(VLOOKUP($A80,Sheet1!$A:$AA,MATCH(K$1,Sheet1!$A$1:$AA$1,0),FALSE)=0,"",VLOOKUP($A80,Sheet1!$A:$AA,MATCH(K$1,Sheet1!$A$1:$AA$1,0),FALSE))</f>
        <v/>
      </c>
      <c r="L80" t="str">
        <f>IF(VLOOKUP($A80,Sheet1!$A:$AA,MATCH(L$1,Sheet1!$A$1:$AA$1,0),FALSE)=0,"",VLOOKUP($A80,Sheet1!$A:$AA,MATCH(L$1,Sheet1!$A$1:$AA$1,0),FALSE))</f>
        <v/>
      </c>
      <c r="M80" t="str">
        <f>IF(VLOOKUP($A80,Sheet1!$A:$AA,MATCH(M$1,Sheet1!$A$1:$AA$1,0),FALSE)=0,"",VLOOKUP($A80,Sheet1!$A:$AA,MATCH(M$1,Sheet1!$A$1:$AA$1,0),FALSE))</f>
        <v/>
      </c>
      <c r="N80" t="str">
        <f>IF(VLOOKUP($A80,Sheet1!$A:$AA,MATCH(N$1,Sheet1!$A$1:$AA$1,0),FALSE)=0,"",VLOOKUP($A80,Sheet1!$A:$AA,MATCH(N$1,Sheet1!$A$1:$AA$1,0),FALSE))</f>
        <v/>
      </c>
      <c r="O80" t="str">
        <f>IF(VLOOKUP($A80,Sheet1!$A:$AA,MATCH(O$1,Sheet1!$A$1:$AA$1,0),FALSE)=0,"",VLOOKUP($A80,Sheet1!$A:$AA,MATCH(O$1,Sheet1!$A$1:$AA$1,0),FALSE))</f>
        <v/>
      </c>
      <c r="P80" t="str">
        <f>IF(VLOOKUP($A80,Sheet1!$A:$AA,MATCH(P$1,Sheet1!$A$1:$AA$1,0),FALSE)=0,"",VLOOKUP($A80,Sheet1!$A:$AA,MATCH(P$1,Sheet1!$A$1:$AA$1,0),FALSE))</f>
        <v/>
      </c>
      <c r="Q80" t="str">
        <f>IF(VLOOKUP($A80,Sheet1!$A:$AA,MATCH(Q$1,Sheet1!$A$1:$AA$1,0),FALSE)=0,"",VLOOKUP($A80,Sheet1!$A:$AA,MATCH(Q$1,Sheet1!$A$1:$AA$1,0),FALSE))</f>
        <v>F</v>
      </c>
      <c r="R80" s="2">
        <f>IF(VLOOKUP($A80,Sheet1!$A:$AA,MATCH(R$1,Sheet1!$A$1:$AA$1,0),FALSE)=0,"",VLOOKUP($A80,Sheet1!$A:$AA,MATCH(R$1,Sheet1!$A$1:$AA$1,0),FALSE))</f>
        <v>35388</v>
      </c>
      <c r="S80" t="str">
        <f>IF(VLOOKUP($A80,Sheet1!$A:$AA,MATCH(S$1,Sheet1!$A$1:$AA$1,0),FALSE)=0,"",VLOOKUP($A80,Sheet1!$A:$AA,MATCH(S$1,Sheet1!$A$1:$AA$1,0),FALSE))</f>
        <v/>
      </c>
      <c r="T80" t="str">
        <f>IF(VLOOKUP($A80,Sheet1!$A:$AA,MATCH(T$1,Sheet1!$A$1:$AA$1,0),FALSE)=0,"",VLOOKUP($A80,Sheet1!$A:$AA,MATCH(T$1,Sheet1!$A$1:$AA$1,0),FALSE))</f>
        <v/>
      </c>
      <c r="U80" t="str">
        <f>IF(VLOOKUP($A80,Sheet1!$A:$AA,MATCH(U$1,Sheet1!$A$1:$AA$1,0),FALSE)=0,"",VLOOKUP($A80,Sheet1!$A:$AA,MATCH(U$1,Sheet1!$A$1:$AA$1,0),FALSE))</f>
        <v/>
      </c>
      <c r="V80" t="str">
        <f>IF(VLOOKUP($A80,Sheet1!$A:$AA,MATCH(V$1,Sheet1!$A$1:$AA$1,0),FALSE)=0,"",VLOOKUP($A80,Sheet1!$A:$AA,MATCH(V$1,Sheet1!$A$1:$AA$1,0),FALSE))</f>
        <v/>
      </c>
      <c r="W80" t="str">
        <f>IF(VLOOKUP($A80,Sheet1!$A:$AA,MATCH(W$1,Sheet1!$A$1:$AA$1,0),FALSE)=0,"",VLOOKUP($A80,Sheet1!$A:$AA,MATCH(W$1,Sheet1!$A$1:$AA$1,0),FALSE))</f>
        <v/>
      </c>
      <c r="X80" t="str">
        <f>IF(VLOOKUP($A80,Sheet1!$A:$AA,MATCH(X$1,Sheet1!$A$1:$AA$1,0),FALSE)=0,"",VLOOKUP($A80,Sheet1!$A:$AA,MATCH(X$1,Sheet1!$A$1:$AA$1,0),FALSE))</f>
        <v/>
      </c>
      <c r="Y80" t="str">
        <f>IF(VLOOKUP($A80,Sheet1!$A:$AA,MATCH(Y$1,Sheet1!$A$1:$AA$1,0),FALSE)=0,"",VLOOKUP($A80,Sheet1!$A:$AA,MATCH(Y$1,Sheet1!$A$1:$AA$1,0),FALSE))</f>
        <v/>
      </c>
      <c r="Z80" t="str">
        <f>IF(VLOOKUP($A80,Sheet1!$A:$AA,MATCH(Z$1,Sheet1!$A$1:$AA$1,0),FALSE)=0,"",VLOOKUP($A80,Sheet1!$A:$AA,MATCH(Z$1,Sheet1!$A$1:$AA$1,0),FALSE))</f>
        <v/>
      </c>
      <c r="AA80">
        <f ca="1">IF(VLOOKUP($A80,Sheet1!$A:$AA,MATCH(AA$1,Sheet1!$A$1:$AA$1,0),FALSE)=0,"",VLOOKUP($A80,Sheet1!$A:$AA,MATCH(AA$1,Sheet1!$A$1:$AA$1,0),FALSE))</f>
        <v>28</v>
      </c>
    </row>
  </sheetData>
  <conditionalFormatting sqref="C1">
    <cfRule type="duplicateValues" dxfId="9" priority="10"/>
  </conditionalFormatting>
  <conditionalFormatting sqref="A1">
    <cfRule type="duplicateValues" dxfId="8" priority="9"/>
  </conditionalFormatting>
  <conditionalFormatting sqref="B1">
    <cfRule type="duplicateValues" dxfId="7" priority="8"/>
  </conditionalFormatting>
  <conditionalFormatting sqref="E1">
    <cfRule type="duplicateValues" dxfId="6" priority="7"/>
  </conditionalFormatting>
  <conditionalFormatting sqref="A36:A60">
    <cfRule type="duplicateValues" dxfId="5" priority="6"/>
  </conditionalFormatting>
  <conditionalFormatting sqref="A2:A60">
    <cfRule type="duplicateValues" dxfId="4" priority="5"/>
  </conditionalFormatting>
  <conditionalFormatting sqref="A61:A80">
    <cfRule type="duplicateValues" dxfId="3" priority="4"/>
  </conditionalFormatting>
  <conditionalFormatting sqref="A61:A80">
    <cfRule type="duplicateValues" dxfId="2" priority="3"/>
  </conditionalFormatting>
  <conditionalFormatting sqref="A2:A80">
    <cfRule type="duplicateValues" dxfId="1" priority="2"/>
  </conditionalFormatting>
  <conditionalFormatting sqref="A2:A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Master Final Madrid 2024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triJuankar .</cp:lastModifiedBy>
  <dcterms:created xsi:type="dcterms:W3CDTF">2024-06-13T16:11:31Z</dcterms:created>
  <dcterms:modified xsi:type="dcterms:W3CDTF">2024-11-26T20:06:38Z</dcterms:modified>
</cp:coreProperties>
</file>