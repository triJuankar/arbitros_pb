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gar\Mi unidad (arbitros.pickleballspain@gmail.com)\TORNEOS\GestorTorneosRFET\"/>
    </mc:Choice>
  </mc:AlternateContent>
  <bookViews>
    <workbookView xWindow="240" yWindow="48" windowWidth="25872" windowHeight="15912" activeTab="4"/>
  </bookViews>
  <sheets>
    <sheet name="Sheet1" sheetId="1" r:id="rId1"/>
    <sheet name="+50 D M" sheetId="7" r:id="rId2"/>
    <sheet name="+60 D M" sheetId="6" r:id="rId3"/>
    <sheet name="+60 I M" sheetId="5" r:id="rId4"/>
    <sheet name="+50 I M" sheetId="4" r:id="rId5"/>
    <sheet name="ABS I F" sheetId="3" r:id="rId6"/>
    <sheet name="ABS I M" sheetId="2" r:id="rId7"/>
  </sheets>
  <externalReferences>
    <externalReference r:id="rId8"/>
  </externalReferences>
  <definedNames>
    <definedName name="_xlnm._FilterDatabase" localSheetId="1" hidden="1">'+50 D M'!$A$1:$T$1</definedName>
    <definedName name="_xlnm._FilterDatabase" localSheetId="4" hidden="1">'+50 I M'!$A$1:$R$1</definedName>
    <definedName name="_xlnm._FilterDatabase" localSheetId="2" hidden="1">'+60 D M'!$A$1:$R$1</definedName>
    <definedName name="_xlnm._FilterDatabase" localSheetId="3" hidden="1">'+60 I M'!$A$1:$R$1</definedName>
    <definedName name="_xlnm._FilterDatabase" localSheetId="5" hidden="1">'ABS I F'!$A$1:$R$1</definedName>
    <definedName name="_xlnm._FilterDatabase" localSheetId="6" hidden="1">'ABS I M'!$A$1:$R$1</definedName>
  </definedNames>
  <calcPr calcId="162913"/>
</workbook>
</file>

<file path=xl/calcChain.xml><?xml version="1.0" encoding="utf-8"?>
<calcChain xmlns="http://schemas.openxmlformats.org/spreadsheetml/2006/main">
  <c r="K3" i="7" l="1"/>
  <c r="K5" i="7"/>
  <c r="K6" i="7"/>
  <c r="K7" i="7"/>
  <c r="Q7" i="7" s="1"/>
  <c r="K8" i="7"/>
  <c r="K9" i="7"/>
  <c r="K10" i="7"/>
  <c r="K11" i="7"/>
  <c r="K12" i="7"/>
  <c r="K2" i="7"/>
  <c r="M2" i="7" s="1"/>
  <c r="Q3" i="7"/>
  <c r="Q11" i="7"/>
  <c r="P11" i="7" s="1"/>
  <c r="Q48" i="7"/>
  <c r="P48" i="7" s="1"/>
  <c r="K48" i="7"/>
  <c r="M48" i="7" s="1"/>
  <c r="Q47" i="7"/>
  <c r="P47" i="7" s="1"/>
  <c r="K47" i="7"/>
  <c r="M47" i="7" s="1"/>
  <c r="T47" i="7" s="1"/>
  <c r="Q46" i="7"/>
  <c r="P46" i="7" s="1"/>
  <c r="K46" i="7"/>
  <c r="M46" i="7" s="1"/>
  <c r="T46" i="7" s="1"/>
  <c r="Q45" i="7"/>
  <c r="P45" i="7" s="1"/>
  <c r="K45" i="7"/>
  <c r="M45" i="7" s="1"/>
  <c r="T45" i="7" s="1"/>
  <c r="Q44" i="7"/>
  <c r="P44" i="7" s="1"/>
  <c r="K44" i="7"/>
  <c r="M44" i="7" s="1"/>
  <c r="Q43" i="7"/>
  <c r="P43" i="7" s="1"/>
  <c r="M43" i="7"/>
  <c r="T43" i="7" s="1"/>
  <c r="K43" i="7"/>
  <c r="Q42" i="7"/>
  <c r="P42" i="7" s="1"/>
  <c r="K42" i="7"/>
  <c r="M42" i="7" s="1"/>
  <c r="T42" i="7" s="1"/>
  <c r="S42" i="7" s="1"/>
  <c r="Q41" i="7"/>
  <c r="P41" i="7" s="1"/>
  <c r="K41" i="7"/>
  <c r="M41" i="7" s="1"/>
  <c r="T41" i="7" s="1"/>
  <c r="Q40" i="7"/>
  <c r="P40" i="7" s="1"/>
  <c r="K40" i="7"/>
  <c r="M40" i="7" s="1"/>
  <c r="Q39" i="7"/>
  <c r="P39" i="7" s="1"/>
  <c r="K39" i="7"/>
  <c r="M39" i="7" s="1"/>
  <c r="T39" i="7" s="1"/>
  <c r="Q38" i="7"/>
  <c r="P38" i="7" s="1"/>
  <c r="K38" i="7"/>
  <c r="M38" i="7" s="1"/>
  <c r="T38" i="7" s="1"/>
  <c r="S38" i="7" s="1"/>
  <c r="Q37" i="7"/>
  <c r="P37" i="7" s="1"/>
  <c r="K37" i="7"/>
  <c r="M37" i="7" s="1"/>
  <c r="Q36" i="7"/>
  <c r="P36" i="7" s="1"/>
  <c r="K36" i="7"/>
  <c r="M36" i="7" s="1"/>
  <c r="Q35" i="7"/>
  <c r="P35" i="7" s="1"/>
  <c r="M35" i="7"/>
  <c r="T35" i="7" s="1"/>
  <c r="K35" i="7"/>
  <c r="Q34" i="7"/>
  <c r="P34" i="7" s="1"/>
  <c r="K34" i="7"/>
  <c r="M34" i="7" s="1"/>
  <c r="T34" i="7" s="1"/>
  <c r="S34" i="7" s="1"/>
  <c r="Q33" i="7"/>
  <c r="P33" i="7" s="1"/>
  <c r="K33" i="7"/>
  <c r="M33" i="7" s="1"/>
  <c r="T33" i="7" s="1"/>
  <c r="Q32" i="7"/>
  <c r="P32" i="7" s="1"/>
  <c r="K32" i="7"/>
  <c r="M32" i="7" s="1"/>
  <c r="Q31" i="7"/>
  <c r="P31" i="7" s="1"/>
  <c r="K31" i="7"/>
  <c r="M31" i="7" s="1"/>
  <c r="T31" i="7" s="1"/>
  <c r="Q30" i="7"/>
  <c r="P30" i="7" s="1"/>
  <c r="K30" i="7"/>
  <c r="M30" i="7" s="1"/>
  <c r="T30" i="7" s="1"/>
  <c r="S30" i="7" s="1"/>
  <c r="Q29" i="7"/>
  <c r="P29" i="7" s="1"/>
  <c r="K29" i="7"/>
  <c r="M29" i="7" s="1"/>
  <c r="T29" i="7" s="1"/>
  <c r="Q28" i="7"/>
  <c r="P28" i="7" s="1"/>
  <c r="K28" i="7"/>
  <c r="M28" i="7" s="1"/>
  <c r="Q27" i="7"/>
  <c r="P27" i="7" s="1"/>
  <c r="M27" i="7"/>
  <c r="T27" i="7" s="1"/>
  <c r="K27" i="7"/>
  <c r="Q26" i="7"/>
  <c r="P26" i="7" s="1"/>
  <c r="K26" i="7"/>
  <c r="M26" i="7" s="1"/>
  <c r="T26" i="7" s="1"/>
  <c r="S26" i="7" s="1"/>
  <c r="Q25" i="7"/>
  <c r="P25" i="7" s="1"/>
  <c r="K25" i="7"/>
  <c r="M25" i="7" s="1"/>
  <c r="Q24" i="7"/>
  <c r="P24" i="7" s="1"/>
  <c r="K24" i="7"/>
  <c r="M24" i="7" s="1"/>
  <c r="Q23" i="7"/>
  <c r="P23" i="7" s="1"/>
  <c r="K23" i="7"/>
  <c r="M23" i="7" s="1"/>
  <c r="T23" i="7" s="1"/>
  <c r="Q22" i="7"/>
  <c r="P22" i="7" s="1"/>
  <c r="K22" i="7"/>
  <c r="M22" i="7" s="1"/>
  <c r="T22" i="7" s="1"/>
  <c r="S22" i="7" s="1"/>
  <c r="Q21" i="7"/>
  <c r="P21" i="7" s="1"/>
  <c r="K21" i="7"/>
  <c r="M21" i="7" s="1"/>
  <c r="T21" i="7" s="1"/>
  <c r="Q20" i="7"/>
  <c r="P20" i="7" s="1"/>
  <c r="K20" i="7"/>
  <c r="M20" i="7" s="1"/>
  <c r="Q19" i="7"/>
  <c r="P19" i="7" s="1"/>
  <c r="K19" i="7"/>
  <c r="M19" i="7" s="1"/>
  <c r="T19" i="7" s="1"/>
  <c r="Q18" i="7"/>
  <c r="P18" i="7" s="1"/>
  <c r="K18" i="7"/>
  <c r="M18" i="7" s="1"/>
  <c r="T18" i="7" s="1"/>
  <c r="S18" i="7" s="1"/>
  <c r="Q17" i="7"/>
  <c r="P17" i="7" s="1"/>
  <c r="K17" i="7"/>
  <c r="M17" i="7" s="1"/>
  <c r="Q16" i="7"/>
  <c r="P16" i="7" s="1"/>
  <c r="K16" i="7"/>
  <c r="M16" i="7" s="1"/>
  <c r="Q15" i="7"/>
  <c r="P15" i="7" s="1"/>
  <c r="K15" i="7"/>
  <c r="M15" i="7" s="1"/>
  <c r="T15" i="7" s="1"/>
  <c r="Q14" i="7"/>
  <c r="P14" i="7" s="1"/>
  <c r="K14" i="7"/>
  <c r="M14" i="7" s="1"/>
  <c r="T14" i="7" s="1"/>
  <c r="S14" i="7" s="1"/>
  <c r="Q13" i="7"/>
  <c r="P13" i="7" s="1"/>
  <c r="K13" i="7"/>
  <c r="M13" i="7" s="1"/>
  <c r="T13" i="7" s="1"/>
  <c r="M12" i="7"/>
  <c r="T12" i="7" s="1"/>
  <c r="S12" i="7" s="1"/>
  <c r="M11" i="7"/>
  <c r="T11" i="7" s="1"/>
  <c r="S11" i="7" s="1"/>
  <c r="M10" i="7"/>
  <c r="T10" i="7" s="1"/>
  <c r="S10" i="7" s="1"/>
  <c r="M9" i="7"/>
  <c r="T9" i="7" s="1"/>
  <c r="S9" i="7" s="1"/>
  <c r="Q6" i="7"/>
  <c r="M5" i="7"/>
  <c r="T5" i="7" s="1"/>
  <c r="S5" i="7" s="1"/>
  <c r="M4" i="7"/>
  <c r="T4" i="7" s="1"/>
  <c r="S4" i="7" s="1"/>
  <c r="M3" i="7"/>
  <c r="T3" i="7" s="1"/>
  <c r="S3" i="7" s="1"/>
  <c r="O3" i="6"/>
  <c r="N3" i="6" s="1"/>
  <c r="O4" i="6"/>
  <c r="N4" i="6" s="1"/>
  <c r="O5" i="6"/>
  <c r="N5" i="6" s="1"/>
  <c r="O6" i="6"/>
  <c r="N6" i="6" s="1"/>
  <c r="O7" i="6"/>
  <c r="N7" i="6" s="1"/>
  <c r="O8" i="6"/>
  <c r="N8" i="6" s="1"/>
  <c r="O9" i="6"/>
  <c r="N9" i="6" s="1"/>
  <c r="O10" i="6"/>
  <c r="N10" i="6" s="1"/>
  <c r="R3" i="6"/>
  <c r="Q3" i="6" s="1"/>
  <c r="Q4" i="6"/>
  <c r="R4" i="6"/>
  <c r="R5" i="6"/>
  <c r="Q5" i="6" s="1"/>
  <c r="R6" i="6"/>
  <c r="Q6" i="6" s="1"/>
  <c r="R7" i="6"/>
  <c r="Q7" i="6" s="1"/>
  <c r="Q8" i="6"/>
  <c r="R8" i="6"/>
  <c r="R9" i="6"/>
  <c r="Q9" i="6" s="1"/>
  <c r="R10" i="6"/>
  <c r="Q10" i="6" s="1"/>
  <c r="R11" i="6"/>
  <c r="Q11" i="6" s="1"/>
  <c r="Q12" i="6"/>
  <c r="R12" i="6"/>
  <c r="R13" i="6"/>
  <c r="Q13" i="6" s="1"/>
  <c r="R14" i="6"/>
  <c r="Q14" i="6" s="1"/>
  <c r="R15" i="6"/>
  <c r="Q15" i="6" s="1"/>
  <c r="Q16" i="6"/>
  <c r="R16" i="6"/>
  <c r="R17" i="6"/>
  <c r="Q17" i="6" s="1"/>
  <c r="R18" i="6"/>
  <c r="Q18" i="6" s="1"/>
  <c r="R19" i="6"/>
  <c r="Q19" i="6" s="1"/>
  <c r="Q20" i="6"/>
  <c r="R20" i="6"/>
  <c r="R21" i="6"/>
  <c r="Q21" i="6" s="1"/>
  <c r="R22" i="6"/>
  <c r="Q22" i="6" s="1"/>
  <c r="R23" i="6"/>
  <c r="Q23" i="6" s="1"/>
  <c r="Q24" i="6"/>
  <c r="R24" i="6"/>
  <c r="R25" i="6"/>
  <c r="Q25" i="6" s="1"/>
  <c r="R26" i="6"/>
  <c r="Q26" i="6" s="1"/>
  <c r="R27" i="6"/>
  <c r="Q27" i="6" s="1"/>
  <c r="Q28" i="6"/>
  <c r="R28" i="6"/>
  <c r="R29" i="6"/>
  <c r="Q29" i="6" s="1"/>
  <c r="R30" i="6"/>
  <c r="Q30" i="6" s="1"/>
  <c r="R31" i="6"/>
  <c r="Q31" i="6" s="1"/>
  <c r="Q32" i="6"/>
  <c r="R32" i="6"/>
  <c r="R33" i="6"/>
  <c r="Q33" i="6" s="1"/>
  <c r="R34" i="6"/>
  <c r="Q34" i="6" s="1"/>
  <c r="R35" i="6"/>
  <c r="Q35" i="6" s="1"/>
  <c r="Q36" i="6"/>
  <c r="R36" i="6"/>
  <c r="R37" i="6"/>
  <c r="Q37" i="6" s="1"/>
  <c r="R38" i="6"/>
  <c r="Q38" i="6" s="1"/>
  <c r="R39" i="6"/>
  <c r="Q39" i="6" s="1"/>
  <c r="Q40" i="6"/>
  <c r="R40" i="6"/>
  <c r="R41" i="6"/>
  <c r="Q41" i="6" s="1"/>
  <c r="R42" i="6"/>
  <c r="Q42" i="6" s="1"/>
  <c r="R43" i="6"/>
  <c r="Q43" i="6" s="1"/>
  <c r="Q44" i="6"/>
  <c r="R44" i="6"/>
  <c r="R45" i="6"/>
  <c r="Q45" i="6" s="1"/>
  <c r="R46" i="6"/>
  <c r="Q46" i="6" s="1"/>
  <c r="R47" i="6"/>
  <c r="Q47" i="6" s="1"/>
  <c r="Q48" i="6"/>
  <c r="R48" i="6"/>
  <c r="R2" i="6"/>
  <c r="Q2" i="6" s="1"/>
  <c r="O2" i="6"/>
  <c r="N2" i="6" s="1"/>
  <c r="O48" i="6"/>
  <c r="N48" i="6" s="1"/>
  <c r="K48" i="6"/>
  <c r="L48" i="6" s="1"/>
  <c r="O47" i="6"/>
  <c r="N47" i="6"/>
  <c r="K47" i="6"/>
  <c r="L47" i="6" s="1"/>
  <c r="O46" i="6"/>
  <c r="N46" i="6" s="1"/>
  <c r="K46" i="6"/>
  <c r="L46" i="6" s="1"/>
  <c r="O45" i="6"/>
  <c r="N45" i="6"/>
  <c r="K45" i="6"/>
  <c r="L45" i="6" s="1"/>
  <c r="O44" i="6"/>
  <c r="N44" i="6" s="1"/>
  <c r="K44" i="6"/>
  <c r="L44" i="6" s="1"/>
  <c r="O43" i="6"/>
  <c r="N43" i="6"/>
  <c r="K43" i="6"/>
  <c r="L43" i="6" s="1"/>
  <c r="O42" i="6"/>
  <c r="N42" i="6" s="1"/>
  <c r="K42" i="6"/>
  <c r="L42" i="6" s="1"/>
  <c r="O41" i="6"/>
  <c r="N41" i="6"/>
  <c r="K41" i="6"/>
  <c r="L41" i="6" s="1"/>
  <c r="O40" i="6"/>
  <c r="N40" i="6" s="1"/>
  <c r="K40" i="6"/>
  <c r="L40" i="6" s="1"/>
  <c r="O39" i="6"/>
  <c r="N39" i="6"/>
  <c r="K39" i="6"/>
  <c r="L39" i="6" s="1"/>
  <c r="O38" i="6"/>
  <c r="N38" i="6" s="1"/>
  <c r="K38" i="6"/>
  <c r="L38" i="6" s="1"/>
  <c r="O37" i="6"/>
  <c r="N37" i="6"/>
  <c r="K37" i="6"/>
  <c r="L37" i="6" s="1"/>
  <c r="O36" i="6"/>
  <c r="N36" i="6" s="1"/>
  <c r="K36" i="6"/>
  <c r="L36" i="6" s="1"/>
  <c r="O35" i="6"/>
  <c r="N35" i="6"/>
  <c r="K35" i="6"/>
  <c r="L35" i="6" s="1"/>
  <c r="O34" i="6"/>
  <c r="N34" i="6" s="1"/>
  <c r="K34" i="6"/>
  <c r="L34" i="6" s="1"/>
  <c r="O33" i="6"/>
  <c r="N33" i="6"/>
  <c r="K33" i="6"/>
  <c r="L33" i="6" s="1"/>
  <c r="O32" i="6"/>
  <c r="N32" i="6" s="1"/>
  <c r="K32" i="6"/>
  <c r="L32" i="6" s="1"/>
  <c r="O31" i="6"/>
  <c r="N31" i="6"/>
  <c r="K31" i="6"/>
  <c r="L31" i="6" s="1"/>
  <c r="O30" i="6"/>
  <c r="N30" i="6" s="1"/>
  <c r="K30" i="6"/>
  <c r="L30" i="6" s="1"/>
  <c r="O29" i="6"/>
  <c r="N29" i="6"/>
  <c r="K29" i="6"/>
  <c r="L29" i="6" s="1"/>
  <c r="O28" i="6"/>
  <c r="N28" i="6" s="1"/>
  <c r="K28" i="6"/>
  <c r="L28" i="6" s="1"/>
  <c r="O27" i="6"/>
  <c r="N27" i="6"/>
  <c r="K27" i="6"/>
  <c r="L27" i="6" s="1"/>
  <c r="O26" i="6"/>
  <c r="N26" i="6" s="1"/>
  <c r="K26" i="6"/>
  <c r="L26" i="6" s="1"/>
  <c r="O25" i="6"/>
  <c r="N25" i="6"/>
  <c r="K25" i="6"/>
  <c r="L25" i="6" s="1"/>
  <c r="O24" i="6"/>
  <c r="N24" i="6" s="1"/>
  <c r="K24" i="6"/>
  <c r="L24" i="6" s="1"/>
  <c r="O23" i="6"/>
  <c r="N23" i="6"/>
  <c r="K23" i="6"/>
  <c r="L23" i="6" s="1"/>
  <c r="O22" i="6"/>
  <c r="N22" i="6" s="1"/>
  <c r="K22" i="6"/>
  <c r="L22" i="6" s="1"/>
  <c r="O21" i="6"/>
  <c r="N21" i="6"/>
  <c r="K21" i="6"/>
  <c r="L21" i="6" s="1"/>
  <c r="O20" i="6"/>
  <c r="N20" i="6" s="1"/>
  <c r="K20" i="6"/>
  <c r="L20" i="6" s="1"/>
  <c r="O19" i="6"/>
  <c r="N19" i="6"/>
  <c r="K19" i="6"/>
  <c r="L19" i="6" s="1"/>
  <c r="O18" i="6"/>
  <c r="N18" i="6" s="1"/>
  <c r="K18" i="6"/>
  <c r="L18" i="6" s="1"/>
  <c r="O17" i="6"/>
  <c r="N17" i="6"/>
  <c r="K17" i="6"/>
  <c r="L17" i="6" s="1"/>
  <c r="O16" i="6"/>
  <c r="N16" i="6" s="1"/>
  <c r="K16" i="6"/>
  <c r="L16" i="6" s="1"/>
  <c r="O15" i="6"/>
  <c r="N15" i="6"/>
  <c r="K15" i="6"/>
  <c r="L15" i="6" s="1"/>
  <c r="O14" i="6"/>
  <c r="N14" i="6" s="1"/>
  <c r="K14" i="6"/>
  <c r="L14" i="6" s="1"/>
  <c r="O13" i="6"/>
  <c r="N13" i="6"/>
  <c r="K13" i="6"/>
  <c r="L13" i="6" s="1"/>
  <c r="O12" i="6"/>
  <c r="N12" i="6" s="1"/>
  <c r="K12" i="6"/>
  <c r="L12" i="6" s="1"/>
  <c r="O11" i="6"/>
  <c r="N11" i="6"/>
  <c r="K11" i="6"/>
  <c r="L11" i="6" s="1"/>
  <c r="K10" i="6"/>
  <c r="L10" i="6" s="1"/>
  <c r="K9" i="6"/>
  <c r="L9" i="6" s="1"/>
  <c r="K8" i="6"/>
  <c r="L8" i="6" s="1"/>
  <c r="K7" i="6"/>
  <c r="L7" i="6" s="1"/>
  <c r="K6" i="6"/>
  <c r="L6" i="6" s="1"/>
  <c r="K5" i="6"/>
  <c r="L5" i="6" s="1"/>
  <c r="K4" i="6"/>
  <c r="L4" i="6" s="1"/>
  <c r="K3" i="6"/>
  <c r="L3" i="6" s="1"/>
  <c r="K2" i="6"/>
  <c r="L2" i="6" s="1"/>
  <c r="O48" i="5"/>
  <c r="N48" i="5" s="1"/>
  <c r="K48" i="5"/>
  <c r="L48" i="5" s="1"/>
  <c r="O47" i="5"/>
  <c r="N47" i="5"/>
  <c r="K47" i="5"/>
  <c r="L47" i="5" s="1"/>
  <c r="O46" i="5"/>
  <c r="N46" i="5" s="1"/>
  <c r="K46" i="5"/>
  <c r="L46" i="5" s="1"/>
  <c r="O45" i="5"/>
  <c r="N45" i="5"/>
  <c r="K45" i="5"/>
  <c r="L45" i="5" s="1"/>
  <c r="O44" i="5"/>
  <c r="N44" i="5" s="1"/>
  <c r="K44" i="5"/>
  <c r="L44" i="5" s="1"/>
  <c r="O43" i="5"/>
  <c r="N43" i="5"/>
  <c r="K43" i="5"/>
  <c r="L43" i="5" s="1"/>
  <c r="O42" i="5"/>
  <c r="N42" i="5" s="1"/>
  <c r="K42" i="5"/>
  <c r="L42" i="5" s="1"/>
  <c r="O41" i="5"/>
  <c r="N41" i="5"/>
  <c r="K41" i="5"/>
  <c r="L41" i="5" s="1"/>
  <c r="O40" i="5"/>
  <c r="N40" i="5" s="1"/>
  <c r="K40" i="5"/>
  <c r="L40" i="5" s="1"/>
  <c r="O39" i="5"/>
  <c r="N39" i="5"/>
  <c r="K39" i="5"/>
  <c r="L39" i="5" s="1"/>
  <c r="O38" i="5"/>
  <c r="N38" i="5" s="1"/>
  <c r="K38" i="5"/>
  <c r="L38" i="5" s="1"/>
  <c r="O37" i="5"/>
  <c r="N37" i="5"/>
  <c r="K37" i="5"/>
  <c r="L37" i="5" s="1"/>
  <c r="O36" i="5"/>
  <c r="N36" i="5" s="1"/>
  <c r="K36" i="5"/>
  <c r="L36" i="5" s="1"/>
  <c r="O35" i="5"/>
  <c r="N35" i="5"/>
  <c r="K35" i="5"/>
  <c r="L35" i="5" s="1"/>
  <c r="O34" i="5"/>
  <c r="N34" i="5" s="1"/>
  <c r="K34" i="5"/>
  <c r="L34" i="5" s="1"/>
  <c r="O33" i="5"/>
  <c r="N33" i="5"/>
  <c r="K33" i="5"/>
  <c r="L33" i="5" s="1"/>
  <c r="O32" i="5"/>
  <c r="N32" i="5" s="1"/>
  <c r="K32" i="5"/>
  <c r="L32" i="5" s="1"/>
  <c r="O31" i="5"/>
  <c r="N31" i="5"/>
  <c r="K31" i="5"/>
  <c r="L31" i="5" s="1"/>
  <c r="O30" i="5"/>
  <c r="N30" i="5" s="1"/>
  <c r="K30" i="5"/>
  <c r="L30" i="5" s="1"/>
  <c r="O29" i="5"/>
  <c r="N29" i="5"/>
  <c r="K29" i="5"/>
  <c r="L29" i="5" s="1"/>
  <c r="O28" i="5"/>
  <c r="N28" i="5" s="1"/>
  <c r="K28" i="5"/>
  <c r="L28" i="5" s="1"/>
  <c r="O27" i="5"/>
  <c r="N27" i="5"/>
  <c r="K27" i="5"/>
  <c r="L27" i="5" s="1"/>
  <c r="O26" i="5"/>
  <c r="N26" i="5" s="1"/>
  <c r="K26" i="5"/>
  <c r="L26" i="5" s="1"/>
  <c r="O25" i="5"/>
  <c r="N25" i="5"/>
  <c r="K25" i="5"/>
  <c r="L25" i="5" s="1"/>
  <c r="O24" i="5"/>
  <c r="N24" i="5" s="1"/>
  <c r="K24" i="5"/>
  <c r="L24" i="5" s="1"/>
  <c r="O23" i="5"/>
  <c r="N23" i="5"/>
  <c r="K23" i="5"/>
  <c r="L23" i="5" s="1"/>
  <c r="O22" i="5"/>
  <c r="N22" i="5" s="1"/>
  <c r="K22" i="5"/>
  <c r="L22" i="5" s="1"/>
  <c r="O21" i="5"/>
  <c r="N21" i="5"/>
  <c r="K21" i="5"/>
  <c r="L21" i="5" s="1"/>
  <c r="O20" i="5"/>
  <c r="N20" i="5" s="1"/>
  <c r="K20" i="5"/>
  <c r="L20" i="5" s="1"/>
  <c r="O19" i="5"/>
  <c r="N19" i="5"/>
  <c r="K19" i="5"/>
  <c r="L19" i="5" s="1"/>
  <c r="O18" i="5"/>
  <c r="N18" i="5" s="1"/>
  <c r="K18" i="5"/>
  <c r="L18" i="5" s="1"/>
  <c r="O17" i="5"/>
  <c r="N17" i="5" s="1"/>
  <c r="K17" i="5"/>
  <c r="L17" i="5" s="1"/>
  <c r="O16" i="5"/>
  <c r="N16" i="5" s="1"/>
  <c r="K16" i="5"/>
  <c r="L16" i="5" s="1"/>
  <c r="O15" i="5"/>
  <c r="N15" i="5"/>
  <c r="K15" i="5"/>
  <c r="L15" i="5" s="1"/>
  <c r="O14" i="5"/>
  <c r="N14" i="5" s="1"/>
  <c r="K14" i="5"/>
  <c r="L14" i="5" s="1"/>
  <c r="O13" i="5"/>
  <c r="N13" i="5" s="1"/>
  <c r="K13" i="5"/>
  <c r="L13" i="5" s="1"/>
  <c r="O12" i="5"/>
  <c r="N12" i="5" s="1"/>
  <c r="K12" i="5"/>
  <c r="L12" i="5" s="1"/>
  <c r="O11" i="5"/>
  <c r="N11" i="5" s="1"/>
  <c r="K11" i="5"/>
  <c r="L11" i="5" s="1"/>
  <c r="O10" i="5"/>
  <c r="N10" i="5" s="1"/>
  <c r="K10" i="5"/>
  <c r="L10" i="5" s="1"/>
  <c r="O9" i="5"/>
  <c r="N9" i="5" s="1"/>
  <c r="K9" i="5"/>
  <c r="L9" i="5" s="1"/>
  <c r="O8" i="5"/>
  <c r="N8" i="5" s="1"/>
  <c r="K8" i="5"/>
  <c r="L8" i="5" s="1"/>
  <c r="O7" i="5"/>
  <c r="N7" i="5" s="1"/>
  <c r="K7" i="5"/>
  <c r="L7" i="5" s="1"/>
  <c r="O6" i="5"/>
  <c r="N6" i="5" s="1"/>
  <c r="K6" i="5"/>
  <c r="L6" i="5" s="1"/>
  <c r="O5" i="5"/>
  <c r="N5" i="5" s="1"/>
  <c r="K5" i="5"/>
  <c r="L5" i="5" s="1"/>
  <c r="O4" i="5"/>
  <c r="N4" i="5" s="1"/>
  <c r="K4" i="5"/>
  <c r="L4" i="5" s="1"/>
  <c r="O3" i="5"/>
  <c r="N3" i="5" s="1"/>
  <c r="K3" i="5"/>
  <c r="L3" i="5" s="1"/>
  <c r="O2" i="5"/>
  <c r="N2" i="5" s="1"/>
  <c r="K2" i="5"/>
  <c r="L2" i="5" s="1"/>
  <c r="O48" i="4"/>
  <c r="N48" i="4" s="1"/>
  <c r="K48" i="4"/>
  <c r="L48" i="4" s="1"/>
  <c r="O47" i="4"/>
  <c r="N47" i="4"/>
  <c r="K47" i="4"/>
  <c r="L47" i="4" s="1"/>
  <c r="O46" i="4"/>
  <c r="N46" i="4" s="1"/>
  <c r="K46" i="4"/>
  <c r="L46" i="4" s="1"/>
  <c r="O45" i="4"/>
  <c r="N45" i="4"/>
  <c r="K45" i="4"/>
  <c r="L45" i="4" s="1"/>
  <c r="O44" i="4"/>
  <c r="N44" i="4" s="1"/>
  <c r="K44" i="4"/>
  <c r="L44" i="4" s="1"/>
  <c r="O43" i="4"/>
  <c r="N43" i="4"/>
  <c r="K43" i="4"/>
  <c r="L43" i="4" s="1"/>
  <c r="O42" i="4"/>
  <c r="N42" i="4" s="1"/>
  <c r="K42" i="4"/>
  <c r="L42" i="4" s="1"/>
  <c r="O41" i="4"/>
  <c r="N41" i="4"/>
  <c r="K41" i="4"/>
  <c r="L41" i="4" s="1"/>
  <c r="O40" i="4"/>
  <c r="N40" i="4" s="1"/>
  <c r="K40" i="4"/>
  <c r="L40" i="4" s="1"/>
  <c r="O39" i="4"/>
  <c r="N39" i="4"/>
  <c r="K39" i="4"/>
  <c r="L39" i="4" s="1"/>
  <c r="O38" i="4"/>
  <c r="N38" i="4" s="1"/>
  <c r="K38" i="4"/>
  <c r="L38" i="4" s="1"/>
  <c r="O37" i="4"/>
  <c r="N37" i="4"/>
  <c r="K37" i="4"/>
  <c r="L37" i="4" s="1"/>
  <c r="O36" i="4"/>
  <c r="N36" i="4" s="1"/>
  <c r="K36" i="4"/>
  <c r="L36" i="4" s="1"/>
  <c r="O35" i="4"/>
  <c r="N35" i="4"/>
  <c r="K35" i="4"/>
  <c r="L35" i="4" s="1"/>
  <c r="O34" i="4"/>
  <c r="N34" i="4" s="1"/>
  <c r="K34" i="4"/>
  <c r="L34" i="4" s="1"/>
  <c r="O33" i="4"/>
  <c r="N33" i="4"/>
  <c r="K33" i="4"/>
  <c r="L33" i="4" s="1"/>
  <c r="O32" i="4"/>
  <c r="N32" i="4" s="1"/>
  <c r="K32" i="4"/>
  <c r="L32" i="4" s="1"/>
  <c r="O31" i="4"/>
  <c r="N31" i="4"/>
  <c r="K31" i="4"/>
  <c r="L31" i="4" s="1"/>
  <c r="O30" i="4"/>
  <c r="N30" i="4" s="1"/>
  <c r="K30" i="4"/>
  <c r="L30" i="4" s="1"/>
  <c r="O29" i="4"/>
  <c r="N29" i="4"/>
  <c r="K29" i="4"/>
  <c r="L29" i="4" s="1"/>
  <c r="O28" i="4"/>
  <c r="N28" i="4" s="1"/>
  <c r="K28" i="4"/>
  <c r="L28" i="4" s="1"/>
  <c r="O27" i="4"/>
  <c r="N27" i="4"/>
  <c r="K27" i="4"/>
  <c r="L27" i="4" s="1"/>
  <c r="O26" i="4"/>
  <c r="N26" i="4" s="1"/>
  <c r="K26" i="4"/>
  <c r="L26" i="4" s="1"/>
  <c r="O25" i="4"/>
  <c r="N25" i="4"/>
  <c r="K25" i="4"/>
  <c r="L25" i="4" s="1"/>
  <c r="O24" i="4"/>
  <c r="N24" i="4" s="1"/>
  <c r="K24" i="4"/>
  <c r="L24" i="4" s="1"/>
  <c r="O23" i="4"/>
  <c r="N23" i="4"/>
  <c r="K23" i="4"/>
  <c r="L23" i="4" s="1"/>
  <c r="O22" i="4"/>
  <c r="N22" i="4" s="1"/>
  <c r="K22" i="4"/>
  <c r="L22" i="4" s="1"/>
  <c r="O21" i="4"/>
  <c r="N21" i="4"/>
  <c r="K21" i="4"/>
  <c r="L21" i="4" s="1"/>
  <c r="O20" i="4"/>
  <c r="N20" i="4" s="1"/>
  <c r="K20" i="4"/>
  <c r="L20" i="4" s="1"/>
  <c r="O19" i="4"/>
  <c r="N19" i="4"/>
  <c r="K19" i="4"/>
  <c r="L19" i="4" s="1"/>
  <c r="O18" i="4"/>
  <c r="N18" i="4" s="1"/>
  <c r="K18" i="4"/>
  <c r="L18" i="4" s="1"/>
  <c r="O17" i="4"/>
  <c r="N17" i="4" s="1"/>
  <c r="K17" i="4"/>
  <c r="L17" i="4" s="1"/>
  <c r="O16" i="4"/>
  <c r="N16" i="4" s="1"/>
  <c r="K16" i="4"/>
  <c r="L16" i="4" s="1"/>
  <c r="O15" i="4"/>
  <c r="N15" i="4"/>
  <c r="K15" i="4"/>
  <c r="L15" i="4" s="1"/>
  <c r="O14" i="4"/>
  <c r="N14" i="4" s="1"/>
  <c r="K14" i="4"/>
  <c r="L14" i="4" s="1"/>
  <c r="O13" i="4"/>
  <c r="N13" i="4" s="1"/>
  <c r="K13" i="4"/>
  <c r="L13" i="4" s="1"/>
  <c r="O12" i="4"/>
  <c r="N12" i="4" s="1"/>
  <c r="K12" i="4"/>
  <c r="L12" i="4" s="1"/>
  <c r="O11" i="4"/>
  <c r="N11" i="4"/>
  <c r="K11" i="4"/>
  <c r="L11" i="4" s="1"/>
  <c r="O10" i="4"/>
  <c r="N10" i="4" s="1"/>
  <c r="K10" i="4"/>
  <c r="L10" i="4" s="1"/>
  <c r="O9" i="4"/>
  <c r="N9" i="4"/>
  <c r="K9" i="4"/>
  <c r="L9" i="4" s="1"/>
  <c r="O8" i="4"/>
  <c r="N8" i="4" s="1"/>
  <c r="K8" i="4"/>
  <c r="L8" i="4" s="1"/>
  <c r="O7" i="4"/>
  <c r="N7" i="4"/>
  <c r="K7" i="4"/>
  <c r="L7" i="4" s="1"/>
  <c r="O6" i="4"/>
  <c r="N6" i="4" s="1"/>
  <c r="K6" i="4"/>
  <c r="L6" i="4" s="1"/>
  <c r="O5" i="4"/>
  <c r="N5" i="4" s="1"/>
  <c r="K5" i="4"/>
  <c r="L5" i="4" s="1"/>
  <c r="O4" i="4"/>
  <c r="N4" i="4" s="1"/>
  <c r="K4" i="4"/>
  <c r="L4" i="4" s="1"/>
  <c r="O3" i="4"/>
  <c r="N3" i="4" s="1"/>
  <c r="K3" i="4"/>
  <c r="L3" i="4" s="1"/>
  <c r="O2" i="4"/>
  <c r="N2" i="4" s="1"/>
  <c r="K2" i="4"/>
  <c r="L2" i="4" s="1"/>
  <c r="K3" i="3"/>
  <c r="L3" i="3" s="1"/>
  <c r="O3" i="3"/>
  <c r="N3" i="3" s="1"/>
  <c r="K4" i="3"/>
  <c r="L4" i="3" s="1"/>
  <c r="O4" i="3"/>
  <c r="N4" i="3" s="1"/>
  <c r="K5" i="3"/>
  <c r="L5" i="3" s="1"/>
  <c r="O5" i="3"/>
  <c r="N5" i="3" s="1"/>
  <c r="K6" i="3"/>
  <c r="L6" i="3" s="1"/>
  <c r="O6" i="3"/>
  <c r="N6" i="3" s="1"/>
  <c r="K7" i="3"/>
  <c r="L7" i="3" s="1"/>
  <c r="O7" i="3"/>
  <c r="N7" i="3" s="1"/>
  <c r="K8" i="3"/>
  <c r="L8" i="3" s="1"/>
  <c r="O8" i="3"/>
  <c r="N8" i="3" s="1"/>
  <c r="K9" i="3"/>
  <c r="L9" i="3" s="1"/>
  <c r="O9" i="3"/>
  <c r="N9" i="3" s="1"/>
  <c r="K10" i="3"/>
  <c r="L10" i="3" s="1"/>
  <c r="O10" i="3"/>
  <c r="N10" i="3" s="1"/>
  <c r="K11" i="3"/>
  <c r="L11" i="3" s="1"/>
  <c r="O11" i="3"/>
  <c r="N11" i="3" s="1"/>
  <c r="K12" i="3"/>
  <c r="L12" i="3" s="1"/>
  <c r="O12" i="3"/>
  <c r="N12" i="3" s="1"/>
  <c r="K13" i="3"/>
  <c r="L13" i="3" s="1"/>
  <c r="O13" i="3"/>
  <c r="N13" i="3" s="1"/>
  <c r="K14" i="3"/>
  <c r="L14" i="3" s="1"/>
  <c r="O14" i="3"/>
  <c r="N14" i="3" s="1"/>
  <c r="K15" i="3"/>
  <c r="L15" i="3" s="1"/>
  <c r="O15" i="3"/>
  <c r="N15" i="3" s="1"/>
  <c r="K16" i="3"/>
  <c r="L16" i="3" s="1"/>
  <c r="O16" i="3"/>
  <c r="N16" i="3" s="1"/>
  <c r="K17" i="3"/>
  <c r="L17" i="3" s="1"/>
  <c r="O17" i="3"/>
  <c r="N17" i="3" s="1"/>
  <c r="K18" i="3"/>
  <c r="L18" i="3" s="1"/>
  <c r="O18" i="3"/>
  <c r="N18" i="3" s="1"/>
  <c r="K19" i="3"/>
  <c r="L19" i="3" s="1"/>
  <c r="O19" i="3"/>
  <c r="N19" i="3" s="1"/>
  <c r="K20" i="3"/>
  <c r="L20" i="3" s="1"/>
  <c r="O20" i="3"/>
  <c r="N20" i="3" s="1"/>
  <c r="K21" i="3"/>
  <c r="L21" i="3" s="1"/>
  <c r="O21" i="3"/>
  <c r="N21" i="3" s="1"/>
  <c r="K22" i="3"/>
  <c r="L22" i="3" s="1"/>
  <c r="O22" i="3"/>
  <c r="N22" i="3" s="1"/>
  <c r="K23" i="3"/>
  <c r="L23" i="3" s="1"/>
  <c r="O23" i="3"/>
  <c r="N23" i="3" s="1"/>
  <c r="K24" i="3"/>
  <c r="L24" i="3" s="1"/>
  <c r="O24" i="3"/>
  <c r="N24" i="3" s="1"/>
  <c r="K25" i="3"/>
  <c r="L25" i="3" s="1"/>
  <c r="O25" i="3"/>
  <c r="N25" i="3" s="1"/>
  <c r="K26" i="3"/>
  <c r="L26" i="3" s="1"/>
  <c r="O26" i="3"/>
  <c r="N26" i="3" s="1"/>
  <c r="K27" i="3"/>
  <c r="L27" i="3" s="1"/>
  <c r="O27" i="3"/>
  <c r="N27" i="3" s="1"/>
  <c r="K28" i="3"/>
  <c r="L28" i="3" s="1"/>
  <c r="O28" i="3"/>
  <c r="N28" i="3" s="1"/>
  <c r="K29" i="3"/>
  <c r="L29" i="3" s="1"/>
  <c r="O29" i="3"/>
  <c r="N29" i="3" s="1"/>
  <c r="K30" i="3"/>
  <c r="L30" i="3" s="1"/>
  <c r="O30" i="3"/>
  <c r="N30" i="3" s="1"/>
  <c r="K31" i="3"/>
  <c r="L31" i="3" s="1"/>
  <c r="O31" i="3"/>
  <c r="N31" i="3" s="1"/>
  <c r="K32" i="3"/>
  <c r="L32" i="3" s="1"/>
  <c r="O32" i="3"/>
  <c r="N32" i="3" s="1"/>
  <c r="K33" i="3"/>
  <c r="L33" i="3" s="1"/>
  <c r="O33" i="3"/>
  <c r="N33" i="3" s="1"/>
  <c r="K34" i="3"/>
  <c r="L34" i="3" s="1"/>
  <c r="O34" i="3"/>
  <c r="N34" i="3" s="1"/>
  <c r="K35" i="3"/>
  <c r="L35" i="3" s="1"/>
  <c r="O35" i="3"/>
  <c r="N35" i="3" s="1"/>
  <c r="K36" i="3"/>
  <c r="L36" i="3" s="1"/>
  <c r="O36" i="3"/>
  <c r="N36" i="3" s="1"/>
  <c r="K37" i="3"/>
  <c r="L37" i="3" s="1"/>
  <c r="O37" i="3"/>
  <c r="N37" i="3" s="1"/>
  <c r="K38" i="3"/>
  <c r="L38" i="3" s="1"/>
  <c r="O38" i="3"/>
  <c r="N38" i="3" s="1"/>
  <c r="K39" i="3"/>
  <c r="L39" i="3" s="1"/>
  <c r="O39" i="3"/>
  <c r="N39" i="3" s="1"/>
  <c r="K40" i="3"/>
  <c r="L40" i="3" s="1"/>
  <c r="O40" i="3"/>
  <c r="N40" i="3" s="1"/>
  <c r="K41" i="3"/>
  <c r="L41" i="3" s="1"/>
  <c r="O41" i="3"/>
  <c r="N41" i="3" s="1"/>
  <c r="K42" i="3"/>
  <c r="L42" i="3" s="1"/>
  <c r="O42" i="3"/>
  <c r="N42" i="3" s="1"/>
  <c r="K43" i="3"/>
  <c r="L43" i="3" s="1"/>
  <c r="O43" i="3"/>
  <c r="N43" i="3" s="1"/>
  <c r="K44" i="3"/>
  <c r="L44" i="3" s="1"/>
  <c r="O44" i="3"/>
  <c r="N44" i="3" s="1"/>
  <c r="K45" i="3"/>
  <c r="L45" i="3" s="1"/>
  <c r="O45" i="3"/>
  <c r="N45" i="3" s="1"/>
  <c r="K46" i="3"/>
  <c r="L46" i="3" s="1"/>
  <c r="O46" i="3"/>
  <c r="N46" i="3" s="1"/>
  <c r="K47" i="3"/>
  <c r="L47" i="3" s="1"/>
  <c r="O47" i="3"/>
  <c r="N47" i="3" s="1"/>
  <c r="K48" i="3"/>
  <c r="L48" i="3" s="1"/>
  <c r="O48" i="3"/>
  <c r="N48" i="3" s="1"/>
  <c r="K2" i="3"/>
  <c r="L2" i="3" s="1"/>
  <c r="O2" i="3"/>
  <c r="N2" i="3" s="1"/>
  <c r="N36" i="2"/>
  <c r="O28" i="2"/>
  <c r="N28" i="2" s="1"/>
  <c r="O37" i="2"/>
  <c r="N37" i="2" s="1"/>
  <c r="O8" i="2"/>
  <c r="N8" i="2" s="1"/>
  <c r="O44" i="2"/>
  <c r="N44" i="2" s="1"/>
  <c r="O3" i="2"/>
  <c r="N3" i="2" s="1"/>
  <c r="O34" i="2"/>
  <c r="N34" i="2" s="1"/>
  <c r="N12" i="2"/>
  <c r="O20" i="2"/>
  <c r="N20" i="2" s="1"/>
  <c r="O17" i="2"/>
  <c r="N17" i="2" s="1"/>
  <c r="O14" i="2"/>
  <c r="N14" i="2" s="1"/>
  <c r="O6" i="2"/>
  <c r="N6" i="2" s="1"/>
  <c r="N24" i="2"/>
  <c r="O23" i="2"/>
  <c r="N23" i="2" s="1"/>
  <c r="O29" i="2"/>
  <c r="N29" i="2" s="1"/>
  <c r="O13" i="2"/>
  <c r="N13" i="2" s="1"/>
  <c r="O31" i="2"/>
  <c r="N31" i="2" s="1"/>
  <c r="O25" i="2"/>
  <c r="N25" i="2" s="1"/>
  <c r="O39" i="2"/>
  <c r="N39" i="2" s="1"/>
  <c r="O33" i="2"/>
  <c r="N33" i="2" s="1"/>
  <c r="N21" i="2"/>
  <c r="O30" i="2"/>
  <c r="N30" i="2" s="1"/>
  <c r="O46" i="2"/>
  <c r="N46" i="2" s="1"/>
  <c r="N16" i="2"/>
  <c r="O16" i="2"/>
  <c r="O9" i="2"/>
  <c r="N9" i="2" s="1"/>
  <c r="O2" i="2"/>
  <c r="N2" i="2" s="1"/>
  <c r="O48" i="2"/>
  <c r="N48" i="2" s="1"/>
  <c r="N5" i="2"/>
  <c r="O5" i="2"/>
  <c r="O10" i="2"/>
  <c r="N10" i="2" s="1"/>
  <c r="O43" i="2"/>
  <c r="N43" i="2" s="1"/>
  <c r="O27" i="2"/>
  <c r="N27" i="2" s="1"/>
  <c r="O45" i="2"/>
  <c r="N45" i="2" s="1"/>
  <c r="O11" i="2"/>
  <c r="N11" i="2" s="1"/>
  <c r="O22" i="2"/>
  <c r="N22" i="2" s="1"/>
  <c r="O32" i="2"/>
  <c r="N32" i="2" s="1"/>
  <c r="O4" i="2"/>
  <c r="N4" i="2" s="1"/>
  <c r="O47" i="2"/>
  <c r="N47" i="2" s="1"/>
  <c r="O41" i="2"/>
  <c r="N41" i="2" s="1"/>
  <c r="N38" i="2"/>
  <c r="N26" i="2"/>
  <c r="O18" i="2"/>
  <c r="N18" i="2" s="1"/>
  <c r="O15" i="2"/>
  <c r="N15" i="2" s="1"/>
  <c r="O19" i="2"/>
  <c r="N19" i="2" s="1"/>
  <c r="N40" i="2"/>
  <c r="O40" i="2"/>
  <c r="O7" i="2"/>
  <c r="N7" i="2" s="1"/>
  <c r="O35" i="2"/>
  <c r="N35" i="2" s="1"/>
  <c r="O42" i="2"/>
  <c r="N42" i="2" s="1"/>
  <c r="L42" i="2"/>
  <c r="K42" i="2"/>
  <c r="L12" i="7" l="1"/>
  <c r="L5" i="7"/>
  <c r="L6" i="7"/>
  <c r="L7" i="7"/>
  <c r="L8" i="7"/>
  <c r="L9" i="7"/>
  <c r="L2" i="7"/>
  <c r="L10" i="7"/>
  <c r="L3" i="7"/>
  <c r="L11" i="7"/>
  <c r="L4" i="7"/>
  <c r="T37" i="7"/>
  <c r="S37" i="7" s="1"/>
  <c r="T17" i="7"/>
  <c r="S17" i="7" s="1"/>
  <c r="T25" i="7"/>
  <c r="S25" i="7" s="1"/>
  <c r="Q10" i="7"/>
  <c r="P10" i="7" s="1"/>
  <c r="P7" i="7"/>
  <c r="Q9" i="7"/>
  <c r="P9" i="7" s="1"/>
  <c r="Q4" i="7"/>
  <c r="P4" i="7" s="1"/>
  <c r="P6" i="7"/>
  <c r="Q8" i="7"/>
  <c r="P8" i="7" s="1"/>
  <c r="Q12" i="7"/>
  <c r="P12" i="7" s="1"/>
  <c r="P3" i="7"/>
  <c r="Q5" i="7"/>
  <c r="P5" i="7" s="1"/>
  <c r="S13" i="7"/>
  <c r="S45" i="7"/>
  <c r="S33" i="7"/>
  <c r="S21" i="7"/>
  <c r="S41" i="7"/>
  <c r="S29" i="7"/>
  <c r="M3" i="6"/>
  <c r="N11" i="7"/>
  <c r="M5" i="6"/>
  <c r="M4" i="6"/>
  <c r="M2" i="6"/>
  <c r="M10" i="6"/>
  <c r="M9" i="6"/>
  <c r="N3" i="7"/>
  <c r="M8" i="6"/>
  <c r="M7" i="6"/>
  <c r="N12" i="7"/>
  <c r="M6" i="6"/>
  <c r="N2" i="7"/>
  <c r="T2" i="7"/>
  <c r="S2" i="7" s="1"/>
  <c r="T24" i="7"/>
  <c r="S24" i="7" s="1"/>
  <c r="T44" i="7"/>
  <c r="S44" i="7" s="1"/>
  <c r="T32" i="7"/>
  <c r="S32" i="7" s="1"/>
  <c r="T20" i="7"/>
  <c r="S20" i="7" s="1"/>
  <c r="N4" i="7"/>
  <c r="N9" i="7"/>
  <c r="T40" i="7"/>
  <c r="S40" i="7" s="1"/>
  <c r="N10" i="7"/>
  <c r="T28" i="7"/>
  <c r="S28" i="7" s="1"/>
  <c r="T16" i="7"/>
  <c r="S16" i="7" s="1"/>
  <c r="T48" i="7"/>
  <c r="S48" i="7"/>
  <c r="N5" i="7"/>
  <c r="T36" i="7"/>
  <c r="S36" i="7" s="1"/>
  <c r="M8" i="7"/>
  <c r="T8" i="7" s="1"/>
  <c r="S8" i="7" s="1"/>
  <c r="S15" i="7"/>
  <c r="S19" i="7"/>
  <c r="S23" i="7"/>
  <c r="S27" i="7"/>
  <c r="S31" i="7"/>
  <c r="S35" i="7"/>
  <c r="S39" i="7"/>
  <c r="S43" i="7"/>
  <c r="S47" i="7"/>
  <c r="Q2" i="7"/>
  <c r="P2" i="7" s="1"/>
  <c r="M7" i="7"/>
  <c r="T7" i="7" s="1"/>
  <c r="S7" i="7" s="1"/>
  <c r="M6" i="7"/>
  <c r="S6" i="7" s="1"/>
  <c r="S46" i="7"/>
  <c r="N6" i="7" l="1"/>
  <c r="N8" i="7"/>
  <c r="N7" i="7"/>
</calcChain>
</file>

<file path=xl/sharedStrings.xml><?xml version="1.0" encoding="utf-8"?>
<sst xmlns="http://schemas.openxmlformats.org/spreadsheetml/2006/main" count="347" uniqueCount="154">
  <si>
    <t>CCAA</t>
  </si>
  <si>
    <t>Apellidos</t>
  </si>
  <si>
    <t>Nombre</t>
  </si>
  <si>
    <t>2ºNombre</t>
  </si>
  <si>
    <t>Ciudad</t>
  </si>
  <si>
    <t>País</t>
  </si>
  <si>
    <t>Email</t>
  </si>
  <si>
    <t>Género</t>
  </si>
  <si>
    <t>F.Nac</t>
  </si>
  <si>
    <t>Club</t>
  </si>
  <si>
    <t>Prueba</t>
  </si>
  <si>
    <t>Ránk. Individual</t>
  </si>
  <si>
    <t>Ranking Dobles</t>
  </si>
  <si>
    <t>Ránking Mixtos</t>
  </si>
  <si>
    <t>Puntos Ind</t>
  </si>
  <si>
    <t>Puntos Dobles</t>
  </si>
  <si>
    <t>Puntos Mixtos</t>
  </si>
  <si>
    <t>LICENCIA</t>
  </si>
  <si>
    <t>Partner LICENCIA</t>
  </si>
  <si>
    <t>M</t>
  </si>
  <si>
    <t>Eduardo Revuelta Santamaria</t>
  </si>
  <si>
    <t>Alfonso Juan Narbona Mazuela</t>
  </si>
  <si>
    <t>Miguel Lopez Gomez</t>
  </si>
  <si>
    <t>Borja Navas Diaz</t>
  </si>
  <si>
    <t>Carlos Badia Rambla</t>
  </si>
  <si>
    <t>Andres Rodriguez-Palacan Garcia</t>
  </si>
  <si>
    <t>Mario Acuyo Osorio</t>
  </si>
  <si>
    <t>Diego Morillas Poyato</t>
  </si>
  <si>
    <t>Francisco Javier De Marcos Del Pozo</t>
  </si>
  <si>
    <t>César Gómez Pujalte</t>
  </si>
  <si>
    <t>Carlos Garcia Barreras</t>
  </si>
  <si>
    <t>Marcos Flores Doblas</t>
  </si>
  <si>
    <t>David Alvarez Escriva</t>
  </si>
  <si>
    <t>Jose Manuel Granados Sanchez</t>
  </si>
  <si>
    <t>Hugo Granados Jimenez</t>
  </si>
  <si>
    <t>Jacobo Marin Alia Rebate</t>
  </si>
  <si>
    <t>Sergio Diaz Ibañez</t>
  </si>
  <si>
    <t>Rubén Medina Díaz</t>
  </si>
  <si>
    <t>Jorge Gutiérrez Diego</t>
  </si>
  <si>
    <t>Emilio Parrilla Pulido</t>
  </si>
  <si>
    <t>Jesus Moreno Aguilar</t>
  </si>
  <si>
    <t>Francisco Javier González Arribas</t>
  </si>
  <si>
    <t>Sergio Martínez Gallego</t>
  </si>
  <si>
    <t>Tristán Santiago Gonzalez Berjano</t>
  </si>
  <si>
    <t>Angel Gallego Julian</t>
  </si>
  <si>
    <t>Borja Bergareche Sans</t>
  </si>
  <si>
    <t>Victor Acevedo Diaz</t>
  </si>
  <si>
    <t>Miguel Viñuela Villalba</t>
  </si>
  <si>
    <t>Jaime Alvarez Domeque</t>
  </si>
  <si>
    <t>Juan Bermudo Mera</t>
  </si>
  <si>
    <t>Miguel Rodrigo Hurtado Lorenzo</t>
  </si>
  <si>
    <t>Adrián Joglar Bravo</t>
  </si>
  <si>
    <t>Alfonso Rosagro Escámez</t>
  </si>
  <si>
    <t>Pedro Camara Camara</t>
  </si>
  <si>
    <t>Andrés González Blanco</t>
  </si>
  <si>
    <t>Francisco Montejo Gonzalez</t>
  </si>
  <si>
    <t>Daniel Almenar Gonzalez</t>
  </si>
  <si>
    <t>Mario Satrústegui Coca</t>
  </si>
  <si>
    <t>Javier Reimúndez</t>
  </si>
  <si>
    <t>Jose Maria Parrilla Garcia</t>
  </si>
  <si>
    <t>Fco Jose Ibañez Rodriguez</t>
  </si>
  <si>
    <t>David García Rollón</t>
  </si>
  <si>
    <t>Iñaki Fraile Villanueva</t>
  </si>
  <si>
    <t>Manuel Gómez Navarro</t>
  </si>
  <si>
    <t>Alvaro Prieto Perez</t>
  </si>
  <si>
    <t>Javier Angulo Fernández</t>
  </si>
  <si>
    <t>Manuel Muñoz Maroto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</si>
  <si>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</si>
  <si>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</si>
  <si>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</si>
  <si>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</si>
  <si>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</si>
  <si>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</si>
  <si>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</si>
  <si>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</si>
  <si>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</si>
  <si>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</si>
  <si>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</si>
  <si>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</si>
  <si>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</si>
  <si>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</si>
  <si>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</si>
  <si>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</si>
  <si>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</si>
  <si>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</si>
  <si>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Alfonso Juan</t>
  </si>
  <si>
    <t>Francisco Javier</t>
  </si>
  <si>
    <t>Jose</t>
  </si>
  <si>
    <t>Jose Manuel</t>
  </si>
  <si>
    <t>Jose Maria</t>
  </si>
  <si>
    <t>Fco Jose</t>
  </si>
  <si>
    <t>Carlota Cartagena</t>
  </si>
  <si>
    <t>Maria Jose Prieto Martinez</t>
  </si>
  <si>
    <t>Alejandra Ynclan Pajares</t>
  </si>
  <si>
    <t>Valeria Calvo Lopez</t>
  </si>
  <si>
    <t>Rebeca Molero Lorenzo</t>
  </si>
  <si>
    <t>Celia Ibañez Cavanillas</t>
  </si>
  <si>
    <t>Anna Adamska</t>
  </si>
  <si>
    <t>Rocio Cardo Rodriguez</t>
  </si>
  <si>
    <t>Sara Silvestre Garcia</t>
  </si>
  <si>
    <t>Teresa Castillo Erustes</t>
  </si>
  <si>
    <t>Julie Neill</t>
  </si>
  <si>
    <t>Jose Mª Sardiña Valero</t>
  </si>
  <si>
    <t>Santiago Jimenez Jimenez</t>
  </si>
  <si>
    <t>Carlos Garcia De Mingo</t>
  </si>
  <si>
    <t>Mario Garrido Sanjuan</t>
  </si>
  <si>
    <t>Manuel Gallego Diez</t>
  </si>
  <si>
    <t>Pablo Sereno Deudero</t>
  </si>
  <si>
    <t>Enrique Aparicio Rivas</t>
  </si>
  <si>
    <t>Felix Torres Uriel</t>
  </si>
  <si>
    <t>Miguel Viñuela Rubio</t>
  </si>
  <si>
    <t>Angel Luis Ruiz Camara</t>
  </si>
  <si>
    <t>Oscar Sanchez Valverde</t>
  </si>
  <si>
    <t>Juan Manuel Sanz Engel</t>
  </si>
  <si>
    <t>Federico Bitan Georget</t>
  </si>
  <si>
    <t>Gabriel Satrústegui Escudero</t>
  </si>
  <si>
    <t>Quintin Garrido Sánchez</t>
  </si>
  <si>
    <t>Laurent Nederlandt</t>
  </si>
  <si>
    <t>Jose Fernandez Garcia</t>
  </si>
  <si>
    <t>Mª Sardiña Valero</t>
  </si>
  <si>
    <t>+50 I M</t>
  </si>
  <si>
    <t>José Luis Benito Ludeña</t>
  </si>
  <si>
    <t>Ramon Gonzalez Viedma</t>
  </si>
  <si>
    <t>Javier De La Iglesia López</t>
  </si>
  <si>
    <t>Jose Antonio Cristobal Bermejo</t>
  </si>
  <si>
    <t>Manuel Sanz Moriñigo</t>
  </si>
  <si>
    <t>Roberto Ibáñez Hidalgo</t>
  </si>
  <si>
    <t>Juan José Hergueta Moyano</t>
  </si>
  <si>
    <t>Jose Antonio Gargantilla Moreno</t>
  </si>
  <si>
    <t>Ramon Gonzalez Viedma - José Luis Benito Ludeña</t>
  </si>
  <si>
    <t>Juan José Hergueta Moyano - Javier De La Iglesia López</t>
  </si>
  <si>
    <t>Jesús Valencia Abad - Charlie Wilson</t>
  </si>
  <si>
    <t>Laudelino Quintero Armas - Enrique López García</t>
  </si>
  <si>
    <t>Zótico Castrillo Reizábal - Jose Manuel Ocaña Martinez</t>
  </si>
  <si>
    <t>Antonio Leganes Sanchez - Jose Antonio Cristobal Bermejo</t>
  </si>
  <si>
    <t>Roberto Ibáñez Hidalgo - Manuel Sanz Moriñigo</t>
  </si>
  <si>
    <t>Jose Agustin Campoy Rodriguez - Ramon Diaz Navas</t>
  </si>
  <si>
    <t>Oscar Pasanau Torras - Jose Luis Fernandez</t>
  </si>
  <si>
    <t>Carlos Garcia - Mario Playa Serra</t>
  </si>
  <si>
    <t>Juan Jose Gomez Delgado - Santiago Jimenez Jimenez</t>
  </si>
  <si>
    <t>Miguel Rodriguez-Palanca Pliego - Luis Martinex Gonzalez</t>
  </si>
  <si>
    <t>Jose Mª Sardiña - Raul De La Muela</t>
  </si>
  <si>
    <t>Rafael Martín Rodríguez - Angel Luis Ruiz Camara</t>
  </si>
  <si>
    <t>Juan Manuel Sanz Engel - Gabriel Iriarte Perez</t>
  </si>
  <si>
    <t>Joan Manuel Linares Andrade - Felix Torres</t>
  </si>
  <si>
    <t>Fernando Garcia Alcala Nieto - David Chichon</t>
  </si>
  <si>
    <t>Federico Bitan Georget - David Ojalvo Lozano</t>
  </si>
  <si>
    <t>Ricardo Lozano Puerto - Manuel Ariza Nuñez</t>
  </si>
  <si>
    <t>Ignacio Luaces - Marcos Delgado</t>
  </si>
  <si>
    <t>Angel Luis</t>
  </si>
  <si>
    <t>Joan Manuel Linares Andrade - Felix Torres Uriel</t>
  </si>
  <si>
    <t>Miguel Rodriguez-Palanca Pliego</t>
  </si>
  <si>
    <t>Carlos Garcia De Mingo - Mario Playa Serra</t>
  </si>
  <si>
    <t>Jose Mª Sardiña Valero - Raul De La Muela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</si>
</sst>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7"/>
      <color rgb="FF333333"/>
      <name val="Tahoma"/>
      <family val="2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medium">
        <color rgb="FFDDDDDD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/>
    <xf numFmtId="0" fontId="3" fillId="2" borderId="2" xfId="1" applyFill="1" applyBorder="1" applyAlignment="1">
      <alignment vertical="top" wrapText="1"/>
    </xf>
    <xf numFmtId="14" fontId="2" fillId="2" borderId="2" xfId="0" applyNumberFormat="1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14" fontId="0" fillId="0" borderId="0" xfId="0" applyNumberFormat="1"/>
    <xf numFmtId="14" fontId="1" fillId="0" borderId="1" xfId="0" applyNumberFormat="1" applyFont="1" applyBorder="1"/>
    <xf numFmtId="0" fontId="0" fillId="0" borderId="0" xfId="0" quotePrefix="1"/>
    <xf numFmtId="14" fontId="2" fillId="3" borderId="2" xfId="0" applyNumberFormat="1" applyFont="1" applyFill="1" applyBorder="1" applyAlignment="1">
      <alignment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ase%20de%20datos%20de%20Jugador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Hoja1"/>
    </sheetNames>
    <sheetDataSet>
      <sheetData sheetId="0">
        <row r="1">
          <cell r="A1" t="str">
            <v>Completo</v>
          </cell>
          <cell r="B1" t="str">
            <v>Nº.ID</v>
          </cell>
        </row>
        <row r="2">
          <cell r="A2" t="str">
            <v>Victor Acevedo Diaz</v>
          </cell>
          <cell r="B2">
            <v>10778481</v>
          </cell>
        </row>
        <row r="3">
          <cell r="A3" t="str">
            <v>Mario Acuyo Osorio</v>
          </cell>
          <cell r="B3">
            <v>10763937</v>
          </cell>
        </row>
        <row r="4">
          <cell r="A4" t="str">
            <v>Anna Adamska</v>
          </cell>
          <cell r="B4">
            <v>10771500</v>
          </cell>
        </row>
        <row r="5">
          <cell r="A5" t="str">
            <v>Daniel Almenar Gonzalez</v>
          </cell>
          <cell r="B5">
            <v>10774778</v>
          </cell>
        </row>
        <row r="6">
          <cell r="A6" t="str">
            <v>Sara Álvarez</v>
          </cell>
          <cell r="B6">
            <v>13405643</v>
          </cell>
        </row>
        <row r="7">
          <cell r="A7" t="str">
            <v>Asuncion Alvarez Bolaños</v>
          </cell>
          <cell r="B7">
            <v>10768490</v>
          </cell>
        </row>
        <row r="8">
          <cell r="A8" t="str">
            <v>Jaime Alvarez Domeque</v>
          </cell>
          <cell r="B8">
            <v>10134930</v>
          </cell>
        </row>
        <row r="9">
          <cell r="A9" t="str">
            <v>David Alvarez Escriva</v>
          </cell>
          <cell r="B9">
            <v>13005526</v>
          </cell>
        </row>
        <row r="10">
          <cell r="A10" t="str">
            <v>Víctor Álvarez Iglesias</v>
          </cell>
          <cell r="B10">
            <v>10777615</v>
          </cell>
        </row>
        <row r="11">
          <cell r="A11" t="str">
            <v>Jose Angel Martin</v>
          </cell>
          <cell r="B11">
            <v>10772558</v>
          </cell>
        </row>
        <row r="12">
          <cell r="A12" t="str">
            <v>Javier Angulo Fernández</v>
          </cell>
          <cell r="B12">
            <v>7179733</v>
          </cell>
        </row>
        <row r="13">
          <cell r="A13" t="str">
            <v>Pablo Ansaldo Hernandez</v>
          </cell>
          <cell r="B13">
            <v>10768101</v>
          </cell>
        </row>
        <row r="14">
          <cell r="A14" t="str">
            <v>Marcos Ansaldo Hernandez</v>
          </cell>
          <cell r="B14" t="str">
            <v>T0002</v>
          </cell>
        </row>
        <row r="15">
          <cell r="A15" t="str">
            <v>Enrique Aparicio Rivas</v>
          </cell>
          <cell r="B15">
            <v>7029368</v>
          </cell>
        </row>
        <row r="16">
          <cell r="A16" t="str">
            <v>Enrique Aparicio Sanchez</v>
          </cell>
          <cell r="B16" t="str">
            <v>T0003</v>
          </cell>
        </row>
        <row r="17">
          <cell r="A17" t="str">
            <v>Maria Rosa Arias Carracedo</v>
          </cell>
          <cell r="B17">
            <v>10768581</v>
          </cell>
        </row>
        <row r="18">
          <cell r="A18" t="str">
            <v>Manuel Ariza Nuñez</v>
          </cell>
          <cell r="B18" t="str">
            <v>T0061</v>
          </cell>
        </row>
        <row r="19">
          <cell r="A19" t="str">
            <v>Carlos Badia Rambla</v>
          </cell>
          <cell r="B19">
            <v>10770742</v>
          </cell>
        </row>
        <row r="20">
          <cell r="A20" t="str">
            <v>Mariano Báez Clemente</v>
          </cell>
          <cell r="B20" t="str">
            <v>T0004</v>
          </cell>
        </row>
        <row r="21">
          <cell r="A21" t="str">
            <v>Daniel Bajo Calderón</v>
          </cell>
          <cell r="B21" t="str">
            <v>T0005</v>
          </cell>
        </row>
        <row r="22">
          <cell r="A22" t="str">
            <v>Lorena Barbero</v>
          </cell>
          <cell r="B22">
            <v>10772920</v>
          </cell>
        </row>
        <row r="23">
          <cell r="A23" t="str">
            <v>Jose Barbero</v>
          </cell>
          <cell r="B23">
            <v>10778837</v>
          </cell>
        </row>
        <row r="24">
          <cell r="A24" t="str">
            <v>Rafael Baudet Vera</v>
          </cell>
          <cell r="B24" t="str">
            <v>T0006</v>
          </cell>
        </row>
        <row r="25">
          <cell r="A25" t="str">
            <v>Julia Beltran Molina</v>
          </cell>
          <cell r="B25">
            <v>5819521</v>
          </cell>
        </row>
        <row r="26">
          <cell r="A26" t="str">
            <v>José Luis Benito Ludeña</v>
          </cell>
          <cell r="B26">
            <v>10765602</v>
          </cell>
        </row>
        <row r="27">
          <cell r="A27" t="str">
            <v>Borja Bergareche Sans</v>
          </cell>
          <cell r="B27">
            <v>10110146</v>
          </cell>
        </row>
        <row r="28">
          <cell r="A28" t="str">
            <v>Juan Bermudo Mera</v>
          </cell>
          <cell r="B28">
            <v>10602250</v>
          </cell>
        </row>
        <row r="29">
          <cell r="A29" t="str">
            <v>Beatriz Bilbao Areitio</v>
          </cell>
          <cell r="B29">
            <v>10574095</v>
          </cell>
        </row>
        <row r="30">
          <cell r="A30" t="str">
            <v>Federico Bitan Georget</v>
          </cell>
          <cell r="B30">
            <v>10081610</v>
          </cell>
        </row>
        <row r="31">
          <cell r="A31" t="str">
            <v>Francisco Javier Blanco Acedo</v>
          </cell>
          <cell r="B31" t="str">
            <v>T0007</v>
          </cell>
        </row>
        <row r="32">
          <cell r="A32" t="str">
            <v>Raul Bravo Muro</v>
          </cell>
          <cell r="B32">
            <v>10771237</v>
          </cell>
        </row>
        <row r="33">
          <cell r="A33" t="str">
            <v>Marisa Bueno</v>
          </cell>
          <cell r="B33">
            <v>10773150</v>
          </cell>
        </row>
        <row r="34">
          <cell r="A34" t="str">
            <v>Valeria Calvo Lopez</v>
          </cell>
          <cell r="B34">
            <v>10640755</v>
          </cell>
        </row>
        <row r="35">
          <cell r="A35" t="str">
            <v>Pedro Camara Camara</v>
          </cell>
          <cell r="B35">
            <v>14043335</v>
          </cell>
        </row>
        <row r="36">
          <cell r="A36" t="str">
            <v>Joel Campillo</v>
          </cell>
          <cell r="B36" t="str">
            <v>T0008</v>
          </cell>
        </row>
        <row r="37">
          <cell r="A37" t="str">
            <v>Jose Agustín Campoy Rodriguez</v>
          </cell>
          <cell r="B37">
            <v>10768044</v>
          </cell>
        </row>
        <row r="38">
          <cell r="A38" t="str">
            <v>Roberto Carabias Muñoz</v>
          </cell>
          <cell r="B38">
            <v>10770677</v>
          </cell>
        </row>
        <row r="39">
          <cell r="A39" t="str">
            <v>Rocio Cardo Rodriguez</v>
          </cell>
          <cell r="B39">
            <v>10768911</v>
          </cell>
        </row>
        <row r="40">
          <cell r="A40" t="str">
            <v>Carlota Cartagena</v>
          </cell>
          <cell r="B40">
            <v>10058320</v>
          </cell>
        </row>
        <row r="41">
          <cell r="A41" t="str">
            <v>Domenec Antonio Caruso Lopez</v>
          </cell>
          <cell r="B41">
            <v>10768664</v>
          </cell>
        </row>
        <row r="42">
          <cell r="A42" t="str">
            <v>Teresa Castillo Erustes</v>
          </cell>
          <cell r="B42">
            <v>10771584</v>
          </cell>
        </row>
        <row r="43">
          <cell r="A43" t="str">
            <v>Zótico Castrillo Reizábal</v>
          </cell>
          <cell r="B43">
            <v>10042042</v>
          </cell>
        </row>
        <row r="44">
          <cell r="A44" t="str">
            <v>Jose Catalán De La Iglesia</v>
          </cell>
          <cell r="B44">
            <v>10778738</v>
          </cell>
        </row>
        <row r="45">
          <cell r="A45" t="str">
            <v>David Chichon</v>
          </cell>
          <cell r="B45" t="str">
            <v>T0062</v>
          </cell>
        </row>
        <row r="46">
          <cell r="A46" t="str">
            <v>Daniel Coggins Núñez</v>
          </cell>
          <cell r="B46">
            <v>10770510</v>
          </cell>
        </row>
        <row r="47">
          <cell r="A47" t="str">
            <v>M.Elena Cordero</v>
          </cell>
          <cell r="B47">
            <v>10771831</v>
          </cell>
        </row>
        <row r="48">
          <cell r="A48" t="str">
            <v>Jose Antonio Cristobal Bermejo</v>
          </cell>
          <cell r="B48">
            <v>10770669</v>
          </cell>
        </row>
        <row r="49">
          <cell r="A49" t="str">
            <v>Carmen Cuadrado Vives</v>
          </cell>
          <cell r="B49" t="str">
            <v>T0009</v>
          </cell>
        </row>
        <row r="50">
          <cell r="A50" t="str">
            <v>Ivan Cuadros</v>
          </cell>
          <cell r="B50" t="str">
            <v>T0010</v>
          </cell>
        </row>
        <row r="51">
          <cell r="A51" t="str">
            <v>Laura Davila Alcala</v>
          </cell>
          <cell r="B51">
            <v>10778209</v>
          </cell>
        </row>
        <row r="52">
          <cell r="A52" t="str">
            <v>Blanca De Dorremochea Zaldivar</v>
          </cell>
          <cell r="B52" t="str">
            <v>T0011</v>
          </cell>
        </row>
        <row r="53">
          <cell r="A53" t="str">
            <v>Álvaro De Francisco Rus</v>
          </cell>
          <cell r="B53">
            <v>10782846</v>
          </cell>
        </row>
        <row r="54">
          <cell r="A54" t="str">
            <v>Javier De La Iglesia López</v>
          </cell>
          <cell r="B54">
            <v>10772871</v>
          </cell>
        </row>
        <row r="55">
          <cell r="A55" t="str">
            <v>Raul De La Muela</v>
          </cell>
          <cell r="B55" t="str">
            <v>T0012</v>
          </cell>
        </row>
        <row r="56">
          <cell r="A56" t="str">
            <v>Francisco Javier De Marcos Del Pozo</v>
          </cell>
          <cell r="B56">
            <v>10767153</v>
          </cell>
        </row>
        <row r="57">
          <cell r="A57" t="str">
            <v>María De Miguel Gonzalez</v>
          </cell>
          <cell r="B57">
            <v>10768804</v>
          </cell>
        </row>
        <row r="58">
          <cell r="A58" t="str">
            <v>Gonzalo De Torres</v>
          </cell>
          <cell r="B58">
            <v>10785501</v>
          </cell>
        </row>
        <row r="59">
          <cell r="A59" t="str">
            <v>Sonia Del Pozo</v>
          </cell>
          <cell r="B59" t="str">
            <v>T0013</v>
          </cell>
        </row>
        <row r="60">
          <cell r="A60" t="str">
            <v>Marcos Delgado</v>
          </cell>
          <cell r="B60" t="str">
            <v>T0063</v>
          </cell>
        </row>
        <row r="61">
          <cell r="A61" t="str">
            <v>Nerea Derbis</v>
          </cell>
          <cell r="B61" t="str">
            <v>T0014</v>
          </cell>
        </row>
        <row r="62">
          <cell r="A62" t="str">
            <v>Sergio Diaz Ibañez</v>
          </cell>
          <cell r="B62">
            <v>16307820</v>
          </cell>
        </row>
        <row r="63">
          <cell r="A63" t="str">
            <v>Ramon Diaz Navas</v>
          </cell>
          <cell r="B63" t="str">
            <v>T0015</v>
          </cell>
        </row>
        <row r="64">
          <cell r="A64" t="str">
            <v>Pilar Doiztúa Calero</v>
          </cell>
          <cell r="B64">
            <v>10770643</v>
          </cell>
        </row>
        <row r="65">
          <cell r="A65" t="str">
            <v>Carmen Errejon Perez</v>
          </cell>
          <cell r="B65">
            <v>10770495</v>
          </cell>
        </row>
        <row r="66">
          <cell r="A66" t="str">
            <v>Consuelo Escolano</v>
          </cell>
          <cell r="B66" t="str">
            <v>T0016</v>
          </cell>
        </row>
        <row r="67">
          <cell r="A67" t="str">
            <v>Juan Antonio Espinosa</v>
          </cell>
          <cell r="B67">
            <v>10772524</v>
          </cell>
        </row>
        <row r="68">
          <cell r="A68" t="str">
            <v>Mario Espinosa Sedano</v>
          </cell>
          <cell r="B68" t="str">
            <v>T0017</v>
          </cell>
        </row>
        <row r="69">
          <cell r="A69" t="str">
            <v>Jose Luis Fernandez</v>
          </cell>
          <cell r="B69" t="str">
            <v>T0018</v>
          </cell>
        </row>
        <row r="70">
          <cell r="A70" t="str">
            <v>Jose Luis Fernandez Arevalo</v>
          </cell>
          <cell r="B70">
            <v>10767426</v>
          </cell>
        </row>
        <row r="71">
          <cell r="A71" t="str">
            <v>Jose Fernandez Garcia</v>
          </cell>
          <cell r="B71">
            <v>10772821</v>
          </cell>
        </row>
        <row r="72">
          <cell r="A72" t="str">
            <v>Sergio Fernández Rebollo</v>
          </cell>
          <cell r="B72">
            <v>10777855</v>
          </cell>
        </row>
        <row r="73">
          <cell r="A73" t="str">
            <v>Rosa Fernández Salvador</v>
          </cell>
          <cell r="B73" t="str">
            <v>T0019</v>
          </cell>
        </row>
        <row r="74">
          <cell r="A74" t="str">
            <v>Rosa Ferrando</v>
          </cell>
          <cell r="B74" t="str">
            <v>T0020</v>
          </cell>
        </row>
        <row r="75">
          <cell r="A75" t="str">
            <v>Marcos Flores Doblas</v>
          </cell>
          <cell r="B75">
            <v>10770627</v>
          </cell>
        </row>
        <row r="76">
          <cell r="A76" t="str">
            <v>Iñaki Fraile Villanueva</v>
          </cell>
          <cell r="B76">
            <v>10623024</v>
          </cell>
        </row>
        <row r="77">
          <cell r="A77" t="str">
            <v>Enrique Frances Arnau</v>
          </cell>
          <cell r="B77">
            <v>10768630</v>
          </cell>
        </row>
        <row r="78">
          <cell r="A78" t="str">
            <v>Antonio Franco Herrero</v>
          </cell>
          <cell r="B78">
            <v>10778457</v>
          </cell>
        </row>
        <row r="79">
          <cell r="A79" t="str">
            <v>Patricia Franco Herrero</v>
          </cell>
          <cell r="B79" t="str">
            <v>T0021</v>
          </cell>
        </row>
        <row r="80">
          <cell r="A80" t="str">
            <v>Manuel Gallego Diez</v>
          </cell>
          <cell r="B80">
            <v>10774679</v>
          </cell>
        </row>
        <row r="81">
          <cell r="A81" t="str">
            <v>Angel Gallego Julian</v>
          </cell>
          <cell r="B81">
            <v>10768614</v>
          </cell>
        </row>
        <row r="82">
          <cell r="A82" t="str">
            <v>Fernando Garcia Alcala Nieto</v>
          </cell>
          <cell r="B82">
            <v>10763812</v>
          </cell>
        </row>
        <row r="83">
          <cell r="A83" t="str">
            <v>Carlos Garcia Barreras</v>
          </cell>
          <cell r="B83">
            <v>10771120</v>
          </cell>
        </row>
        <row r="84">
          <cell r="A84" t="str">
            <v>Carlos Garcia De Mingo</v>
          </cell>
          <cell r="B84">
            <v>10266907</v>
          </cell>
        </row>
        <row r="85">
          <cell r="A85" t="str">
            <v>Alejandra Herminia Garcia Martin</v>
          </cell>
          <cell r="B85">
            <v>10766197</v>
          </cell>
        </row>
        <row r="86">
          <cell r="A86" t="str">
            <v>Gema García Rodríguez</v>
          </cell>
          <cell r="B86" t="str">
            <v>T0022</v>
          </cell>
        </row>
        <row r="87">
          <cell r="A87" t="str">
            <v>David García Rollón</v>
          </cell>
          <cell r="B87">
            <v>7456397</v>
          </cell>
        </row>
        <row r="88">
          <cell r="A88" t="str">
            <v>Natalia García -Villamil</v>
          </cell>
          <cell r="B88" t="str">
            <v>T0023</v>
          </cell>
        </row>
        <row r="89">
          <cell r="A89" t="str">
            <v>Carolina Garcia-Gasco Castillo</v>
          </cell>
          <cell r="B89">
            <v>10766832</v>
          </cell>
        </row>
        <row r="90">
          <cell r="A90" t="str">
            <v>Jose Antonio Gargantilla Moreno</v>
          </cell>
          <cell r="B90">
            <v>10772441</v>
          </cell>
        </row>
        <row r="91">
          <cell r="A91" t="str">
            <v>Quintin Garrido Sánchez</v>
          </cell>
          <cell r="B91">
            <v>10112077</v>
          </cell>
        </row>
        <row r="92">
          <cell r="A92" t="str">
            <v>Mario Garrido Sanjuan</v>
          </cell>
          <cell r="B92">
            <v>10357326</v>
          </cell>
        </row>
        <row r="93">
          <cell r="A93" t="str">
            <v>Juan Jose Gomez Delgado</v>
          </cell>
          <cell r="B93">
            <v>10073005</v>
          </cell>
        </row>
        <row r="94">
          <cell r="A94" t="str">
            <v>Marcos Gómez Laborda</v>
          </cell>
          <cell r="B94" t="str">
            <v>T0024</v>
          </cell>
        </row>
        <row r="95">
          <cell r="A95" t="str">
            <v>Manuel Gómez Navarro</v>
          </cell>
          <cell r="B95">
            <v>10766478</v>
          </cell>
        </row>
        <row r="96">
          <cell r="A96" t="str">
            <v>César Gómez Pujalte</v>
          </cell>
          <cell r="B96">
            <v>10772409</v>
          </cell>
        </row>
        <row r="97">
          <cell r="A97" t="str">
            <v>Gustavo Gonzalez</v>
          </cell>
          <cell r="B97">
            <v>7209499</v>
          </cell>
        </row>
        <row r="98">
          <cell r="A98" t="str">
            <v>Javier Gonzalez</v>
          </cell>
          <cell r="B98" t="str">
            <v>T0025</v>
          </cell>
        </row>
        <row r="99">
          <cell r="A99" t="str">
            <v>Francisco Javier González Arribas</v>
          </cell>
          <cell r="B99">
            <v>10777483</v>
          </cell>
        </row>
        <row r="100">
          <cell r="A100" t="str">
            <v>Andrés González Blanco</v>
          </cell>
          <cell r="B100">
            <v>10770768</v>
          </cell>
        </row>
        <row r="101">
          <cell r="A101" t="str">
            <v>Jose Luis Gonzalez Cano</v>
          </cell>
          <cell r="B101">
            <v>10772251</v>
          </cell>
        </row>
        <row r="102">
          <cell r="A102" t="str">
            <v>Alvaro Gonzalez Pacheco</v>
          </cell>
          <cell r="B102">
            <v>10767939</v>
          </cell>
        </row>
        <row r="103">
          <cell r="A103" t="str">
            <v>Ramon Gonzalez Viedma</v>
          </cell>
          <cell r="B103">
            <v>10770437</v>
          </cell>
        </row>
        <row r="104">
          <cell r="A104" t="str">
            <v>Hugo Granados Jimenez</v>
          </cell>
          <cell r="B104">
            <v>10440238</v>
          </cell>
        </row>
        <row r="105">
          <cell r="A105" t="str">
            <v>Jose Manuel Granados Sanchez</v>
          </cell>
          <cell r="B105">
            <v>10768375</v>
          </cell>
        </row>
        <row r="106">
          <cell r="A106" t="str">
            <v>Araceli Belen Guerrero García</v>
          </cell>
          <cell r="B106">
            <v>10766189</v>
          </cell>
        </row>
        <row r="107">
          <cell r="A107" t="str">
            <v>Jorge Gutiérrez Diego</v>
          </cell>
          <cell r="B107">
            <v>10777631</v>
          </cell>
        </row>
        <row r="108">
          <cell r="A108" t="str">
            <v>Silvia Gutiérrez Quiroga</v>
          </cell>
          <cell r="B108">
            <v>7054547</v>
          </cell>
        </row>
        <row r="109">
          <cell r="A109" t="str">
            <v>Johanna Hasenkamp</v>
          </cell>
          <cell r="B109" t="str">
            <v>T0026</v>
          </cell>
        </row>
        <row r="110">
          <cell r="A110" t="str">
            <v>Juan José Hergueta Moyano</v>
          </cell>
          <cell r="B110">
            <v>10771245</v>
          </cell>
        </row>
        <row r="111">
          <cell r="A111" t="str">
            <v>Marta Hernando Álvarez</v>
          </cell>
          <cell r="B111">
            <v>10767799</v>
          </cell>
        </row>
        <row r="112">
          <cell r="A112" t="str">
            <v>Daniel Hernando Gomez</v>
          </cell>
          <cell r="B112">
            <v>10776229</v>
          </cell>
        </row>
        <row r="113">
          <cell r="A113" t="str">
            <v>David Hita Celdran</v>
          </cell>
          <cell r="B113" t="str">
            <v>T0027</v>
          </cell>
        </row>
        <row r="114">
          <cell r="A114" t="str">
            <v>Celia Ibañez Cavanillas</v>
          </cell>
          <cell r="B114">
            <v>10772631</v>
          </cell>
        </row>
        <row r="115">
          <cell r="A115" t="str">
            <v>Roberto Ibáñez Hidalgo</v>
          </cell>
          <cell r="B115">
            <v>10766345</v>
          </cell>
        </row>
        <row r="116">
          <cell r="A116" t="str">
            <v>Fco Jose Ibañez Rodriguez</v>
          </cell>
          <cell r="B116">
            <v>10485268</v>
          </cell>
        </row>
        <row r="117">
          <cell r="A117" t="str">
            <v>Gabriel Iriarte Perez</v>
          </cell>
          <cell r="B117" t="str">
            <v>T0030</v>
          </cell>
        </row>
        <row r="118">
          <cell r="A118" t="str">
            <v>María José Jacinto Trenado</v>
          </cell>
          <cell r="B118">
            <v>10766585</v>
          </cell>
        </row>
        <row r="119">
          <cell r="A119" t="str">
            <v>Santiago Jimenez Jimenez</v>
          </cell>
          <cell r="B119">
            <v>10765884</v>
          </cell>
        </row>
        <row r="120">
          <cell r="A120" t="str">
            <v>Adrián Joglar Bravo</v>
          </cell>
          <cell r="B120">
            <v>10777821</v>
          </cell>
        </row>
        <row r="121">
          <cell r="A121" t="str">
            <v>Virginia Lainez Jimenez</v>
          </cell>
          <cell r="B121" t="str">
            <v>T0031</v>
          </cell>
        </row>
        <row r="122">
          <cell r="A122" t="str">
            <v>Antonio Leganes Sanchez</v>
          </cell>
          <cell r="B122">
            <v>10778283</v>
          </cell>
        </row>
        <row r="123">
          <cell r="A123" t="str">
            <v>Joan Manuel Linares Andrade</v>
          </cell>
          <cell r="B123">
            <v>10768789</v>
          </cell>
        </row>
        <row r="124">
          <cell r="A124" t="str">
            <v>Lorena Lopez Cabrera</v>
          </cell>
          <cell r="B124" t="str">
            <v>T0032</v>
          </cell>
        </row>
        <row r="125">
          <cell r="A125" t="str">
            <v>Enrique López García</v>
          </cell>
          <cell r="B125" t="str">
            <v>T0033</v>
          </cell>
        </row>
        <row r="126">
          <cell r="A126" t="str">
            <v>Miguel Lopez Gomez</v>
          </cell>
          <cell r="B126">
            <v>7404007</v>
          </cell>
        </row>
        <row r="127">
          <cell r="A127" t="str">
            <v>Santiago Lorenzo</v>
          </cell>
          <cell r="B127">
            <v>10773126</v>
          </cell>
        </row>
        <row r="128">
          <cell r="A128" t="str">
            <v>Ricardo Lozano Puerto</v>
          </cell>
          <cell r="B128">
            <v>620163</v>
          </cell>
        </row>
        <row r="129">
          <cell r="A129" t="str">
            <v>Ignacio Luaces</v>
          </cell>
          <cell r="B129">
            <v>10772780</v>
          </cell>
        </row>
        <row r="130">
          <cell r="A130" t="str">
            <v>Jose Maria Parrilla</v>
          </cell>
          <cell r="B130" t="str">
            <v>T0034</v>
          </cell>
        </row>
        <row r="131">
          <cell r="A131" t="str">
            <v>Jacobo Marin Alia Rebate</v>
          </cell>
          <cell r="B131">
            <v>10737734</v>
          </cell>
        </row>
        <row r="132">
          <cell r="A132" t="str">
            <v>Rafael Martín Rodríguez</v>
          </cell>
          <cell r="B132">
            <v>10766270</v>
          </cell>
        </row>
        <row r="133">
          <cell r="A133" t="str">
            <v>Luis Martinex Gonzalez</v>
          </cell>
          <cell r="B133" t="str">
            <v>T0035</v>
          </cell>
        </row>
        <row r="134">
          <cell r="A134" t="str">
            <v>Sergio Martínez Gallego</v>
          </cell>
          <cell r="B134">
            <v>10768474</v>
          </cell>
        </row>
        <row r="135">
          <cell r="A135" t="str">
            <v>Eva Martinez Gonzalez</v>
          </cell>
          <cell r="B135">
            <v>10768242</v>
          </cell>
        </row>
        <row r="136">
          <cell r="A136" t="str">
            <v>Paloma Martinez Lopez</v>
          </cell>
          <cell r="B136">
            <v>10777532</v>
          </cell>
        </row>
        <row r="137">
          <cell r="A137" t="str">
            <v>Jose Alberto Martinez Moreno</v>
          </cell>
          <cell r="B137">
            <v>10770859</v>
          </cell>
        </row>
        <row r="138">
          <cell r="A138" t="str">
            <v>Concepcion Martínez Saiz</v>
          </cell>
          <cell r="B138">
            <v>10768010</v>
          </cell>
        </row>
        <row r="139">
          <cell r="A139" t="str">
            <v>Rubén Medina Díaz</v>
          </cell>
          <cell r="B139">
            <v>10765355</v>
          </cell>
        </row>
        <row r="140">
          <cell r="A140" t="str">
            <v>Sabrina Mendez</v>
          </cell>
          <cell r="B140" t="str">
            <v>T0036</v>
          </cell>
        </row>
        <row r="141">
          <cell r="A141" t="str">
            <v>Julian Francisco Mendola</v>
          </cell>
          <cell r="B141">
            <v>10611342</v>
          </cell>
        </row>
        <row r="142">
          <cell r="A142" t="str">
            <v>Ruth María Mendoza Mendoza</v>
          </cell>
          <cell r="B142" t="str">
            <v>T0037</v>
          </cell>
        </row>
        <row r="143">
          <cell r="A143" t="str">
            <v>Rebeca Molero Lorenzo</v>
          </cell>
          <cell r="B143">
            <v>5830585</v>
          </cell>
        </row>
        <row r="144">
          <cell r="A144" t="str">
            <v>Juan Manuel Montañez Cordobes</v>
          </cell>
          <cell r="B144">
            <v>10767252</v>
          </cell>
        </row>
        <row r="145">
          <cell r="A145" t="str">
            <v>Francisco Montejo Gonzalez</v>
          </cell>
          <cell r="B145">
            <v>10169135</v>
          </cell>
        </row>
        <row r="146">
          <cell r="A146" t="str">
            <v>Jesus Moreno Aguilar</v>
          </cell>
          <cell r="B146">
            <v>10768482</v>
          </cell>
        </row>
        <row r="147">
          <cell r="A147" t="str">
            <v>Diego Morillas Poyato</v>
          </cell>
          <cell r="B147">
            <v>10770809</v>
          </cell>
        </row>
        <row r="148">
          <cell r="A148" t="str">
            <v>Manuel Muñoz Maroto</v>
          </cell>
          <cell r="B148">
            <v>9659246</v>
          </cell>
        </row>
        <row r="149">
          <cell r="A149" t="str">
            <v>Paloma Muriel Gutierrez</v>
          </cell>
          <cell r="B149">
            <v>10772855</v>
          </cell>
        </row>
        <row r="150">
          <cell r="A150" t="str">
            <v>Manijeh Nan Kargahi</v>
          </cell>
          <cell r="B150">
            <v>10772722</v>
          </cell>
        </row>
        <row r="151">
          <cell r="A151" t="str">
            <v>Alfonso Juan Narbona Mazuela</v>
          </cell>
          <cell r="B151">
            <v>9431412</v>
          </cell>
        </row>
        <row r="152">
          <cell r="A152" t="str">
            <v>Borja Navas Diaz</v>
          </cell>
          <cell r="B152">
            <v>9754385</v>
          </cell>
        </row>
        <row r="153">
          <cell r="A153" t="str">
            <v>German Navas Rodriguez</v>
          </cell>
          <cell r="B153" t="str">
            <v>T0038</v>
          </cell>
        </row>
        <row r="154">
          <cell r="A154" t="str">
            <v>Laurent Nederlandt</v>
          </cell>
          <cell r="B154">
            <v>10777425</v>
          </cell>
        </row>
        <row r="155">
          <cell r="A155" t="str">
            <v>Julie Neill</v>
          </cell>
          <cell r="B155">
            <v>10782789</v>
          </cell>
        </row>
        <row r="156">
          <cell r="A156" t="str">
            <v>Pablo Nieto Gallardo</v>
          </cell>
          <cell r="B156" t="str">
            <v>T0039</v>
          </cell>
        </row>
        <row r="157">
          <cell r="A157" t="str">
            <v>Jose Manuel Ocaña Martinez</v>
          </cell>
          <cell r="B157" t="str">
            <v>T0040</v>
          </cell>
        </row>
        <row r="158">
          <cell r="A158" t="str">
            <v>Beatriz Ojalvo Lozano</v>
          </cell>
          <cell r="B158" t="str">
            <v>T0041</v>
          </cell>
        </row>
        <row r="159">
          <cell r="A159" t="str">
            <v>David Ojalvo Lozano</v>
          </cell>
          <cell r="B159" t="str">
            <v>T0064</v>
          </cell>
        </row>
        <row r="160">
          <cell r="A160" t="str">
            <v>Lucas Ortiz Villoria</v>
          </cell>
          <cell r="B160">
            <v>10767872</v>
          </cell>
        </row>
        <row r="161">
          <cell r="A161" t="str">
            <v>Asier Palomar Framit</v>
          </cell>
          <cell r="B161" t="str">
            <v>T0042</v>
          </cell>
        </row>
        <row r="162">
          <cell r="A162" t="str">
            <v>Jose Maria Parrilla Garcia</v>
          </cell>
          <cell r="B162">
            <v>10605866</v>
          </cell>
        </row>
        <row r="163">
          <cell r="A163" t="str">
            <v>Emilio Parrilla Pulido</v>
          </cell>
          <cell r="B163">
            <v>7291165</v>
          </cell>
        </row>
        <row r="164">
          <cell r="A164" t="str">
            <v>Oscar Pasanau Torras</v>
          </cell>
          <cell r="B164">
            <v>10768606</v>
          </cell>
        </row>
        <row r="165">
          <cell r="A165" t="str">
            <v>Candela Perez Lainez</v>
          </cell>
          <cell r="B165">
            <v>10767111</v>
          </cell>
        </row>
        <row r="166">
          <cell r="A166" t="str">
            <v>Inés Perez Rodriguez</v>
          </cell>
          <cell r="B166">
            <v>10773621</v>
          </cell>
        </row>
        <row r="167">
          <cell r="A167" t="str">
            <v>Carlos Alberto Perez Soto</v>
          </cell>
          <cell r="B167">
            <v>10767103</v>
          </cell>
        </row>
        <row r="168">
          <cell r="A168" t="str">
            <v>Mercedes Peris López</v>
          </cell>
          <cell r="B168" t="str">
            <v>T0043</v>
          </cell>
        </row>
        <row r="169">
          <cell r="A169" t="str">
            <v>Mario Playa Serra</v>
          </cell>
          <cell r="B169" t="str">
            <v>T0044</v>
          </cell>
        </row>
        <row r="170">
          <cell r="A170" t="str">
            <v>David Porras Muñoz</v>
          </cell>
          <cell r="B170">
            <v>10778499</v>
          </cell>
        </row>
        <row r="171">
          <cell r="A171" t="str">
            <v>Rosa Maria Prieto Jimenez</v>
          </cell>
          <cell r="B171">
            <v>10766551</v>
          </cell>
        </row>
        <row r="172">
          <cell r="A172" t="str">
            <v>Maria Jose Prieto Martinez</v>
          </cell>
          <cell r="B172">
            <v>10771328</v>
          </cell>
        </row>
        <row r="173">
          <cell r="A173" t="str">
            <v>Alvaro Prieto Perez</v>
          </cell>
          <cell r="B173">
            <v>10768961</v>
          </cell>
        </row>
        <row r="174">
          <cell r="A174" t="str">
            <v>Enrique Puebla Prada</v>
          </cell>
          <cell r="B174" t="str">
            <v>T0045</v>
          </cell>
        </row>
        <row r="175">
          <cell r="A175" t="str">
            <v>Óscar Puebla Sánchez</v>
          </cell>
          <cell r="B175" t="str">
            <v>T0046</v>
          </cell>
        </row>
        <row r="176">
          <cell r="A176" t="str">
            <v>Laudelino Quintero Armas</v>
          </cell>
          <cell r="B176">
            <v>8068282</v>
          </cell>
        </row>
        <row r="177">
          <cell r="A177" t="str">
            <v>Monica Ramirez Calvo</v>
          </cell>
          <cell r="B177">
            <v>10326462</v>
          </cell>
        </row>
        <row r="178">
          <cell r="A178" t="str">
            <v>Javier Reimúndez</v>
          </cell>
          <cell r="B178">
            <v>10783042</v>
          </cell>
        </row>
        <row r="179">
          <cell r="A179" t="str">
            <v>Eduardo Revuelta Santamaria</v>
          </cell>
          <cell r="B179">
            <v>10547703</v>
          </cell>
        </row>
        <row r="180">
          <cell r="A180" t="str">
            <v>Jaime Rey Lopez</v>
          </cell>
          <cell r="B180" t="str">
            <v>T0047</v>
          </cell>
        </row>
        <row r="181">
          <cell r="A181" t="str">
            <v>Sergio Reyes</v>
          </cell>
          <cell r="B181">
            <v>10773100</v>
          </cell>
        </row>
        <row r="182">
          <cell r="A182" t="str">
            <v>Miguel Rodrigo Hurtado Lorenzo</v>
          </cell>
          <cell r="B182">
            <v>16307804</v>
          </cell>
        </row>
        <row r="183">
          <cell r="A183" t="str">
            <v>Elisa Rodriguez</v>
          </cell>
          <cell r="B183">
            <v>10772590</v>
          </cell>
        </row>
        <row r="184">
          <cell r="A184" t="str">
            <v>Gabriela Veronica Rodriguez Cocchi</v>
          </cell>
          <cell r="B184">
            <v>10771047</v>
          </cell>
        </row>
        <row r="185">
          <cell r="A185" t="str">
            <v>Cristina Rodríguez Rojano</v>
          </cell>
          <cell r="B185" t="str">
            <v>T0048</v>
          </cell>
        </row>
        <row r="186">
          <cell r="A186" t="str">
            <v>Andres Rodriguez-Palacan Garcia</v>
          </cell>
          <cell r="B186">
            <v>10763903</v>
          </cell>
        </row>
        <row r="187">
          <cell r="A187" t="str">
            <v>Miguel Rodriguez-Palanca Pliego</v>
          </cell>
          <cell r="B187">
            <v>10772904</v>
          </cell>
        </row>
        <row r="188">
          <cell r="A188" t="str">
            <v>Sergio Rojo Muñoz</v>
          </cell>
          <cell r="B188">
            <v>10771782</v>
          </cell>
        </row>
        <row r="189">
          <cell r="A189" t="str">
            <v>Beatriz Romero Lopez</v>
          </cell>
          <cell r="B189" t="str">
            <v>T0049</v>
          </cell>
        </row>
        <row r="190">
          <cell r="A190" t="str">
            <v>Alfonso Rosagro Escámez</v>
          </cell>
          <cell r="B190">
            <v>10778655</v>
          </cell>
        </row>
        <row r="191">
          <cell r="A191" t="str">
            <v>Javier Ruiz Calvo</v>
          </cell>
          <cell r="B191">
            <v>10768565</v>
          </cell>
        </row>
        <row r="192">
          <cell r="A192" t="str">
            <v>Angel Luis Ruiz Camara</v>
          </cell>
          <cell r="B192">
            <v>10765404</v>
          </cell>
        </row>
        <row r="193">
          <cell r="A193" t="str">
            <v>Nerea Sánchez</v>
          </cell>
          <cell r="B193" t="str">
            <v>T0050</v>
          </cell>
        </row>
        <row r="194">
          <cell r="A194" t="str">
            <v>Daniel Sanchez Borrella</v>
          </cell>
          <cell r="B194">
            <v>10785585</v>
          </cell>
        </row>
        <row r="195">
          <cell r="A195" t="str">
            <v>Oscar Sanchez Valverde</v>
          </cell>
          <cell r="B195">
            <v>10428317</v>
          </cell>
        </row>
        <row r="196">
          <cell r="A196" t="str">
            <v>Tristán Santiago Gonzalez Berjano</v>
          </cell>
          <cell r="B196">
            <v>10777491</v>
          </cell>
        </row>
        <row r="197">
          <cell r="A197" t="str">
            <v>Cristina Sanz Diéguez</v>
          </cell>
          <cell r="B197" t="str">
            <v>T0051</v>
          </cell>
        </row>
        <row r="198">
          <cell r="A198" t="str">
            <v>Juan Manuel Sanz Engel</v>
          </cell>
          <cell r="B198">
            <v>10771310</v>
          </cell>
        </row>
        <row r="199">
          <cell r="A199" t="str">
            <v>Manuel Sanz Moriñigo</v>
          </cell>
          <cell r="B199">
            <v>7336482</v>
          </cell>
        </row>
        <row r="200">
          <cell r="A200" t="str">
            <v>Jose Mª Sardiña Valero</v>
          </cell>
          <cell r="B200">
            <v>10766543</v>
          </cell>
        </row>
        <row r="201">
          <cell r="A201" t="str">
            <v>Mario Satrústegui Coca</v>
          </cell>
          <cell r="B201">
            <v>10771378</v>
          </cell>
        </row>
        <row r="202">
          <cell r="A202" t="str">
            <v>Gabriel Satrústegui Escudero</v>
          </cell>
          <cell r="B202">
            <v>10771097</v>
          </cell>
        </row>
        <row r="203">
          <cell r="A203" t="str">
            <v>Katlin Savva</v>
          </cell>
          <cell r="B203">
            <v>10771609</v>
          </cell>
        </row>
        <row r="204">
          <cell r="A204" t="str">
            <v>Daniel Sebastian Gonzalez</v>
          </cell>
          <cell r="B204">
            <v>10778259</v>
          </cell>
        </row>
        <row r="205">
          <cell r="A205" t="str">
            <v>Pablo Segade Calvo</v>
          </cell>
          <cell r="B205">
            <v>10778192</v>
          </cell>
        </row>
        <row r="206">
          <cell r="A206" t="str">
            <v>Oscar Segovia</v>
          </cell>
          <cell r="B206" t="str">
            <v>T0052</v>
          </cell>
        </row>
        <row r="207">
          <cell r="A207" t="str">
            <v>Pablo Sereno Deudero</v>
          </cell>
          <cell r="B207">
            <v>10621466</v>
          </cell>
        </row>
        <row r="208">
          <cell r="A208" t="str">
            <v>Sara Silvestre Garcia</v>
          </cell>
          <cell r="B208">
            <v>10774794</v>
          </cell>
        </row>
        <row r="209">
          <cell r="A209" t="str">
            <v>Ivonne Tinoco Avendaño</v>
          </cell>
          <cell r="B209" t="str">
            <v>T0054</v>
          </cell>
        </row>
        <row r="210">
          <cell r="A210" t="str">
            <v>Carlos Tornero Sendra</v>
          </cell>
          <cell r="B210" t="str">
            <v>T0055</v>
          </cell>
        </row>
        <row r="211">
          <cell r="A211" t="str">
            <v>Cristian Torres Pavon</v>
          </cell>
          <cell r="B211">
            <v>10773655</v>
          </cell>
        </row>
        <row r="212">
          <cell r="A212" t="str">
            <v>Felix Torres Uriel</v>
          </cell>
          <cell r="B212">
            <v>1733006</v>
          </cell>
        </row>
        <row r="213">
          <cell r="A213" t="str">
            <v>Jesús Valencia Abad</v>
          </cell>
          <cell r="B213">
            <v>10763375</v>
          </cell>
        </row>
        <row r="214">
          <cell r="A214" t="str">
            <v>David Vicente</v>
          </cell>
          <cell r="B214">
            <v>10730522</v>
          </cell>
        </row>
        <row r="215">
          <cell r="A215" t="str">
            <v>Alvaro Vicente</v>
          </cell>
          <cell r="B215" t="str">
            <v>T0056</v>
          </cell>
        </row>
        <row r="216">
          <cell r="A216" t="str">
            <v>Ana María Villegas Bravo</v>
          </cell>
          <cell r="B216" t="str">
            <v>T0057</v>
          </cell>
        </row>
        <row r="217">
          <cell r="A217" t="str">
            <v>Israel Villoria</v>
          </cell>
          <cell r="B217">
            <v>10782250</v>
          </cell>
        </row>
        <row r="218">
          <cell r="A218" t="str">
            <v>M Carmen Villoria Chacon</v>
          </cell>
          <cell r="B218" t="str">
            <v>T0058</v>
          </cell>
        </row>
        <row r="219">
          <cell r="A219" t="str">
            <v>Miguel Viñuela Rubio</v>
          </cell>
          <cell r="B219">
            <v>10411693</v>
          </cell>
        </row>
        <row r="220">
          <cell r="A220" t="str">
            <v>Miguel Viñuela Villalba</v>
          </cell>
          <cell r="B220">
            <v>10536532</v>
          </cell>
        </row>
        <row r="221">
          <cell r="A221" t="str">
            <v>Charlie Wilson</v>
          </cell>
          <cell r="B221" t="str">
            <v>T0059</v>
          </cell>
        </row>
        <row r="222">
          <cell r="A222" t="str">
            <v>Alejandra Ynclan Pajares</v>
          </cell>
          <cell r="B222">
            <v>10498716</v>
          </cell>
        </row>
        <row r="223">
          <cell r="A223" t="str">
            <v>Alberto Zamora Hernandez</v>
          </cell>
          <cell r="B223">
            <v>10763672</v>
          </cell>
        </row>
        <row r="224">
          <cell r="A224" t="str">
            <v>Haoyang Zhang</v>
          </cell>
          <cell r="B224" t="str">
            <v>T0060</v>
          </cell>
        </row>
        <row r="225">
          <cell r="A225" t="str">
            <v>Nerea Ziarreta Fernandez</v>
          </cell>
          <cell r="B225">
            <v>10769349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competicion.ftm.es/app/jugador/historial/10766543/3507/torneos.historial/2" TargetMode="External"/><Relationship Id="rId13" Type="http://schemas.openxmlformats.org/officeDocument/2006/relationships/hyperlink" Target="https://competicion.ftm.es/app/jugador/historial/10768789/3507/torneos.historial/2" TargetMode="External"/><Relationship Id="rId18" Type="http://schemas.openxmlformats.org/officeDocument/2006/relationships/hyperlink" Target="https://competicion.ftm.es/app/jugador/historial/10081610/3507/torneos.historial/2" TargetMode="External"/><Relationship Id="rId3" Type="http://schemas.openxmlformats.org/officeDocument/2006/relationships/hyperlink" Target="https://competicion.ftm.es/app/jugador/historial/10073005/3507/torneos.historial/2" TargetMode="External"/><Relationship Id="rId21" Type="http://schemas.openxmlformats.org/officeDocument/2006/relationships/hyperlink" Target="https://competicion.ftm.es/app/jugador/historial/10772780/3507/torneos.historial/2" TargetMode="External"/><Relationship Id="rId7" Type="http://schemas.openxmlformats.org/officeDocument/2006/relationships/hyperlink" Target="https://competicion.ftm.es/app/jugador/historial/10766543/3507/torneos.historial/2" TargetMode="External"/><Relationship Id="rId12" Type="http://schemas.openxmlformats.org/officeDocument/2006/relationships/hyperlink" Target="https://competicion.ftm.es/app/jugador/historial/10771310/3507/torneos.historial/2" TargetMode="External"/><Relationship Id="rId17" Type="http://schemas.openxmlformats.org/officeDocument/2006/relationships/hyperlink" Target="https://competicion.ftm.es/app/jugador/historial/10081610/3507/torneos.historial/2" TargetMode="External"/><Relationship Id="rId2" Type="http://schemas.openxmlformats.org/officeDocument/2006/relationships/hyperlink" Target="https://competicion.ftm.es/app/jugador/historial/10266907/3507/torneos.historial/2" TargetMode="External"/><Relationship Id="rId16" Type="http://schemas.openxmlformats.org/officeDocument/2006/relationships/hyperlink" Target="https://competicion.ftm.es/app/jugador/historial/10763812/3507/torneos.historial/2" TargetMode="External"/><Relationship Id="rId20" Type="http://schemas.openxmlformats.org/officeDocument/2006/relationships/hyperlink" Target="https://competicion.ftm.es/app/jugador/historial/00620163/3507/torneos.historial/2" TargetMode="External"/><Relationship Id="rId1" Type="http://schemas.openxmlformats.org/officeDocument/2006/relationships/hyperlink" Target="https://competicion.ftm.es/app/jugador/historial/10266907/3507/torneos.historial/2" TargetMode="External"/><Relationship Id="rId6" Type="http://schemas.openxmlformats.org/officeDocument/2006/relationships/hyperlink" Target="https://competicion.ftm.es/app/jugador/historial/10772904/3507/torneos.historial/2" TargetMode="External"/><Relationship Id="rId11" Type="http://schemas.openxmlformats.org/officeDocument/2006/relationships/hyperlink" Target="https://competicion.ftm.es/app/jugador/historial/10771310/3507/torneos.historial/2" TargetMode="External"/><Relationship Id="rId5" Type="http://schemas.openxmlformats.org/officeDocument/2006/relationships/hyperlink" Target="https://competicion.ftm.es/app/jugador/historial/10772904/3507/torneos.historial/2" TargetMode="External"/><Relationship Id="rId15" Type="http://schemas.openxmlformats.org/officeDocument/2006/relationships/hyperlink" Target="https://competicion.ftm.es/app/jugador/historial/10763812/3507/torneos.historial/2" TargetMode="External"/><Relationship Id="rId10" Type="http://schemas.openxmlformats.org/officeDocument/2006/relationships/hyperlink" Target="https://competicion.ftm.es/app/jugador/historial/10766270/3507/torneos.historial/2" TargetMode="External"/><Relationship Id="rId19" Type="http://schemas.openxmlformats.org/officeDocument/2006/relationships/hyperlink" Target="https://competicion.ftm.es/app/jugador/historial/00620163/3507/torneos.historial/2" TargetMode="External"/><Relationship Id="rId4" Type="http://schemas.openxmlformats.org/officeDocument/2006/relationships/hyperlink" Target="https://competicion.ftm.es/app/jugador/historial/10073005/3507/torneos.historial/2" TargetMode="External"/><Relationship Id="rId9" Type="http://schemas.openxmlformats.org/officeDocument/2006/relationships/hyperlink" Target="https://competicion.ftm.es/app/jugador/historial/10766270/3507/torneos.historial/2" TargetMode="External"/><Relationship Id="rId14" Type="http://schemas.openxmlformats.org/officeDocument/2006/relationships/hyperlink" Target="https://competicion.ftm.es/app/jugador/historial/10768789/3507/torneos.historial/2" TargetMode="External"/><Relationship Id="rId22" Type="http://schemas.openxmlformats.org/officeDocument/2006/relationships/hyperlink" Target="https://competicion.ftm.es/app/jugador/historial/10772780/3507/torneos.historial/2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competicion.ftm.es/app/jugador/historial/08068282/3507/torneos.mensual/2" TargetMode="External"/><Relationship Id="rId13" Type="http://schemas.openxmlformats.org/officeDocument/2006/relationships/hyperlink" Target="https://competicion.ftm.es/app/jugador/historial/10766345/3507/torneos.mensual/2" TargetMode="External"/><Relationship Id="rId18" Type="http://schemas.openxmlformats.org/officeDocument/2006/relationships/hyperlink" Target="https://competicion.ftm.es/app/jugador/historial/10768606/3507/torneos.mensual/2" TargetMode="External"/><Relationship Id="rId3" Type="http://schemas.openxmlformats.org/officeDocument/2006/relationships/hyperlink" Target="https://competicion.ftm.es/app/jugador/historial/10771245/3507/torneos.mensual/2" TargetMode="External"/><Relationship Id="rId7" Type="http://schemas.openxmlformats.org/officeDocument/2006/relationships/hyperlink" Target="https://competicion.ftm.es/app/jugador/historial/08068282/3507/torneos.mensual/2" TargetMode="External"/><Relationship Id="rId12" Type="http://schemas.openxmlformats.org/officeDocument/2006/relationships/hyperlink" Target="https://competicion.ftm.es/app/jugador/historial/10778283/3507/torneos.mensual/2" TargetMode="External"/><Relationship Id="rId17" Type="http://schemas.openxmlformats.org/officeDocument/2006/relationships/hyperlink" Target="https://competicion.ftm.es/app/jugador/historial/10768606/3507/torneos.mensual/2" TargetMode="External"/><Relationship Id="rId2" Type="http://schemas.openxmlformats.org/officeDocument/2006/relationships/hyperlink" Target="https://competicion.ftm.es/app/jugador/historial/10770437/3507/torneos.mensual/2" TargetMode="External"/><Relationship Id="rId16" Type="http://schemas.openxmlformats.org/officeDocument/2006/relationships/hyperlink" Target="https://competicion.ftm.es/app/jugador/historial/10768044/3507/torneos.mensual/2" TargetMode="External"/><Relationship Id="rId1" Type="http://schemas.openxmlformats.org/officeDocument/2006/relationships/hyperlink" Target="https://competicion.ftm.es/app/jugador/historial/10770437/3507/torneos.mensual/2" TargetMode="External"/><Relationship Id="rId6" Type="http://schemas.openxmlformats.org/officeDocument/2006/relationships/hyperlink" Target="https://competicion.ftm.es/app/jugador/historial/10763375/3507/torneos.mensual/2" TargetMode="External"/><Relationship Id="rId11" Type="http://schemas.openxmlformats.org/officeDocument/2006/relationships/hyperlink" Target="https://competicion.ftm.es/app/jugador/historial/10778283/3507/torneos.mensual/2" TargetMode="External"/><Relationship Id="rId5" Type="http://schemas.openxmlformats.org/officeDocument/2006/relationships/hyperlink" Target="https://competicion.ftm.es/app/jugador/historial/10763375/3507/torneos.mensual/2" TargetMode="External"/><Relationship Id="rId15" Type="http://schemas.openxmlformats.org/officeDocument/2006/relationships/hyperlink" Target="https://competicion.ftm.es/app/jugador/historial/10768044/3507/torneos.mensual/2" TargetMode="External"/><Relationship Id="rId10" Type="http://schemas.openxmlformats.org/officeDocument/2006/relationships/hyperlink" Target="https://competicion.ftm.es/app/jugador/historial/10042042/3507/torneos.mensual/2" TargetMode="External"/><Relationship Id="rId4" Type="http://schemas.openxmlformats.org/officeDocument/2006/relationships/hyperlink" Target="https://competicion.ftm.es/app/jugador/historial/10771245/3507/torneos.mensual/2" TargetMode="External"/><Relationship Id="rId9" Type="http://schemas.openxmlformats.org/officeDocument/2006/relationships/hyperlink" Target="https://competicion.ftm.es/app/jugador/historial/10042042/3507/torneos.mensual/2" TargetMode="External"/><Relationship Id="rId14" Type="http://schemas.openxmlformats.org/officeDocument/2006/relationships/hyperlink" Target="https://competicion.ftm.es/app/jugador/historial/10766345/3507/torneos.mensual/2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competicion.ftm.es/app/jugador/historial/10770669/3507/torneos.mensual/2" TargetMode="External"/><Relationship Id="rId13" Type="http://schemas.openxmlformats.org/officeDocument/2006/relationships/hyperlink" Target="https://competicion.ftm.es/app/jugador/historial/10771245/3507/torneos.mensual/2" TargetMode="External"/><Relationship Id="rId3" Type="http://schemas.openxmlformats.org/officeDocument/2006/relationships/hyperlink" Target="https://competicion.ftm.es/app/jugador/historial/10770437/3507/torneos.mensual/2" TargetMode="External"/><Relationship Id="rId7" Type="http://schemas.openxmlformats.org/officeDocument/2006/relationships/hyperlink" Target="https://competicion.ftm.es/app/jugador/historial/10770669/3507/torneos.mensual/2" TargetMode="External"/><Relationship Id="rId12" Type="http://schemas.openxmlformats.org/officeDocument/2006/relationships/hyperlink" Target="https://competicion.ftm.es/app/jugador/historial/10766345/3507/torneos.mensual/2" TargetMode="External"/><Relationship Id="rId2" Type="http://schemas.openxmlformats.org/officeDocument/2006/relationships/hyperlink" Target="https://competicion.ftm.es/app/jugador/historial/10765602/3507/torneos.mensual/2" TargetMode="External"/><Relationship Id="rId16" Type="http://schemas.openxmlformats.org/officeDocument/2006/relationships/hyperlink" Target="https://competicion.ftm.es/app/jugador/historial/10772441/3507/torneos.mensual/2" TargetMode="External"/><Relationship Id="rId1" Type="http://schemas.openxmlformats.org/officeDocument/2006/relationships/hyperlink" Target="https://competicion.ftm.es/app/jugador/historial/10765602/3507/torneos.mensual/2" TargetMode="External"/><Relationship Id="rId6" Type="http://schemas.openxmlformats.org/officeDocument/2006/relationships/hyperlink" Target="https://competicion.ftm.es/app/jugador/historial/10772871/3507/torneos.mensual/2" TargetMode="External"/><Relationship Id="rId11" Type="http://schemas.openxmlformats.org/officeDocument/2006/relationships/hyperlink" Target="https://competicion.ftm.es/app/jugador/historial/10766345/3507/torneos.mensual/2" TargetMode="External"/><Relationship Id="rId5" Type="http://schemas.openxmlformats.org/officeDocument/2006/relationships/hyperlink" Target="https://competicion.ftm.es/app/jugador/historial/10772871/3507/torneos.mensual/2" TargetMode="External"/><Relationship Id="rId15" Type="http://schemas.openxmlformats.org/officeDocument/2006/relationships/hyperlink" Target="https://competicion.ftm.es/app/jugador/historial/10772441/3507/torneos.mensual/2" TargetMode="External"/><Relationship Id="rId10" Type="http://schemas.openxmlformats.org/officeDocument/2006/relationships/hyperlink" Target="https://competicion.ftm.es/app/jugador/historial/07336482/3507/torneos.mensual/2" TargetMode="External"/><Relationship Id="rId4" Type="http://schemas.openxmlformats.org/officeDocument/2006/relationships/hyperlink" Target="https://competicion.ftm.es/app/jugador/historial/10770437/3507/torneos.mensual/2" TargetMode="External"/><Relationship Id="rId9" Type="http://schemas.openxmlformats.org/officeDocument/2006/relationships/hyperlink" Target="https://competicion.ftm.es/app/jugador/historial/07336482/3507/torneos.mensual/2" TargetMode="External"/><Relationship Id="rId14" Type="http://schemas.openxmlformats.org/officeDocument/2006/relationships/hyperlink" Target="https://competicion.ftm.es/app/jugador/historial/10771245/3507/torneos.mensual/2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competicion.ftm.es/app/jugador/historial/07029368/3507/torneos.mensual/2" TargetMode="External"/><Relationship Id="rId18" Type="http://schemas.openxmlformats.org/officeDocument/2006/relationships/hyperlink" Target="https://competicion.ftm.es/app/jugador/historial/10411693/3507/torneos.mensual/2" TargetMode="External"/><Relationship Id="rId26" Type="http://schemas.openxmlformats.org/officeDocument/2006/relationships/hyperlink" Target="https://competicion.ftm.es/app/jugador/historial/10081610/3507/torneos.mensual/2" TargetMode="External"/><Relationship Id="rId3" Type="http://schemas.openxmlformats.org/officeDocument/2006/relationships/hyperlink" Target="https://competicion.ftm.es/app/jugador/historial/10765884/3507/torneos.mensual/2" TargetMode="External"/><Relationship Id="rId21" Type="http://schemas.openxmlformats.org/officeDocument/2006/relationships/hyperlink" Target="https://competicion.ftm.es/app/jugador/historial/10428317/3507/torneos.mensual/2" TargetMode="External"/><Relationship Id="rId34" Type="http://schemas.openxmlformats.org/officeDocument/2006/relationships/hyperlink" Target="https://competicion.ftm.es/app/jugador/historial/10772821/3507/torneos.mensual/2" TargetMode="External"/><Relationship Id="rId7" Type="http://schemas.openxmlformats.org/officeDocument/2006/relationships/hyperlink" Target="https://competicion.ftm.es/app/jugador/historial/10357326/3507/torneos.mensual/2" TargetMode="External"/><Relationship Id="rId12" Type="http://schemas.openxmlformats.org/officeDocument/2006/relationships/hyperlink" Target="https://competicion.ftm.es/app/jugador/historial/10621466/3507/torneos.mensual/2" TargetMode="External"/><Relationship Id="rId17" Type="http://schemas.openxmlformats.org/officeDocument/2006/relationships/hyperlink" Target="https://competicion.ftm.es/app/jugador/historial/10411693/3507/torneos.mensual/2" TargetMode="External"/><Relationship Id="rId25" Type="http://schemas.openxmlformats.org/officeDocument/2006/relationships/hyperlink" Target="https://competicion.ftm.es/app/jugador/historial/10081610/3507/torneos.mensual/2" TargetMode="External"/><Relationship Id="rId33" Type="http://schemas.openxmlformats.org/officeDocument/2006/relationships/hyperlink" Target="https://competicion.ftm.es/app/jugador/historial/10772821/3507/torneos.mensual/2" TargetMode="External"/><Relationship Id="rId2" Type="http://schemas.openxmlformats.org/officeDocument/2006/relationships/hyperlink" Target="https://competicion.ftm.es/app/jugador/historial/10766543/3507/torneos.mensual/2" TargetMode="External"/><Relationship Id="rId16" Type="http://schemas.openxmlformats.org/officeDocument/2006/relationships/hyperlink" Target="https://competicion.ftm.es/app/jugador/historial/01733006/3507/torneos.mensual/2" TargetMode="External"/><Relationship Id="rId20" Type="http://schemas.openxmlformats.org/officeDocument/2006/relationships/hyperlink" Target="https://competicion.ftm.es/app/jugador/historial/10765404/3507/torneos.mensual/2" TargetMode="External"/><Relationship Id="rId29" Type="http://schemas.openxmlformats.org/officeDocument/2006/relationships/hyperlink" Target="https://competicion.ftm.es/app/jugador/historial/10112077/3507/torneos.mensual/2" TargetMode="External"/><Relationship Id="rId1" Type="http://schemas.openxmlformats.org/officeDocument/2006/relationships/hyperlink" Target="https://competicion.ftm.es/app/jugador/historial/10766543/3507/torneos.mensual/2" TargetMode="External"/><Relationship Id="rId6" Type="http://schemas.openxmlformats.org/officeDocument/2006/relationships/hyperlink" Target="https://competicion.ftm.es/app/jugador/historial/10266907/3507/torneos.mensual/2" TargetMode="External"/><Relationship Id="rId11" Type="http://schemas.openxmlformats.org/officeDocument/2006/relationships/hyperlink" Target="https://competicion.ftm.es/app/jugador/historial/10621466/3507/torneos.mensual/2" TargetMode="External"/><Relationship Id="rId24" Type="http://schemas.openxmlformats.org/officeDocument/2006/relationships/hyperlink" Target="https://competicion.ftm.es/app/jugador/historial/10771310/3507/torneos.mensual/2" TargetMode="External"/><Relationship Id="rId32" Type="http://schemas.openxmlformats.org/officeDocument/2006/relationships/hyperlink" Target="https://competicion.ftm.es/app/jugador/historial/10777425/3507/torneos.mensual/2" TargetMode="External"/><Relationship Id="rId5" Type="http://schemas.openxmlformats.org/officeDocument/2006/relationships/hyperlink" Target="https://competicion.ftm.es/app/jugador/historial/10266907/3507/torneos.mensual/2" TargetMode="External"/><Relationship Id="rId15" Type="http://schemas.openxmlformats.org/officeDocument/2006/relationships/hyperlink" Target="https://competicion.ftm.es/app/jugador/historial/01733006/3507/torneos.mensual/2" TargetMode="External"/><Relationship Id="rId23" Type="http://schemas.openxmlformats.org/officeDocument/2006/relationships/hyperlink" Target="https://competicion.ftm.es/app/jugador/historial/10771310/3507/torneos.mensual/2" TargetMode="External"/><Relationship Id="rId28" Type="http://schemas.openxmlformats.org/officeDocument/2006/relationships/hyperlink" Target="https://competicion.ftm.es/app/jugador/historial/10771097/3507/torneos.mensual/2" TargetMode="External"/><Relationship Id="rId10" Type="http://schemas.openxmlformats.org/officeDocument/2006/relationships/hyperlink" Target="https://competicion.ftm.es/app/jugador/historial/10774679/3507/torneos.mensual/2" TargetMode="External"/><Relationship Id="rId19" Type="http://schemas.openxmlformats.org/officeDocument/2006/relationships/hyperlink" Target="https://competicion.ftm.es/app/jugador/historial/10765404/3507/torneos.mensual/2" TargetMode="External"/><Relationship Id="rId31" Type="http://schemas.openxmlformats.org/officeDocument/2006/relationships/hyperlink" Target="https://competicion.ftm.es/app/jugador/historial/10777425/3507/torneos.mensual/2" TargetMode="External"/><Relationship Id="rId4" Type="http://schemas.openxmlformats.org/officeDocument/2006/relationships/hyperlink" Target="https://competicion.ftm.es/app/jugador/historial/10765884/3507/torneos.mensual/2" TargetMode="External"/><Relationship Id="rId9" Type="http://schemas.openxmlformats.org/officeDocument/2006/relationships/hyperlink" Target="https://competicion.ftm.es/app/jugador/historial/10774679/3507/torneos.mensual/2" TargetMode="External"/><Relationship Id="rId14" Type="http://schemas.openxmlformats.org/officeDocument/2006/relationships/hyperlink" Target="https://competicion.ftm.es/app/jugador/historial/07029368/3507/torneos.mensual/2" TargetMode="External"/><Relationship Id="rId22" Type="http://schemas.openxmlformats.org/officeDocument/2006/relationships/hyperlink" Target="https://competicion.ftm.es/app/jugador/historial/10428317/3507/torneos.mensual/2" TargetMode="External"/><Relationship Id="rId27" Type="http://schemas.openxmlformats.org/officeDocument/2006/relationships/hyperlink" Target="https://competicion.ftm.es/app/jugador/historial/10771097/3507/torneos.mensual/2" TargetMode="External"/><Relationship Id="rId30" Type="http://schemas.openxmlformats.org/officeDocument/2006/relationships/hyperlink" Target="https://competicion.ftm.es/app/jugador/historial/10112077/3507/torneos.mensual/2" TargetMode="External"/><Relationship Id="rId8" Type="http://schemas.openxmlformats.org/officeDocument/2006/relationships/hyperlink" Target="https://competicion.ftm.es/app/jugador/historial/10357326/3507/torneos.mensual/2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competicion.ftm.es/app/jugador/historial/10640755/3507/torneos.mensual/2" TargetMode="External"/><Relationship Id="rId13" Type="http://schemas.openxmlformats.org/officeDocument/2006/relationships/hyperlink" Target="https://competicion.ftm.es/app/jugador/historial/10771500/3507/torneos.mensual/2" TargetMode="External"/><Relationship Id="rId18" Type="http://schemas.openxmlformats.org/officeDocument/2006/relationships/hyperlink" Target="https://competicion.ftm.es/app/jugador/historial/10774794/3507/torneos.mensual/2" TargetMode="External"/><Relationship Id="rId3" Type="http://schemas.openxmlformats.org/officeDocument/2006/relationships/hyperlink" Target="https://competicion.ftm.es/app/jugador/historial/10771328/3507/torneos.mensual/2" TargetMode="External"/><Relationship Id="rId21" Type="http://schemas.openxmlformats.org/officeDocument/2006/relationships/hyperlink" Target="https://competicion.ftm.es/app/jugador/historial/10782789/3507/torneos.mensual/2" TargetMode="External"/><Relationship Id="rId7" Type="http://schemas.openxmlformats.org/officeDocument/2006/relationships/hyperlink" Target="https://competicion.ftm.es/app/jugador/historial/10640755/3507/torneos.mensual/2" TargetMode="External"/><Relationship Id="rId12" Type="http://schemas.openxmlformats.org/officeDocument/2006/relationships/hyperlink" Target="https://competicion.ftm.es/app/jugador/historial/10772631/3507/torneos.mensual/2" TargetMode="External"/><Relationship Id="rId17" Type="http://schemas.openxmlformats.org/officeDocument/2006/relationships/hyperlink" Target="https://competicion.ftm.es/app/jugador/historial/10774794/3507/torneos.mensual/2" TargetMode="External"/><Relationship Id="rId2" Type="http://schemas.openxmlformats.org/officeDocument/2006/relationships/hyperlink" Target="https://competicion.ftm.es/app/jugador/historial/10058320/3507/torneos.mensual/2" TargetMode="External"/><Relationship Id="rId16" Type="http://schemas.openxmlformats.org/officeDocument/2006/relationships/hyperlink" Target="https://competicion.ftm.es/app/jugador/historial/10768911/3507/torneos.mensual/2" TargetMode="External"/><Relationship Id="rId20" Type="http://schemas.openxmlformats.org/officeDocument/2006/relationships/hyperlink" Target="https://competicion.ftm.es/app/jugador/historial/10771584/3507/torneos.mensual/2" TargetMode="External"/><Relationship Id="rId1" Type="http://schemas.openxmlformats.org/officeDocument/2006/relationships/hyperlink" Target="https://competicion.ftm.es/app/jugador/historial/10058320/3507/torneos.mensual/2" TargetMode="External"/><Relationship Id="rId6" Type="http://schemas.openxmlformats.org/officeDocument/2006/relationships/hyperlink" Target="https://competicion.ftm.es/app/jugador/historial/10498716/3507/torneos.mensual/2" TargetMode="External"/><Relationship Id="rId11" Type="http://schemas.openxmlformats.org/officeDocument/2006/relationships/hyperlink" Target="https://competicion.ftm.es/app/jugador/historial/10772631/3507/torneos.mensual/2" TargetMode="External"/><Relationship Id="rId5" Type="http://schemas.openxmlformats.org/officeDocument/2006/relationships/hyperlink" Target="https://competicion.ftm.es/app/jugador/historial/10498716/3507/torneos.mensual/2" TargetMode="External"/><Relationship Id="rId15" Type="http://schemas.openxmlformats.org/officeDocument/2006/relationships/hyperlink" Target="https://competicion.ftm.es/app/jugador/historial/10768911/3507/torneos.mensual/2" TargetMode="External"/><Relationship Id="rId10" Type="http://schemas.openxmlformats.org/officeDocument/2006/relationships/hyperlink" Target="https://competicion.ftm.es/app/jugador/historial/05830585/3507/torneos.mensual/2" TargetMode="External"/><Relationship Id="rId19" Type="http://schemas.openxmlformats.org/officeDocument/2006/relationships/hyperlink" Target="https://competicion.ftm.es/app/jugador/historial/10771584/3507/torneos.mensual/2" TargetMode="External"/><Relationship Id="rId4" Type="http://schemas.openxmlformats.org/officeDocument/2006/relationships/hyperlink" Target="https://competicion.ftm.es/app/jugador/historial/10771328/3507/torneos.mensual/2" TargetMode="External"/><Relationship Id="rId9" Type="http://schemas.openxmlformats.org/officeDocument/2006/relationships/hyperlink" Target="https://competicion.ftm.es/app/jugador/historial/05830585/3507/torneos.mensual/2" TargetMode="External"/><Relationship Id="rId14" Type="http://schemas.openxmlformats.org/officeDocument/2006/relationships/hyperlink" Target="https://competicion.ftm.es/app/jugador/historial/10771500/3507/torneos.mensual/2" TargetMode="External"/><Relationship Id="rId22" Type="http://schemas.openxmlformats.org/officeDocument/2006/relationships/hyperlink" Target="https://competicion.ftm.es/app/jugador/historial/10782789/3507/torneos.mensual/2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s://competicion.ftm.es/app/jugador/historial/13005526/3507/torneos.mensual/2" TargetMode="External"/><Relationship Id="rId21" Type="http://schemas.openxmlformats.org/officeDocument/2006/relationships/hyperlink" Target="https://competicion.ftm.es/app/jugador/historial/10771120/3507/torneos.mensual/2" TargetMode="External"/><Relationship Id="rId42" Type="http://schemas.openxmlformats.org/officeDocument/2006/relationships/hyperlink" Target="https://competicion.ftm.es/app/jugador/historial/10768482/3507/torneos.mensual/2" TargetMode="External"/><Relationship Id="rId47" Type="http://schemas.openxmlformats.org/officeDocument/2006/relationships/hyperlink" Target="https://competicion.ftm.es/app/jugador/historial/10777491/3507/torneos.mensual/2" TargetMode="External"/><Relationship Id="rId63" Type="http://schemas.openxmlformats.org/officeDocument/2006/relationships/hyperlink" Target="https://competicion.ftm.es/app/jugador/historial/10777821/3507/torneos.mensual/2" TargetMode="External"/><Relationship Id="rId68" Type="http://schemas.openxmlformats.org/officeDocument/2006/relationships/hyperlink" Target="https://competicion.ftm.es/app/jugador/historial/14043335/3507/torneos.mensual/2" TargetMode="External"/><Relationship Id="rId84" Type="http://schemas.openxmlformats.org/officeDocument/2006/relationships/hyperlink" Target="https://competicion.ftm.es/app/jugador/historial/07456397/3507/torneos.mensual/2" TargetMode="External"/><Relationship Id="rId89" Type="http://schemas.openxmlformats.org/officeDocument/2006/relationships/hyperlink" Target="https://competicion.ftm.es/app/jugador/historial/10768961/3507/torneos.mensual/2" TargetMode="External"/><Relationship Id="rId16" Type="http://schemas.openxmlformats.org/officeDocument/2006/relationships/hyperlink" Target="https://competicion.ftm.es/app/jugador/historial/10770809/3507/torneos.mensual/2" TargetMode="External"/><Relationship Id="rId11" Type="http://schemas.openxmlformats.org/officeDocument/2006/relationships/hyperlink" Target="https://competicion.ftm.es/app/jugador/historial/10763903/3507/torneos.mensual/2" TargetMode="External"/><Relationship Id="rId32" Type="http://schemas.openxmlformats.org/officeDocument/2006/relationships/hyperlink" Target="https://competicion.ftm.es/app/jugador/historial/10737734/3507/torneos.mensual/2" TargetMode="External"/><Relationship Id="rId37" Type="http://schemas.openxmlformats.org/officeDocument/2006/relationships/hyperlink" Target="https://competicion.ftm.es/app/jugador/historial/10777631/3507/torneos.mensual/2" TargetMode="External"/><Relationship Id="rId53" Type="http://schemas.openxmlformats.org/officeDocument/2006/relationships/hyperlink" Target="https://competicion.ftm.es/app/jugador/historial/10778481/3507/torneos.mensual/2" TargetMode="External"/><Relationship Id="rId58" Type="http://schemas.openxmlformats.org/officeDocument/2006/relationships/hyperlink" Target="https://competicion.ftm.es/app/jugador/historial/10134930/3507/torneos.mensual/2" TargetMode="External"/><Relationship Id="rId74" Type="http://schemas.openxmlformats.org/officeDocument/2006/relationships/hyperlink" Target="https://competicion.ftm.es/app/jugador/historial/10774778/3507/torneos.mensual/2" TargetMode="External"/><Relationship Id="rId79" Type="http://schemas.openxmlformats.org/officeDocument/2006/relationships/hyperlink" Target="https://competicion.ftm.es/app/jugador/historial/10605866/3507/torneos.mensual/2" TargetMode="External"/><Relationship Id="rId5" Type="http://schemas.openxmlformats.org/officeDocument/2006/relationships/hyperlink" Target="https://competicion.ftm.es/app/jugador/historial/07404007/3507/torneos.mensual/2" TargetMode="External"/><Relationship Id="rId90" Type="http://schemas.openxmlformats.org/officeDocument/2006/relationships/hyperlink" Target="https://competicion.ftm.es/app/jugador/historial/10768961/3507/torneos.mensual/2" TargetMode="External"/><Relationship Id="rId22" Type="http://schemas.openxmlformats.org/officeDocument/2006/relationships/hyperlink" Target="https://competicion.ftm.es/app/jugador/historial/10771120/3507/torneos.mensual/2" TargetMode="External"/><Relationship Id="rId27" Type="http://schemas.openxmlformats.org/officeDocument/2006/relationships/hyperlink" Target="https://competicion.ftm.es/app/jugador/historial/10768375/3507/torneos.mensual/2" TargetMode="External"/><Relationship Id="rId43" Type="http://schemas.openxmlformats.org/officeDocument/2006/relationships/hyperlink" Target="https://competicion.ftm.es/app/jugador/historial/10777483/3507/torneos.mensual/2" TargetMode="External"/><Relationship Id="rId48" Type="http://schemas.openxmlformats.org/officeDocument/2006/relationships/hyperlink" Target="https://competicion.ftm.es/app/jugador/historial/10777491/3507/torneos.mensual/2" TargetMode="External"/><Relationship Id="rId64" Type="http://schemas.openxmlformats.org/officeDocument/2006/relationships/hyperlink" Target="https://competicion.ftm.es/app/jugador/historial/10777821/3507/torneos.mensual/2" TargetMode="External"/><Relationship Id="rId69" Type="http://schemas.openxmlformats.org/officeDocument/2006/relationships/hyperlink" Target="https://competicion.ftm.es/app/jugador/historial/10770768/3507/torneos.mensual/2" TargetMode="External"/><Relationship Id="rId8" Type="http://schemas.openxmlformats.org/officeDocument/2006/relationships/hyperlink" Target="https://competicion.ftm.es/app/jugador/historial/09754385/3507/torneos.mensual/2" TargetMode="External"/><Relationship Id="rId51" Type="http://schemas.openxmlformats.org/officeDocument/2006/relationships/hyperlink" Target="https://competicion.ftm.es/app/jugador/historial/10110146/3507/torneos.mensual/2" TargetMode="External"/><Relationship Id="rId72" Type="http://schemas.openxmlformats.org/officeDocument/2006/relationships/hyperlink" Target="https://competicion.ftm.es/app/jugador/historial/10169135/3507/torneos.mensual/2" TargetMode="External"/><Relationship Id="rId80" Type="http://schemas.openxmlformats.org/officeDocument/2006/relationships/hyperlink" Target="https://competicion.ftm.es/app/jugador/historial/10605866/3507/torneos.mensual/2" TargetMode="External"/><Relationship Id="rId85" Type="http://schemas.openxmlformats.org/officeDocument/2006/relationships/hyperlink" Target="https://competicion.ftm.es/app/jugador/historial/10623024/3507/torneos.mensual/2" TargetMode="External"/><Relationship Id="rId93" Type="http://schemas.openxmlformats.org/officeDocument/2006/relationships/hyperlink" Target="https://competicion.ftm.es/app/jugador/historial/09659246/3507/torneos.mensual/2" TargetMode="External"/><Relationship Id="rId3" Type="http://schemas.openxmlformats.org/officeDocument/2006/relationships/hyperlink" Target="https://competicion.ftm.es/app/jugador/historial/09431412/3507/torneos.mensual/2" TargetMode="External"/><Relationship Id="rId12" Type="http://schemas.openxmlformats.org/officeDocument/2006/relationships/hyperlink" Target="https://competicion.ftm.es/app/jugador/historial/10763903/3507/torneos.mensual/2" TargetMode="External"/><Relationship Id="rId17" Type="http://schemas.openxmlformats.org/officeDocument/2006/relationships/hyperlink" Target="https://competicion.ftm.es/app/jugador/historial/10767153/3507/torneos.mensual/2" TargetMode="External"/><Relationship Id="rId25" Type="http://schemas.openxmlformats.org/officeDocument/2006/relationships/hyperlink" Target="https://competicion.ftm.es/app/jugador/historial/13005526/3507/torneos.mensual/2" TargetMode="External"/><Relationship Id="rId33" Type="http://schemas.openxmlformats.org/officeDocument/2006/relationships/hyperlink" Target="https://competicion.ftm.es/app/jugador/historial/16307820/3507/torneos.mensual/2" TargetMode="External"/><Relationship Id="rId38" Type="http://schemas.openxmlformats.org/officeDocument/2006/relationships/hyperlink" Target="https://competicion.ftm.es/app/jugador/historial/10777631/3507/torneos.mensual/2" TargetMode="External"/><Relationship Id="rId46" Type="http://schemas.openxmlformats.org/officeDocument/2006/relationships/hyperlink" Target="https://competicion.ftm.es/app/jugador/historial/10768474/3507/torneos.mensual/2" TargetMode="External"/><Relationship Id="rId59" Type="http://schemas.openxmlformats.org/officeDocument/2006/relationships/hyperlink" Target="https://competicion.ftm.es/app/jugador/historial/10602250/3507/torneos.mensual/2" TargetMode="External"/><Relationship Id="rId67" Type="http://schemas.openxmlformats.org/officeDocument/2006/relationships/hyperlink" Target="https://competicion.ftm.es/app/jugador/historial/14043335/3507/torneos.mensual/2" TargetMode="External"/><Relationship Id="rId20" Type="http://schemas.openxmlformats.org/officeDocument/2006/relationships/hyperlink" Target="https://competicion.ftm.es/app/jugador/historial/10772409/3507/torneos.mensual/2" TargetMode="External"/><Relationship Id="rId41" Type="http://schemas.openxmlformats.org/officeDocument/2006/relationships/hyperlink" Target="https://competicion.ftm.es/app/jugador/historial/10768482/3507/torneos.mensual/2" TargetMode="External"/><Relationship Id="rId54" Type="http://schemas.openxmlformats.org/officeDocument/2006/relationships/hyperlink" Target="https://competicion.ftm.es/app/jugador/historial/10778481/3507/torneos.mensual/2" TargetMode="External"/><Relationship Id="rId62" Type="http://schemas.openxmlformats.org/officeDocument/2006/relationships/hyperlink" Target="https://competicion.ftm.es/app/jugador/historial/16307804/3507/torneos.mensual/2" TargetMode="External"/><Relationship Id="rId70" Type="http://schemas.openxmlformats.org/officeDocument/2006/relationships/hyperlink" Target="https://competicion.ftm.es/app/jugador/historial/10770768/3507/torneos.mensual/2" TargetMode="External"/><Relationship Id="rId75" Type="http://schemas.openxmlformats.org/officeDocument/2006/relationships/hyperlink" Target="https://competicion.ftm.es/app/jugador/historial/10771378/3507/torneos.mensual/2" TargetMode="External"/><Relationship Id="rId83" Type="http://schemas.openxmlformats.org/officeDocument/2006/relationships/hyperlink" Target="https://competicion.ftm.es/app/jugador/historial/07456397/3507/torneos.mensual/2" TargetMode="External"/><Relationship Id="rId88" Type="http://schemas.openxmlformats.org/officeDocument/2006/relationships/hyperlink" Target="https://competicion.ftm.es/app/jugador/historial/10766478/3507/torneos.mensual/2" TargetMode="External"/><Relationship Id="rId91" Type="http://schemas.openxmlformats.org/officeDocument/2006/relationships/hyperlink" Target="https://competicion.ftm.es/app/jugador/historial/07179733/3507/torneos.mensual/2" TargetMode="External"/><Relationship Id="rId1" Type="http://schemas.openxmlformats.org/officeDocument/2006/relationships/hyperlink" Target="https://competicion.ftm.es/app/jugador/historial/10547703/3507/torneos.mensual/2" TargetMode="External"/><Relationship Id="rId6" Type="http://schemas.openxmlformats.org/officeDocument/2006/relationships/hyperlink" Target="https://competicion.ftm.es/app/jugador/historial/07404007/3507/torneos.mensual/2" TargetMode="External"/><Relationship Id="rId15" Type="http://schemas.openxmlformats.org/officeDocument/2006/relationships/hyperlink" Target="https://competicion.ftm.es/app/jugador/historial/10770809/3507/torneos.mensual/2" TargetMode="External"/><Relationship Id="rId23" Type="http://schemas.openxmlformats.org/officeDocument/2006/relationships/hyperlink" Target="https://competicion.ftm.es/app/jugador/historial/10770627/3507/torneos.mensual/2" TargetMode="External"/><Relationship Id="rId28" Type="http://schemas.openxmlformats.org/officeDocument/2006/relationships/hyperlink" Target="https://competicion.ftm.es/app/jugador/historial/10768375/3507/torneos.mensual/2" TargetMode="External"/><Relationship Id="rId36" Type="http://schemas.openxmlformats.org/officeDocument/2006/relationships/hyperlink" Target="https://competicion.ftm.es/app/jugador/historial/10765355/3507/torneos.mensual/2" TargetMode="External"/><Relationship Id="rId49" Type="http://schemas.openxmlformats.org/officeDocument/2006/relationships/hyperlink" Target="https://competicion.ftm.es/app/jugador/historial/10768614/3507/torneos.mensual/2" TargetMode="External"/><Relationship Id="rId57" Type="http://schemas.openxmlformats.org/officeDocument/2006/relationships/hyperlink" Target="https://competicion.ftm.es/app/jugador/historial/10134930/3507/torneos.mensual/2" TargetMode="External"/><Relationship Id="rId10" Type="http://schemas.openxmlformats.org/officeDocument/2006/relationships/hyperlink" Target="https://competicion.ftm.es/app/jugador/historial/10770742/3507/torneos.mensual/2" TargetMode="External"/><Relationship Id="rId31" Type="http://schemas.openxmlformats.org/officeDocument/2006/relationships/hyperlink" Target="https://competicion.ftm.es/app/jugador/historial/10737734/3507/torneos.mensual/2" TargetMode="External"/><Relationship Id="rId44" Type="http://schemas.openxmlformats.org/officeDocument/2006/relationships/hyperlink" Target="https://competicion.ftm.es/app/jugador/historial/10777483/3507/torneos.mensual/2" TargetMode="External"/><Relationship Id="rId52" Type="http://schemas.openxmlformats.org/officeDocument/2006/relationships/hyperlink" Target="https://competicion.ftm.es/app/jugador/historial/10110146/3507/torneos.mensual/2" TargetMode="External"/><Relationship Id="rId60" Type="http://schemas.openxmlformats.org/officeDocument/2006/relationships/hyperlink" Target="https://competicion.ftm.es/app/jugador/historial/10602250/3507/torneos.mensual/2" TargetMode="External"/><Relationship Id="rId65" Type="http://schemas.openxmlformats.org/officeDocument/2006/relationships/hyperlink" Target="https://competicion.ftm.es/app/jugador/historial/10778655/3507/torneos.mensual/2" TargetMode="External"/><Relationship Id="rId73" Type="http://schemas.openxmlformats.org/officeDocument/2006/relationships/hyperlink" Target="https://competicion.ftm.es/app/jugador/historial/10774778/3507/torneos.mensual/2" TargetMode="External"/><Relationship Id="rId78" Type="http://schemas.openxmlformats.org/officeDocument/2006/relationships/hyperlink" Target="https://competicion.ftm.es/app/jugador/historial/10783042/3507/torneos.mensual/2" TargetMode="External"/><Relationship Id="rId81" Type="http://schemas.openxmlformats.org/officeDocument/2006/relationships/hyperlink" Target="https://competicion.ftm.es/app/jugador/historial/10485268/3507/torneos.mensual/2" TargetMode="External"/><Relationship Id="rId86" Type="http://schemas.openxmlformats.org/officeDocument/2006/relationships/hyperlink" Target="https://competicion.ftm.es/app/jugador/historial/10623024/3507/torneos.mensual/2" TargetMode="External"/><Relationship Id="rId94" Type="http://schemas.openxmlformats.org/officeDocument/2006/relationships/hyperlink" Target="https://competicion.ftm.es/app/jugador/historial/09659246/3507/torneos.mensual/2" TargetMode="External"/><Relationship Id="rId4" Type="http://schemas.openxmlformats.org/officeDocument/2006/relationships/hyperlink" Target="https://competicion.ftm.es/app/jugador/historial/09431412/3507/torneos.mensual/2" TargetMode="External"/><Relationship Id="rId9" Type="http://schemas.openxmlformats.org/officeDocument/2006/relationships/hyperlink" Target="https://competicion.ftm.es/app/jugador/historial/10770742/3507/torneos.mensual/2" TargetMode="External"/><Relationship Id="rId13" Type="http://schemas.openxmlformats.org/officeDocument/2006/relationships/hyperlink" Target="https://competicion.ftm.es/app/jugador/historial/10763937/3507/torneos.mensual/2" TargetMode="External"/><Relationship Id="rId18" Type="http://schemas.openxmlformats.org/officeDocument/2006/relationships/hyperlink" Target="https://competicion.ftm.es/app/jugador/historial/10767153/3507/torneos.mensual/2" TargetMode="External"/><Relationship Id="rId39" Type="http://schemas.openxmlformats.org/officeDocument/2006/relationships/hyperlink" Target="https://competicion.ftm.es/app/jugador/historial/07291165/3507/torneos.mensual/2" TargetMode="External"/><Relationship Id="rId34" Type="http://schemas.openxmlformats.org/officeDocument/2006/relationships/hyperlink" Target="https://competicion.ftm.es/app/jugador/historial/16307820/3507/torneos.mensual/2" TargetMode="External"/><Relationship Id="rId50" Type="http://schemas.openxmlformats.org/officeDocument/2006/relationships/hyperlink" Target="https://competicion.ftm.es/app/jugador/historial/10768614/3507/torneos.mensual/2" TargetMode="External"/><Relationship Id="rId55" Type="http://schemas.openxmlformats.org/officeDocument/2006/relationships/hyperlink" Target="https://competicion.ftm.es/app/jugador/historial/10536532/3507/torneos.mensual/2" TargetMode="External"/><Relationship Id="rId76" Type="http://schemas.openxmlformats.org/officeDocument/2006/relationships/hyperlink" Target="https://competicion.ftm.es/app/jugador/historial/10771378/3507/torneos.mensual/2" TargetMode="External"/><Relationship Id="rId7" Type="http://schemas.openxmlformats.org/officeDocument/2006/relationships/hyperlink" Target="https://competicion.ftm.es/app/jugador/historial/09754385/3507/torneos.mensual/2" TargetMode="External"/><Relationship Id="rId71" Type="http://schemas.openxmlformats.org/officeDocument/2006/relationships/hyperlink" Target="https://competicion.ftm.es/app/jugador/historial/10169135/3507/torneos.mensual/2" TargetMode="External"/><Relationship Id="rId92" Type="http://schemas.openxmlformats.org/officeDocument/2006/relationships/hyperlink" Target="https://competicion.ftm.es/app/jugador/historial/07179733/3507/torneos.mensual/2" TargetMode="External"/><Relationship Id="rId2" Type="http://schemas.openxmlformats.org/officeDocument/2006/relationships/hyperlink" Target="https://competicion.ftm.es/app/jugador/historial/10547703/3507/torneos.mensual/2" TargetMode="External"/><Relationship Id="rId29" Type="http://schemas.openxmlformats.org/officeDocument/2006/relationships/hyperlink" Target="https://competicion.ftm.es/app/jugador/historial/10440238/3507/torneos.mensual/2" TargetMode="External"/><Relationship Id="rId24" Type="http://schemas.openxmlformats.org/officeDocument/2006/relationships/hyperlink" Target="https://competicion.ftm.es/app/jugador/historial/10770627/3507/torneos.mensual/2" TargetMode="External"/><Relationship Id="rId40" Type="http://schemas.openxmlformats.org/officeDocument/2006/relationships/hyperlink" Target="https://competicion.ftm.es/app/jugador/historial/07291165/3507/torneos.mensual/2" TargetMode="External"/><Relationship Id="rId45" Type="http://schemas.openxmlformats.org/officeDocument/2006/relationships/hyperlink" Target="https://competicion.ftm.es/app/jugador/historial/10768474/3507/torneos.mensual/2" TargetMode="External"/><Relationship Id="rId66" Type="http://schemas.openxmlformats.org/officeDocument/2006/relationships/hyperlink" Target="https://competicion.ftm.es/app/jugador/historial/10778655/3507/torneos.mensual/2" TargetMode="External"/><Relationship Id="rId87" Type="http://schemas.openxmlformats.org/officeDocument/2006/relationships/hyperlink" Target="https://competicion.ftm.es/app/jugador/historial/10766478/3507/torneos.mensual/2" TargetMode="External"/><Relationship Id="rId61" Type="http://schemas.openxmlformats.org/officeDocument/2006/relationships/hyperlink" Target="https://competicion.ftm.es/app/jugador/historial/16307804/3507/torneos.mensual/2" TargetMode="External"/><Relationship Id="rId82" Type="http://schemas.openxmlformats.org/officeDocument/2006/relationships/hyperlink" Target="https://competicion.ftm.es/app/jugador/historial/10485268/3507/torneos.mensual/2" TargetMode="External"/><Relationship Id="rId19" Type="http://schemas.openxmlformats.org/officeDocument/2006/relationships/hyperlink" Target="https://competicion.ftm.es/app/jugador/historial/10772409/3507/torneos.mensual/2" TargetMode="External"/><Relationship Id="rId14" Type="http://schemas.openxmlformats.org/officeDocument/2006/relationships/hyperlink" Target="https://competicion.ftm.es/app/jugador/historial/10763937/3507/torneos.mensual/2" TargetMode="External"/><Relationship Id="rId30" Type="http://schemas.openxmlformats.org/officeDocument/2006/relationships/hyperlink" Target="https://competicion.ftm.es/app/jugador/historial/10440238/3507/torneos.mensual/2" TargetMode="External"/><Relationship Id="rId35" Type="http://schemas.openxmlformats.org/officeDocument/2006/relationships/hyperlink" Target="https://competicion.ftm.es/app/jugador/historial/10765355/3507/torneos.mensual/2" TargetMode="External"/><Relationship Id="rId56" Type="http://schemas.openxmlformats.org/officeDocument/2006/relationships/hyperlink" Target="https://competicion.ftm.es/app/jugador/historial/10536532/3507/torneos.mensual/2" TargetMode="External"/><Relationship Id="rId77" Type="http://schemas.openxmlformats.org/officeDocument/2006/relationships/hyperlink" Target="https://competicion.ftm.es/app/jugador/historial/10783042/3507/torneos.mensual/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3" sqref="A3:XFD47"/>
    </sheetView>
  </sheetViews>
  <sheetFormatPr baseColWidth="10" defaultRowHeight="14.4" x14ac:dyDescent="0.3"/>
  <cols>
    <col min="1" max="1" width="9" bestFit="1" customWidth="1"/>
    <col min="2" max="2" width="15.44140625" bestFit="1" customWidth="1"/>
    <col min="3" max="3" width="22.33203125" bestFit="1" customWidth="1"/>
    <col min="4" max="4" width="20.5546875" bestFit="1" customWidth="1"/>
    <col min="5" max="5" width="28.21875" bestFit="1" customWidth="1"/>
    <col min="6" max="6" width="10.5546875" bestFit="1" customWidth="1"/>
    <col min="7" max="7" width="7.6640625" bestFit="1" customWidth="1"/>
    <col min="8" max="8" width="5.6640625" bestFit="1" customWidth="1"/>
    <col min="9" max="9" width="4.88671875" bestFit="1" customWidth="1"/>
    <col min="10" max="10" width="6.44140625" bestFit="1" customWidth="1"/>
    <col min="11" max="11" width="8" bestFit="1" customWidth="1"/>
    <col min="12" max="12" width="13.6640625" style="5" bestFit="1" customWidth="1"/>
    <col min="13" max="13" width="5.44140625" bestFit="1" customWidth="1"/>
    <col min="14" max="14" width="17" customWidth="1"/>
    <col min="15" max="15" width="15.5546875" customWidth="1"/>
  </cols>
  <sheetData>
    <row r="1" spans="1:19" x14ac:dyDescent="0.3">
      <c r="A1" s="1" t="s">
        <v>17</v>
      </c>
      <c r="B1" s="1" t="s">
        <v>18</v>
      </c>
      <c r="C1" s="1" t="s">
        <v>1</v>
      </c>
      <c r="D1" s="1" t="s">
        <v>2</v>
      </c>
      <c r="E1" s="1" t="s">
        <v>10</v>
      </c>
      <c r="F1" s="1" t="s">
        <v>3</v>
      </c>
      <c r="G1" s="1" t="s">
        <v>4</v>
      </c>
      <c r="H1" s="1" t="s">
        <v>0</v>
      </c>
      <c r="I1" s="1" t="s">
        <v>5</v>
      </c>
      <c r="J1" s="1" t="s">
        <v>6</v>
      </c>
      <c r="K1" s="1" t="s">
        <v>7</v>
      </c>
      <c r="L1" s="6" t="s">
        <v>8</v>
      </c>
      <c r="M1" s="1" t="s">
        <v>9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 x14ac:dyDescent="0.3">
      <c r="A2">
        <v>10766543</v>
      </c>
      <c r="C2" t="s">
        <v>119</v>
      </c>
      <c r="D2" t="s">
        <v>87</v>
      </c>
      <c r="E2" s="7" t="s">
        <v>120</v>
      </c>
      <c r="K2" t="s">
        <v>19</v>
      </c>
      <c r="L2" s="5">
        <v>24135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8"/>
  <sheetViews>
    <sheetView workbookViewId="0">
      <selection activeCell="G5" sqref="G5"/>
    </sheetView>
  </sheetViews>
  <sheetFormatPr baseColWidth="10" defaultRowHeight="14.4" x14ac:dyDescent="0.3"/>
  <cols>
    <col min="2" max="2" width="51.44140625" customWidth="1"/>
    <col min="7" max="7" width="30.88671875" bestFit="1" customWidth="1"/>
    <col min="8" max="8" width="11.5546875" style="5"/>
    <col min="10" max="10" width="3.33203125" customWidth="1"/>
    <col min="11" max="11" width="26.77734375" bestFit="1" customWidth="1"/>
    <col min="12" max="12" width="9" bestFit="1" customWidth="1"/>
    <col min="13" max="13" width="26.77734375" bestFit="1" customWidth="1"/>
    <col min="14" max="14" width="9" bestFit="1" customWidth="1"/>
    <col min="15" max="15" width="3.6640625" customWidth="1"/>
    <col min="16" max="16" width="21.5546875" bestFit="1" customWidth="1"/>
    <col min="18" max="18" width="3.6640625" customWidth="1"/>
    <col min="19" max="19" width="22.6640625" bestFit="1" customWidth="1"/>
    <col min="20" max="20" width="8.88671875" bestFit="1" customWidth="1"/>
  </cols>
  <sheetData>
    <row r="1" spans="1:20" ht="15" thickBot="1" x14ac:dyDescent="0.35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s="5" t="s">
        <v>74</v>
      </c>
      <c r="I1" t="s">
        <v>75</v>
      </c>
      <c r="J1" t="s">
        <v>76</v>
      </c>
      <c r="K1" t="s">
        <v>77</v>
      </c>
      <c r="L1" t="s">
        <v>79</v>
      </c>
      <c r="M1" t="s">
        <v>78</v>
      </c>
      <c r="N1" t="s">
        <v>79</v>
      </c>
      <c r="O1" t="s">
        <v>82</v>
      </c>
      <c r="P1" t="s">
        <v>80</v>
      </c>
      <c r="Q1" t="s">
        <v>81</v>
      </c>
      <c r="R1" t="s">
        <v>82</v>
      </c>
      <c r="S1" t="s">
        <v>83</v>
      </c>
      <c r="T1" t="s">
        <v>84</v>
      </c>
    </row>
    <row r="2" spans="1:20" ht="15" thickBot="1" x14ac:dyDescent="0.35">
      <c r="A2" s="2">
        <v>10266907</v>
      </c>
      <c r="B2" s="2" t="s">
        <v>138</v>
      </c>
      <c r="C2" s="3">
        <v>26483</v>
      </c>
      <c r="D2" s="4">
        <v>0</v>
      </c>
      <c r="F2">
        <v>10266907</v>
      </c>
      <c r="G2" t="s">
        <v>152</v>
      </c>
      <c r="H2" s="5">
        <v>26483</v>
      </c>
      <c r="I2">
        <v>0</v>
      </c>
      <c r="K2" t="str">
        <f>TRIM(LEFT(G2,FIND("-",G2)-1))</f>
        <v>Carlos Garcia De Mingo</v>
      </c>
      <c r="L2">
        <f>VLOOKUP(K2,[1]Sheet1!$A:$B,2,FALSE)</f>
        <v>10266907</v>
      </c>
      <c r="M2" t="str">
        <f>TRIM(MID(G2,LEN(K2)+3,40))</f>
        <v>Mario Playa Serra</v>
      </c>
      <c r="N2" t="str">
        <f>VLOOKUP(M2,[1]Sheet1!$A:$B,2,FALSE)</f>
        <v>T0044</v>
      </c>
      <c r="P2" t="str">
        <f>MID(K2,LEN(Q2)+2,40)</f>
        <v>Garcia De Mingo</v>
      </c>
      <c r="Q2" t="str">
        <f>TRIM(LEFT(K2,FIND(" ",K2)))</f>
        <v>Carlos</v>
      </c>
      <c r="S2" t="str">
        <f>MID(M2,LEN(T2)+2,40)</f>
        <v>Playa Serra</v>
      </c>
      <c r="T2" t="str">
        <f>TRIM(LEFT(M2,FIND(" ",M2)))</f>
        <v>Mario</v>
      </c>
    </row>
    <row r="3" spans="1:20" ht="15" thickBot="1" x14ac:dyDescent="0.35">
      <c r="A3" s="2">
        <v>10073005</v>
      </c>
      <c r="B3" s="2" t="s">
        <v>139</v>
      </c>
      <c r="C3" s="3">
        <v>24604</v>
      </c>
      <c r="D3" s="4">
        <v>0</v>
      </c>
      <c r="F3">
        <v>10073005</v>
      </c>
      <c r="G3" t="s">
        <v>139</v>
      </c>
      <c r="H3" s="5">
        <v>24604</v>
      </c>
      <c r="I3">
        <v>0</v>
      </c>
      <c r="K3" t="str">
        <f t="shared" ref="K3:K12" si="0">TRIM(LEFT(G3,FIND("-",G3)-1))</f>
        <v>Juan Jose Gomez Delgado</v>
      </c>
      <c r="L3">
        <f>VLOOKUP(K3,[1]Sheet1!$A:$B,2,FALSE)</f>
        <v>10073005</v>
      </c>
      <c r="M3" t="str">
        <f t="shared" ref="M3:M48" si="1">TRIM(MID(G3,LEN(K3)+3,40))</f>
        <v>Santiago Jimenez Jimenez</v>
      </c>
      <c r="N3">
        <f>VLOOKUP(M3,[1]Sheet1!$A:$B,2,FALSE)</f>
        <v>10765884</v>
      </c>
      <c r="P3" t="str">
        <f t="shared" ref="P3:P12" si="2">MID(K3,LEN(Q3)+2,40)</f>
        <v>Jose Gomez Delgado</v>
      </c>
      <c r="Q3" t="str">
        <f t="shared" ref="Q3:Q12" si="3">TRIM(LEFT(K3,FIND(" ",K3)))</f>
        <v>Juan</v>
      </c>
      <c r="S3" t="str">
        <f>MID(M3,LEN(T3)+2,40)</f>
        <v>Jimenez Jimenez</v>
      </c>
      <c r="T3" t="str">
        <f>TRIM(LEFT(M3,FIND(" ",M3)))</f>
        <v>Santiago</v>
      </c>
    </row>
    <row r="4" spans="1:20" ht="15" thickBot="1" x14ac:dyDescent="0.35">
      <c r="A4" s="2">
        <v>10772904</v>
      </c>
      <c r="B4" s="2" t="s">
        <v>140</v>
      </c>
      <c r="C4" s="3">
        <v>23934</v>
      </c>
      <c r="D4" s="4">
        <v>0</v>
      </c>
      <c r="F4">
        <v>10772904</v>
      </c>
      <c r="G4" t="s">
        <v>140</v>
      </c>
      <c r="H4" s="5">
        <v>23934</v>
      </c>
      <c r="I4">
        <v>0</v>
      </c>
      <c r="K4" t="s">
        <v>151</v>
      </c>
      <c r="L4">
        <f>VLOOKUP(K4,[1]Sheet1!$A:$B,2,FALSE)</f>
        <v>10772904</v>
      </c>
      <c r="M4" t="str">
        <f t="shared" si="1"/>
        <v>Luis Martinex Gonzalez</v>
      </c>
      <c r="N4" t="str">
        <f>VLOOKUP(M4,[1]Sheet1!$A:$B,2,FALSE)</f>
        <v>T0035</v>
      </c>
      <c r="P4" t="str">
        <f t="shared" si="2"/>
        <v>Rodriguez-Palanca Pliego</v>
      </c>
      <c r="Q4" t="str">
        <f t="shared" si="3"/>
        <v>Miguel</v>
      </c>
      <c r="S4" t="str">
        <f>MID(M4,LEN(T4)+2,40)</f>
        <v>Martinex Gonzalez</v>
      </c>
      <c r="T4" t="str">
        <f>TRIM(LEFT(M4,FIND(" ",M4)))</f>
        <v>Luis</v>
      </c>
    </row>
    <row r="5" spans="1:20" ht="15" thickBot="1" x14ac:dyDescent="0.35">
      <c r="A5" s="2">
        <v>10766543</v>
      </c>
      <c r="B5" s="2" t="s">
        <v>141</v>
      </c>
      <c r="C5" s="3">
        <v>24135</v>
      </c>
      <c r="D5" s="4">
        <v>0</v>
      </c>
      <c r="F5">
        <v>10766543</v>
      </c>
      <c r="G5" t="s">
        <v>153</v>
      </c>
      <c r="H5" s="5">
        <v>24135</v>
      </c>
      <c r="I5">
        <v>0</v>
      </c>
      <c r="K5" t="str">
        <f t="shared" si="0"/>
        <v>Jose Mª Sardiña Valero</v>
      </c>
      <c r="L5">
        <f>VLOOKUP(K5,[1]Sheet1!$A:$B,2,FALSE)</f>
        <v>10766543</v>
      </c>
      <c r="M5" t="str">
        <f t="shared" si="1"/>
        <v>Raul De La Muela</v>
      </c>
      <c r="N5" t="str">
        <f>VLOOKUP(M5,[1]Sheet1!$A:$B,2,FALSE)</f>
        <v>T0012</v>
      </c>
      <c r="P5" t="str">
        <f t="shared" si="2"/>
        <v>Mª Sardiña Valero</v>
      </c>
      <c r="Q5" t="str">
        <f t="shared" si="3"/>
        <v>Jose</v>
      </c>
      <c r="S5" t="str">
        <f>MID(M5,LEN(T5)+2,40)</f>
        <v>De La Muela</v>
      </c>
      <c r="T5" t="str">
        <f>TRIM(LEFT(M5,FIND(" ",M5)))</f>
        <v>Raul</v>
      </c>
    </row>
    <row r="6" spans="1:20" ht="15" thickBot="1" x14ac:dyDescent="0.35">
      <c r="A6" s="2">
        <v>10766270</v>
      </c>
      <c r="B6" s="2" t="s">
        <v>142</v>
      </c>
      <c r="C6" s="3">
        <v>26837</v>
      </c>
      <c r="D6" s="4">
        <v>0</v>
      </c>
      <c r="F6">
        <v>10766270</v>
      </c>
      <c r="G6" t="s">
        <v>142</v>
      </c>
      <c r="H6" s="5">
        <v>26837</v>
      </c>
      <c r="I6">
        <v>0</v>
      </c>
      <c r="K6" t="str">
        <f t="shared" si="0"/>
        <v>Rafael Martín Rodríguez</v>
      </c>
      <c r="L6">
        <f>VLOOKUP(K6,[1]Sheet1!$A:$B,2,FALSE)</f>
        <v>10766270</v>
      </c>
      <c r="M6" t="str">
        <f t="shared" si="1"/>
        <v>Angel Luis Ruiz Camara</v>
      </c>
      <c r="N6">
        <f>VLOOKUP(M6,[1]Sheet1!$A:$B,2,FALSE)</f>
        <v>10765404</v>
      </c>
      <c r="P6" t="str">
        <f t="shared" si="2"/>
        <v>Martín Rodríguez</v>
      </c>
      <c r="Q6" t="str">
        <f t="shared" si="3"/>
        <v>Rafael</v>
      </c>
      <c r="S6" t="str">
        <f>MID(M6,LEN(T6)+2,40)</f>
        <v>Ruiz Camara</v>
      </c>
      <c r="T6" t="s">
        <v>149</v>
      </c>
    </row>
    <row r="7" spans="1:20" ht="15" thickBot="1" x14ac:dyDescent="0.35">
      <c r="A7" s="2">
        <v>10771310</v>
      </c>
      <c r="B7" s="2" t="s">
        <v>143</v>
      </c>
      <c r="C7" s="3">
        <v>24225</v>
      </c>
      <c r="D7" s="4">
        <v>0</v>
      </c>
      <c r="F7">
        <v>10771310</v>
      </c>
      <c r="G7" t="s">
        <v>143</v>
      </c>
      <c r="H7" s="5">
        <v>24225</v>
      </c>
      <c r="I7">
        <v>0</v>
      </c>
      <c r="K7" t="str">
        <f t="shared" si="0"/>
        <v>Juan Manuel Sanz Engel</v>
      </c>
      <c r="L7">
        <f>VLOOKUP(K7,[1]Sheet1!$A:$B,2,FALSE)</f>
        <v>10771310</v>
      </c>
      <c r="M7" t="str">
        <f t="shared" si="1"/>
        <v>Gabriel Iriarte Perez</v>
      </c>
      <c r="N7" t="str">
        <f>VLOOKUP(M7,[1]Sheet1!$A:$B,2,FALSE)</f>
        <v>T0030</v>
      </c>
      <c r="P7" t="str">
        <f t="shared" si="2"/>
        <v>Manuel Sanz Engel</v>
      </c>
      <c r="Q7" t="str">
        <f t="shared" si="3"/>
        <v>Juan</v>
      </c>
      <c r="S7" t="str">
        <f>MID(M7,LEN(T7)+2,40)</f>
        <v>Iriarte Perez</v>
      </c>
      <c r="T7" t="str">
        <f>TRIM(LEFT(M7,FIND(" ",M7)))</f>
        <v>Gabriel</v>
      </c>
    </row>
    <row r="8" spans="1:20" ht="15" thickBot="1" x14ac:dyDescent="0.35">
      <c r="A8" s="2">
        <v>10768789</v>
      </c>
      <c r="B8" s="2" t="s">
        <v>144</v>
      </c>
      <c r="C8" s="3">
        <v>26450</v>
      </c>
      <c r="D8" s="4">
        <v>0</v>
      </c>
      <c r="F8">
        <v>10768789</v>
      </c>
      <c r="G8" t="s">
        <v>150</v>
      </c>
      <c r="H8" s="5">
        <v>26450</v>
      </c>
      <c r="I8">
        <v>0</v>
      </c>
      <c r="K8" t="str">
        <f t="shared" si="0"/>
        <v>Joan Manuel Linares Andrade</v>
      </c>
      <c r="L8">
        <f>VLOOKUP(K8,[1]Sheet1!$A:$B,2,FALSE)</f>
        <v>10768789</v>
      </c>
      <c r="M8" t="str">
        <f t="shared" si="1"/>
        <v>Felix Torres Uriel</v>
      </c>
      <c r="N8">
        <f>VLOOKUP(M8,[1]Sheet1!$A:$B,2,FALSE)</f>
        <v>1733006</v>
      </c>
      <c r="P8" t="str">
        <f t="shared" si="2"/>
        <v>Manuel Linares Andrade</v>
      </c>
      <c r="Q8" t="str">
        <f t="shared" si="3"/>
        <v>Joan</v>
      </c>
      <c r="S8" t="str">
        <f>MID(M8,LEN(T8)+2,40)</f>
        <v>Torres Uriel</v>
      </c>
      <c r="T8" t="str">
        <f>TRIM(LEFT(M8,FIND(" ",M8)))</f>
        <v>Felix</v>
      </c>
    </row>
    <row r="9" spans="1:20" ht="15" thickBot="1" x14ac:dyDescent="0.35">
      <c r="A9" s="2">
        <v>10763812</v>
      </c>
      <c r="B9" s="2" t="s">
        <v>145</v>
      </c>
      <c r="C9" s="3">
        <v>25672</v>
      </c>
      <c r="D9" s="4">
        <v>0</v>
      </c>
      <c r="F9">
        <v>10763812</v>
      </c>
      <c r="G9" t="s">
        <v>145</v>
      </c>
      <c r="H9" s="5">
        <v>25672</v>
      </c>
      <c r="I9">
        <v>0</v>
      </c>
      <c r="K9" t="str">
        <f t="shared" si="0"/>
        <v>Fernando Garcia Alcala Nieto</v>
      </c>
      <c r="L9">
        <f>VLOOKUP(K9,[1]Sheet1!$A:$B,2,FALSE)</f>
        <v>10763812</v>
      </c>
      <c r="M9" t="str">
        <f t="shared" si="1"/>
        <v>David Chichon</v>
      </c>
      <c r="N9" t="str">
        <f>VLOOKUP(M9,[1]Sheet1!$A:$B,2,FALSE)</f>
        <v>T0062</v>
      </c>
      <c r="P9" t="str">
        <f t="shared" si="2"/>
        <v>Garcia Alcala Nieto</v>
      </c>
      <c r="Q9" t="str">
        <f t="shared" si="3"/>
        <v>Fernando</v>
      </c>
      <c r="S9" t="str">
        <f>MID(M9,LEN(T9)+2,40)</f>
        <v>Chichon</v>
      </c>
      <c r="T9" t="str">
        <f>TRIM(LEFT(M9,FIND(" ",M9)))</f>
        <v>David</v>
      </c>
    </row>
    <row r="10" spans="1:20" ht="15" thickBot="1" x14ac:dyDescent="0.35">
      <c r="A10" s="2">
        <v>10081610</v>
      </c>
      <c r="B10" s="2" t="s">
        <v>146</v>
      </c>
      <c r="C10" s="3">
        <v>25791</v>
      </c>
      <c r="D10" s="4">
        <v>0</v>
      </c>
      <c r="F10">
        <v>10081610</v>
      </c>
      <c r="G10" t="s">
        <v>146</v>
      </c>
      <c r="H10" s="5">
        <v>25791</v>
      </c>
      <c r="I10">
        <v>0</v>
      </c>
      <c r="K10" t="str">
        <f t="shared" si="0"/>
        <v>Federico Bitan Georget</v>
      </c>
      <c r="L10">
        <f>VLOOKUP(K10,[1]Sheet1!$A:$B,2,FALSE)</f>
        <v>10081610</v>
      </c>
      <c r="M10" t="str">
        <f t="shared" si="1"/>
        <v>David Ojalvo Lozano</v>
      </c>
      <c r="N10" t="str">
        <f>VLOOKUP(M10,[1]Sheet1!$A:$B,2,FALSE)</f>
        <v>T0064</v>
      </c>
      <c r="P10" t="str">
        <f t="shared" si="2"/>
        <v>Bitan Georget</v>
      </c>
      <c r="Q10" t="str">
        <f t="shared" si="3"/>
        <v>Federico</v>
      </c>
      <c r="S10" t="str">
        <f>MID(M10,LEN(T10)+2,40)</f>
        <v>Ojalvo Lozano</v>
      </c>
      <c r="T10" t="str">
        <f>TRIM(LEFT(M10,FIND(" ",M10)))</f>
        <v>David</v>
      </c>
    </row>
    <row r="11" spans="1:20" ht="15" thickBot="1" x14ac:dyDescent="0.35">
      <c r="A11" s="2">
        <v>620163</v>
      </c>
      <c r="B11" s="2" t="s">
        <v>147</v>
      </c>
      <c r="C11" s="3">
        <v>23982</v>
      </c>
      <c r="D11" s="4">
        <v>0</v>
      </c>
      <c r="F11">
        <v>620163</v>
      </c>
      <c r="G11" t="s">
        <v>147</v>
      </c>
      <c r="H11" s="5">
        <v>23982</v>
      </c>
      <c r="I11">
        <v>0</v>
      </c>
      <c r="K11" t="str">
        <f t="shared" si="0"/>
        <v>Ricardo Lozano Puerto</v>
      </c>
      <c r="L11">
        <f>VLOOKUP(K11,[1]Sheet1!$A:$B,2,FALSE)</f>
        <v>620163</v>
      </c>
      <c r="M11" t="str">
        <f t="shared" si="1"/>
        <v>Manuel Ariza Nuñez</v>
      </c>
      <c r="N11" t="str">
        <f>VLOOKUP(M11,[1]Sheet1!$A:$B,2,FALSE)</f>
        <v>T0061</v>
      </c>
      <c r="P11" t="str">
        <f t="shared" si="2"/>
        <v>Lozano Puerto</v>
      </c>
      <c r="Q11" t="str">
        <f t="shared" si="3"/>
        <v>Ricardo</v>
      </c>
      <c r="S11" t="str">
        <f>MID(M11,LEN(T11)+2,40)</f>
        <v>Ariza Nuñez</v>
      </c>
      <c r="T11" t="str">
        <f>TRIM(LEFT(M11,FIND(" ",M11)))</f>
        <v>Manuel</v>
      </c>
    </row>
    <row r="12" spans="1:20" ht="15" thickBot="1" x14ac:dyDescent="0.35">
      <c r="A12" s="2">
        <v>10772780</v>
      </c>
      <c r="B12" s="2" t="s">
        <v>148</v>
      </c>
      <c r="C12" s="3">
        <v>24294</v>
      </c>
      <c r="D12" s="4">
        <v>0</v>
      </c>
      <c r="F12">
        <v>10772780</v>
      </c>
      <c r="G12" t="s">
        <v>148</v>
      </c>
      <c r="H12" s="5">
        <v>24294</v>
      </c>
      <c r="I12">
        <v>0</v>
      </c>
      <c r="K12" t="str">
        <f t="shared" si="0"/>
        <v>Ignacio Luaces</v>
      </c>
      <c r="L12">
        <f>VLOOKUP(K12,[1]Sheet1!$A:$B,2,FALSE)</f>
        <v>10772780</v>
      </c>
      <c r="M12" t="str">
        <f t="shared" si="1"/>
        <v>Marcos Delgado</v>
      </c>
      <c r="N12" t="str">
        <f>VLOOKUP(M12,[1]Sheet1!$A:$B,2,FALSE)</f>
        <v>T0063</v>
      </c>
      <c r="P12" t="str">
        <f t="shared" si="2"/>
        <v>Luaces</v>
      </c>
      <c r="Q12" t="str">
        <f t="shared" si="3"/>
        <v>Ignacio</v>
      </c>
      <c r="S12" t="str">
        <f>MID(M12,LEN(T12)+2,40)</f>
        <v>Delgado</v>
      </c>
      <c r="T12" t="str">
        <f>TRIM(LEFT(M12,FIND(" ",M12)))</f>
        <v>Marcos</v>
      </c>
    </row>
    <row r="13" spans="1:20" ht="15" thickBot="1" x14ac:dyDescent="0.35">
      <c r="A13" s="2"/>
      <c r="B13" s="2"/>
      <c r="C13" s="3"/>
      <c r="D13" s="4"/>
      <c r="K13" t="e">
        <f t="shared" ref="K3:K48" si="4">TRIM(LEFT(G13,FIND("-",G13)-1))</f>
        <v>#VALUE!</v>
      </c>
      <c r="M13" t="e">
        <f t="shared" si="1"/>
        <v>#VALUE!</v>
      </c>
      <c r="P13" t="e">
        <f>MID(G13,LEN(Q13)+2,40)</f>
        <v>#VALUE!</v>
      </c>
      <c r="Q13" t="e">
        <f>TRIM(LEFT(G13,FIND(" ",G13)))</f>
        <v>#VALUE!</v>
      </c>
      <c r="S13" t="e">
        <f>MID(M13,LEN(T13)+2,40)</f>
        <v>#VALUE!</v>
      </c>
      <c r="T13" t="e">
        <f>TRIM(LEFT(M13,FIND(" ",M13)))</f>
        <v>#VALUE!</v>
      </c>
    </row>
    <row r="14" spans="1:20" ht="15" thickBot="1" x14ac:dyDescent="0.35">
      <c r="A14" s="2"/>
      <c r="B14" s="2"/>
      <c r="C14" s="3"/>
      <c r="D14" s="4"/>
      <c r="K14" t="e">
        <f t="shared" si="4"/>
        <v>#VALUE!</v>
      </c>
      <c r="M14" t="e">
        <f t="shared" si="1"/>
        <v>#VALUE!</v>
      </c>
      <c r="P14" t="e">
        <f>MID(G14,LEN(Q14)+2,40)</f>
        <v>#VALUE!</v>
      </c>
      <c r="Q14" t="e">
        <f>TRIM(LEFT(G14,FIND(" ",G14)))</f>
        <v>#VALUE!</v>
      </c>
      <c r="S14" t="e">
        <f>MID(M14,LEN(T14)+2,40)</f>
        <v>#VALUE!</v>
      </c>
      <c r="T14" t="e">
        <f>TRIM(LEFT(M14,FIND(" ",M14)))</f>
        <v>#VALUE!</v>
      </c>
    </row>
    <row r="15" spans="1:20" ht="15" thickBot="1" x14ac:dyDescent="0.35">
      <c r="A15" s="2"/>
      <c r="B15" s="2"/>
      <c r="C15" s="3"/>
      <c r="D15" s="4"/>
      <c r="K15" t="e">
        <f t="shared" si="4"/>
        <v>#VALUE!</v>
      </c>
      <c r="M15" t="e">
        <f t="shared" si="1"/>
        <v>#VALUE!</v>
      </c>
      <c r="P15" t="e">
        <f>MID(G15,LEN(Q15)+2,40)</f>
        <v>#VALUE!</v>
      </c>
      <c r="Q15" t="e">
        <f>TRIM(LEFT(G15,FIND(" ",G15)))</f>
        <v>#VALUE!</v>
      </c>
      <c r="S15" t="e">
        <f>MID(M15,LEN(T15)+2,40)</f>
        <v>#VALUE!</v>
      </c>
      <c r="T15" t="e">
        <f>TRIM(LEFT(M15,FIND(" ",M15)))</f>
        <v>#VALUE!</v>
      </c>
    </row>
    <row r="16" spans="1:20" ht="15" thickBot="1" x14ac:dyDescent="0.35">
      <c r="A16" s="2"/>
      <c r="B16" s="2"/>
      <c r="C16" s="3"/>
      <c r="D16" s="4"/>
      <c r="K16" t="e">
        <f t="shared" si="4"/>
        <v>#VALUE!</v>
      </c>
      <c r="M16" t="e">
        <f t="shared" si="1"/>
        <v>#VALUE!</v>
      </c>
      <c r="P16" t="e">
        <f>MID(G16,LEN(Q16)+2,40)</f>
        <v>#VALUE!</v>
      </c>
      <c r="Q16" t="e">
        <f>TRIM(LEFT(G16,FIND(" ",G16)))</f>
        <v>#VALUE!</v>
      </c>
      <c r="S16" t="e">
        <f>MID(M16,LEN(T16)+2,40)</f>
        <v>#VALUE!</v>
      </c>
      <c r="T16" t="e">
        <f>TRIM(LEFT(M16,FIND(" ",M16)))</f>
        <v>#VALUE!</v>
      </c>
    </row>
    <row r="17" spans="1:20" ht="15" thickBot="1" x14ac:dyDescent="0.35">
      <c r="A17" s="2"/>
      <c r="B17" s="2"/>
      <c r="C17" s="3"/>
      <c r="D17" s="4"/>
      <c r="K17" t="e">
        <f t="shared" si="4"/>
        <v>#VALUE!</v>
      </c>
      <c r="M17" t="e">
        <f t="shared" si="1"/>
        <v>#VALUE!</v>
      </c>
      <c r="P17" t="e">
        <f>MID(G17,LEN(Q17)+2,40)</f>
        <v>#VALUE!</v>
      </c>
      <c r="Q17" t="e">
        <f>TRIM(LEFT(G17,FIND(" ",G17)))</f>
        <v>#VALUE!</v>
      </c>
      <c r="S17" t="e">
        <f>MID(M17,LEN(T17)+2,40)</f>
        <v>#VALUE!</v>
      </c>
      <c r="T17" t="e">
        <f>TRIM(LEFT(M17,FIND(" ",M17)))</f>
        <v>#VALUE!</v>
      </c>
    </row>
    <row r="18" spans="1:20" ht="15" thickBot="1" x14ac:dyDescent="0.35">
      <c r="A18" s="2"/>
      <c r="B18" s="2"/>
      <c r="C18" s="3"/>
      <c r="D18" s="4"/>
      <c r="K18" t="e">
        <f t="shared" si="4"/>
        <v>#VALUE!</v>
      </c>
      <c r="M18" t="e">
        <f t="shared" si="1"/>
        <v>#VALUE!</v>
      </c>
      <c r="P18" t="e">
        <f>MID(G18,LEN(Q18)+2,40)</f>
        <v>#VALUE!</v>
      </c>
      <c r="Q18" t="e">
        <f>TRIM(LEFT(G18,FIND(" ",G18)))</f>
        <v>#VALUE!</v>
      </c>
      <c r="S18" t="e">
        <f>MID(M18,LEN(T18)+2,40)</f>
        <v>#VALUE!</v>
      </c>
      <c r="T18" t="e">
        <f>TRIM(LEFT(M18,FIND(" ",M18)))</f>
        <v>#VALUE!</v>
      </c>
    </row>
    <row r="19" spans="1:20" ht="15" thickBot="1" x14ac:dyDescent="0.35">
      <c r="A19" s="2"/>
      <c r="B19" s="2"/>
      <c r="C19" s="3"/>
      <c r="D19" s="4"/>
      <c r="K19" t="e">
        <f t="shared" si="4"/>
        <v>#VALUE!</v>
      </c>
      <c r="M19" t="e">
        <f t="shared" si="1"/>
        <v>#VALUE!</v>
      </c>
      <c r="P19" t="e">
        <f>MID(G19,LEN(Q19)+2,40)</f>
        <v>#VALUE!</v>
      </c>
      <c r="Q19" t="e">
        <f>TRIM(LEFT(G19,FIND(" ",G19)))</f>
        <v>#VALUE!</v>
      </c>
      <c r="S19" t="e">
        <f>MID(M19,LEN(T19)+2,40)</f>
        <v>#VALUE!</v>
      </c>
      <c r="T19" t="e">
        <f>TRIM(LEFT(M19,FIND(" ",M19)))</f>
        <v>#VALUE!</v>
      </c>
    </row>
    <row r="20" spans="1:20" ht="15" thickBot="1" x14ac:dyDescent="0.35">
      <c r="A20" s="2"/>
      <c r="B20" s="2"/>
      <c r="C20" s="3"/>
      <c r="D20" s="4"/>
      <c r="K20" t="e">
        <f t="shared" si="4"/>
        <v>#VALUE!</v>
      </c>
      <c r="M20" t="e">
        <f t="shared" si="1"/>
        <v>#VALUE!</v>
      </c>
      <c r="P20" t="e">
        <f>MID(G20,LEN(Q20)+2,40)</f>
        <v>#VALUE!</v>
      </c>
      <c r="Q20" t="e">
        <f>TRIM(LEFT(G20,FIND(" ",G20)))</f>
        <v>#VALUE!</v>
      </c>
      <c r="S20" t="e">
        <f>MID(M20,LEN(T20)+2,40)</f>
        <v>#VALUE!</v>
      </c>
      <c r="T20" t="e">
        <f>TRIM(LEFT(M20,FIND(" ",M20)))</f>
        <v>#VALUE!</v>
      </c>
    </row>
    <row r="21" spans="1:20" ht="15" thickBot="1" x14ac:dyDescent="0.35">
      <c r="A21" s="2"/>
      <c r="B21" s="2"/>
      <c r="C21" s="3"/>
      <c r="D21" s="4"/>
      <c r="K21" t="e">
        <f t="shared" si="4"/>
        <v>#VALUE!</v>
      </c>
      <c r="M21" t="e">
        <f t="shared" si="1"/>
        <v>#VALUE!</v>
      </c>
      <c r="P21" t="e">
        <f>MID(G21,LEN(Q21)+2,40)</f>
        <v>#VALUE!</v>
      </c>
      <c r="Q21" t="e">
        <f>TRIM(LEFT(G21,FIND(" ",G21)))</f>
        <v>#VALUE!</v>
      </c>
      <c r="S21" t="e">
        <f>MID(M21,LEN(T21)+2,40)</f>
        <v>#VALUE!</v>
      </c>
      <c r="T21" t="e">
        <f>TRIM(LEFT(M21,FIND(" ",M21)))</f>
        <v>#VALUE!</v>
      </c>
    </row>
    <row r="22" spans="1:20" ht="15" thickBot="1" x14ac:dyDescent="0.35">
      <c r="A22" s="2"/>
      <c r="B22" s="2"/>
      <c r="C22" s="3"/>
      <c r="D22" s="4"/>
      <c r="K22" t="e">
        <f t="shared" si="4"/>
        <v>#VALUE!</v>
      </c>
      <c r="M22" t="e">
        <f t="shared" si="1"/>
        <v>#VALUE!</v>
      </c>
      <c r="P22" t="e">
        <f>MID(G22,LEN(Q22)+2,40)</f>
        <v>#VALUE!</v>
      </c>
      <c r="Q22" t="e">
        <f>TRIM(LEFT(G22,FIND(" ",G22)))</f>
        <v>#VALUE!</v>
      </c>
      <c r="S22" t="e">
        <f>MID(M22,LEN(T22)+2,40)</f>
        <v>#VALUE!</v>
      </c>
      <c r="T22" t="e">
        <f>TRIM(LEFT(M22,FIND(" ",M22)))</f>
        <v>#VALUE!</v>
      </c>
    </row>
    <row r="23" spans="1:20" ht="15" thickBot="1" x14ac:dyDescent="0.35">
      <c r="A23" s="2"/>
      <c r="B23" s="2"/>
      <c r="C23" s="3"/>
      <c r="D23" s="4"/>
      <c r="K23" t="e">
        <f t="shared" si="4"/>
        <v>#VALUE!</v>
      </c>
      <c r="M23" t="e">
        <f t="shared" si="1"/>
        <v>#VALUE!</v>
      </c>
      <c r="P23" t="e">
        <f>MID(G23,LEN(Q23)+2,40)</f>
        <v>#VALUE!</v>
      </c>
      <c r="Q23" t="e">
        <f>TRIM(LEFT(G23,FIND(" ",G23)))</f>
        <v>#VALUE!</v>
      </c>
      <c r="S23" t="e">
        <f>MID(M23,LEN(T23)+2,40)</f>
        <v>#VALUE!</v>
      </c>
      <c r="T23" t="e">
        <f>TRIM(LEFT(M23,FIND(" ",M23)))</f>
        <v>#VALUE!</v>
      </c>
    </row>
    <row r="24" spans="1:20" ht="15" thickBot="1" x14ac:dyDescent="0.35">
      <c r="A24" s="2"/>
      <c r="B24" s="2"/>
      <c r="C24" s="3"/>
      <c r="D24" s="4"/>
      <c r="K24" t="e">
        <f t="shared" si="4"/>
        <v>#VALUE!</v>
      </c>
      <c r="M24" t="e">
        <f t="shared" si="1"/>
        <v>#VALUE!</v>
      </c>
      <c r="P24" t="e">
        <f>MID(G24,LEN(Q24)+2,40)</f>
        <v>#VALUE!</v>
      </c>
      <c r="Q24" t="e">
        <f>TRIM(LEFT(G24,FIND(" ",G24)))</f>
        <v>#VALUE!</v>
      </c>
      <c r="S24" t="e">
        <f>MID(M24,LEN(T24)+2,40)</f>
        <v>#VALUE!</v>
      </c>
      <c r="T24" t="e">
        <f>TRIM(LEFT(M24,FIND(" ",M24)))</f>
        <v>#VALUE!</v>
      </c>
    </row>
    <row r="25" spans="1:20" ht="15" thickBot="1" x14ac:dyDescent="0.35">
      <c r="A25" s="2"/>
      <c r="B25" s="2"/>
      <c r="C25" s="3"/>
      <c r="D25" s="4"/>
      <c r="K25" t="e">
        <f t="shared" si="4"/>
        <v>#VALUE!</v>
      </c>
      <c r="M25" t="e">
        <f t="shared" si="1"/>
        <v>#VALUE!</v>
      </c>
      <c r="P25" t="e">
        <f>MID(G25,LEN(Q25)+2,40)</f>
        <v>#VALUE!</v>
      </c>
      <c r="Q25" t="e">
        <f>TRIM(LEFT(G25,FIND(" ",G25)))</f>
        <v>#VALUE!</v>
      </c>
      <c r="S25" t="e">
        <f>MID(M25,LEN(T25)+2,40)</f>
        <v>#VALUE!</v>
      </c>
      <c r="T25" t="e">
        <f>TRIM(LEFT(M25,FIND(" ",M25)))</f>
        <v>#VALUE!</v>
      </c>
    </row>
    <row r="26" spans="1:20" ht="15" thickBot="1" x14ac:dyDescent="0.35">
      <c r="A26" s="2"/>
      <c r="B26" s="2"/>
      <c r="C26" s="3"/>
      <c r="D26" s="4"/>
      <c r="K26" t="e">
        <f t="shared" si="4"/>
        <v>#VALUE!</v>
      </c>
      <c r="M26" t="e">
        <f t="shared" si="1"/>
        <v>#VALUE!</v>
      </c>
      <c r="P26" t="e">
        <f>MID(G26,LEN(Q26)+2,40)</f>
        <v>#VALUE!</v>
      </c>
      <c r="Q26" t="e">
        <f>TRIM(LEFT(G26,FIND(" ",G26)))</f>
        <v>#VALUE!</v>
      </c>
      <c r="S26" t="e">
        <f>MID(M26,LEN(T26)+2,40)</f>
        <v>#VALUE!</v>
      </c>
      <c r="T26" t="e">
        <f>TRIM(LEFT(M26,FIND(" ",M26)))</f>
        <v>#VALUE!</v>
      </c>
    </row>
    <row r="27" spans="1:20" ht="15" thickBot="1" x14ac:dyDescent="0.35">
      <c r="A27" s="2"/>
      <c r="B27" s="2"/>
      <c r="C27" s="3"/>
      <c r="D27" s="4"/>
      <c r="K27" t="e">
        <f t="shared" si="4"/>
        <v>#VALUE!</v>
      </c>
      <c r="M27" t="e">
        <f t="shared" si="1"/>
        <v>#VALUE!</v>
      </c>
      <c r="P27" t="e">
        <f>MID(G27,LEN(Q27)+2,40)</f>
        <v>#VALUE!</v>
      </c>
      <c r="Q27" t="e">
        <f>TRIM(LEFT(G27,FIND(" ",G27)))</f>
        <v>#VALUE!</v>
      </c>
      <c r="S27" t="e">
        <f>MID(M27,LEN(T27)+2,40)</f>
        <v>#VALUE!</v>
      </c>
      <c r="T27" t="e">
        <f>TRIM(LEFT(M27,FIND(" ",M27)))</f>
        <v>#VALUE!</v>
      </c>
    </row>
    <row r="28" spans="1:20" ht="15" thickBot="1" x14ac:dyDescent="0.35">
      <c r="A28" s="2"/>
      <c r="B28" s="2"/>
      <c r="C28" s="3"/>
      <c r="D28" s="4"/>
      <c r="K28" t="e">
        <f t="shared" si="4"/>
        <v>#VALUE!</v>
      </c>
      <c r="M28" t="e">
        <f t="shared" si="1"/>
        <v>#VALUE!</v>
      </c>
      <c r="P28" t="e">
        <f>MID(G28,LEN(Q28)+2,40)</f>
        <v>#VALUE!</v>
      </c>
      <c r="Q28" t="e">
        <f>TRIM(LEFT(G28,FIND(" ",G28)))</f>
        <v>#VALUE!</v>
      </c>
      <c r="S28" t="e">
        <f>MID(M28,LEN(T28)+2,40)</f>
        <v>#VALUE!</v>
      </c>
      <c r="T28" t="e">
        <f>TRIM(LEFT(M28,FIND(" ",M28)))</f>
        <v>#VALUE!</v>
      </c>
    </row>
    <row r="29" spans="1:20" ht="15" thickBot="1" x14ac:dyDescent="0.35">
      <c r="A29" s="2"/>
      <c r="B29" s="2"/>
      <c r="C29" s="3"/>
      <c r="D29" s="4"/>
      <c r="K29" t="e">
        <f t="shared" si="4"/>
        <v>#VALUE!</v>
      </c>
      <c r="M29" t="e">
        <f t="shared" si="1"/>
        <v>#VALUE!</v>
      </c>
      <c r="P29" t="e">
        <f>MID(G29,LEN(Q29)+2,40)</f>
        <v>#VALUE!</v>
      </c>
      <c r="Q29" t="e">
        <f>TRIM(LEFT(G29,FIND(" ",G29)))</f>
        <v>#VALUE!</v>
      </c>
      <c r="S29" t="e">
        <f>MID(M29,LEN(T29)+2,40)</f>
        <v>#VALUE!</v>
      </c>
      <c r="T29" t="e">
        <f>TRIM(LEFT(M29,FIND(" ",M29)))</f>
        <v>#VALUE!</v>
      </c>
    </row>
    <row r="30" spans="1:20" ht="15" thickBot="1" x14ac:dyDescent="0.35">
      <c r="A30" s="2"/>
      <c r="B30" s="2"/>
      <c r="C30" s="3"/>
      <c r="D30" s="4"/>
      <c r="K30" t="e">
        <f t="shared" si="4"/>
        <v>#VALUE!</v>
      </c>
      <c r="M30" t="e">
        <f t="shared" si="1"/>
        <v>#VALUE!</v>
      </c>
      <c r="P30" t="e">
        <f>MID(G30,LEN(Q30)+2,40)</f>
        <v>#VALUE!</v>
      </c>
      <c r="Q30" t="e">
        <f>TRIM(LEFT(G30,FIND(" ",G30)))</f>
        <v>#VALUE!</v>
      </c>
      <c r="S30" t="e">
        <f>MID(M30,LEN(T30)+2,40)</f>
        <v>#VALUE!</v>
      </c>
      <c r="T30" t="e">
        <f>TRIM(LEFT(M30,FIND(" ",M30)))</f>
        <v>#VALUE!</v>
      </c>
    </row>
    <row r="31" spans="1:20" ht="15" thickBot="1" x14ac:dyDescent="0.35">
      <c r="A31" s="2"/>
      <c r="B31" s="2"/>
      <c r="C31" s="3"/>
      <c r="D31" s="4"/>
      <c r="K31" t="e">
        <f t="shared" si="4"/>
        <v>#VALUE!</v>
      </c>
      <c r="M31" t="e">
        <f t="shared" si="1"/>
        <v>#VALUE!</v>
      </c>
      <c r="P31" t="e">
        <f>MID(G31,LEN(Q31)+2,40)</f>
        <v>#VALUE!</v>
      </c>
      <c r="Q31" t="e">
        <f>TRIM(LEFT(G31,FIND(" ",G31)))</f>
        <v>#VALUE!</v>
      </c>
      <c r="S31" t="e">
        <f>MID(M31,LEN(T31)+2,40)</f>
        <v>#VALUE!</v>
      </c>
      <c r="T31" t="e">
        <f>TRIM(LEFT(M31,FIND(" ",M31)))</f>
        <v>#VALUE!</v>
      </c>
    </row>
    <row r="32" spans="1:20" ht="15" thickBot="1" x14ac:dyDescent="0.35">
      <c r="A32" s="2"/>
      <c r="B32" s="2"/>
      <c r="C32" s="3"/>
      <c r="D32" s="4"/>
      <c r="K32" t="e">
        <f t="shared" si="4"/>
        <v>#VALUE!</v>
      </c>
      <c r="M32" t="e">
        <f t="shared" si="1"/>
        <v>#VALUE!</v>
      </c>
      <c r="P32" t="e">
        <f>MID(G32,LEN(Q32)+2,40)</f>
        <v>#VALUE!</v>
      </c>
      <c r="Q32" t="e">
        <f>TRIM(LEFT(G32,FIND(" ",G32)))</f>
        <v>#VALUE!</v>
      </c>
      <c r="S32" t="e">
        <f>MID(M32,LEN(T32)+2,40)</f>
        <v>#VALUE!</v>
      </c>
      <c r="T32" t="e">
        <f>TRIM(LEFT(M32,FIND(" ",M32)))</f>
        <v>#VALUE!</v>
      </c>
    </row>
    <row r="33" spans="1:20" ht="15" thickBot="1" x14ac:dyDescent="0.35">
      <c r="A33" s="2"/>
      <c r="B33" s="2"/>
      <c r="C33" s="3"/>
      <c r="D33" s="4"/>
      <c r="K33" t="e">
        <f t="shared" si="4"/>
        <v>#VALUE!</v>
      </c>
      <c r="M33" t="e">
        <f t="shared" si="1"/>
        <v>#VALUE!</v>
      </c>
      <c r="P33" t="e">
        <f>MID(G33,LEN(Q33)+2,40)</f>
        <v>#VALUE!</v>
      </c>
      <c r="Q33" t="e">
        <f>TRIM(LEFT(G33,FIND(" ",G33)))</f>
        <v>#VALUE!</v>
      </c>
      <c r="S33" t="e">
        <f>MID(M33,LEN(T33)+2,40)</f>
        <v>#VALUE!</v>
      </c>
      <c r="T33" t="e">
        <f>TRIM(LEFT(M33,FIND(" ",M33)))</f>
        <v>#VALUE!</v>
      </c>
    </row>
    <row r="34" spans="1:20" ht="15" thickBot="1" x14ac:dyDescent="0.35">
      <c r="A34" s="2"/>
      <c r="B34" s="2"/>
      <c r="C34" s="3"/>
      <c r="D34" s="4"/>
      <c r="K34" t="e">
        <f t="shared" si="4"/>
        <v>#VALUE!</v>
      </c>
      <c r="M34" t="e">
        <f t="shared" si="1"/>
        <v>#VALUE!</v>
      </c>
      <c r="P34" t="e">
        <f>MID(G34,LEN(Q34)+2,40)</f>
        <v>#VALUE!</v>
      </c>
      <c r="Q34" t="e">
        <f>TRIM(LEFT(G34,FIND(" ",G34)))</f>
        <v>#VALUE!</v>
      </c>
      <c r="S34" t="e">
        <f>MID(M34,LEN(T34)+2,40)</f>
        <v>#VALUE!</v>
      </c>
      <c r="T34" t="e">
        <f>TRIM(LEFT(M34,FIND(" ",M34)))</f>
        <v>#VALUE!</v>
      </c>
    </row>
    <row r="35" spans="1:20" ht="15" thickBot="1" x14ac:dyDescent="0.35">
      <c r="A35" s="2"/>
      <c r="B35" s="2"/>
      <c r="C35" s="3"/>
      <c r="D35" s="4"/>
      <c r="K35" t="e">
        <f t="shared" si="4"/>
        <v>#VALUE!</v>
      </c>
      <c r="M35" t="e">
        <f t="shared" si="1"/>
        <v>#VALUE!</v>
      </c>
      <c r="P35" t="e">
        <f>MID(G35,LEN(Q35)+2,40)</f>
        <v>#VALUE!</v>
      </c>
      <c r="Q35" t="e">
        <f>TRIM(LEFT(G35,FIND(" ",G35)))</f>
        <v>#VALUE!</v>
      </c>
      <c r="S35" t="e">
        <f>MID(M35,LEN(T35)+2,40)</f>
        <v>#VALUE!</v>
      </c>
      <c r="T35" t="e">
        <f>TRIM(LEFT(M35,FIND(" ",M35)))</f>
        <v>#VALUE!</v>
      </c>
    </row>
    <row r="36" spans="1:20" ht="15" thickBot="1" x14ac:dyDescent="0.35">
      <c r="A36" s="2"/>
      <c r="B36" s="2"/>
      <c r="C36" s="3"/>
      <c r="D36" s="4"/>
      <c r="K36" t="e">
        <f t="shared" si="4"/>
        <v>#VALUE!</v>
      </c>
      <c r="M36" t="e">
        <f t="shared" si="1"/>
        <v>#VALUE!</v>
      </c>
      <c r="P36" t="e">
        <f>MID(G36,LEN(Q36)+2,40)</f>
        <v>#VALUE!</v>
      </c>
      <c r="Q36" t="e">
        <f>TRIM(LEFT(G36,FIND(" ",G36)))</f>
        <v>#VALUE!</v>
      </c>
      <c r="S36" t="e">
        <f>MID(M36,LEN(T36)+2,40)</f>
        <v>#VALUE!</v>
      </c>
      <c r="T36" t="e">
        <f>TRIM(LEFT(M36,FIND(" ",M36)))</f>
        <v>#VALUE!</v>
      </c>
    </row>
    <row r="37" spans="1:20" ht="15" thickBot="1" x14ac:dyDescent="0.35">
      <c r="A37" s="2"/>
      <c r="B37" s="2"/>
      <c r="C37" s="3"/>
      <c r="D37" s="4"/>
      <c r="K37" t="e">
        <f t="shared" si="4"/>
        <v>#VALUE!</v>
      </c>
      <c r="M37" t="e">
        <f t="shared" si="1"/>
        <v>#VALUE!</v>
      </c>
      <c r="P37" t="e">
        <f>MID(G37,LEN(Q37)+2,40)</f>
        <v>#VALUE!</v>
      </c>
      <c r="Q37" t="e">
        <f>TRIM(LEFT(G37,FIND(" ",G37)))</f>
        <v>#VALUE!</v>
      </c>
      <c r="S37" t="e">
        <f>MID(M37,LEN(T37)+2,40)</f>
        <v>#VALUE!</v>
      </c>
      <c r="T37" t="e">
        <f>TRIM(LEFT(M37,FIND(" ",M37)))</f>
        <v>#VALUE!</v>
      </c>
    </row>
    <row r="38" spans="1:20" ht="15" thickBot="1" x14ac:dyDescent="0.35">
      <c r="A38" s="2"/>
      <c r="B38" s="2"/>
      <c r="C38" s="3"/>
      <c r="D38" s="4"/>
      <c r="K38" t="e">
        <f t="shared" si="4"/>
        <v>#VALUE!</v>
      </c>
      <c r="M38" t="e">
        <f t="shared" si="1"/>
        <v>#VALUE!</v>
      </c>
      <c r="P38" t="e">
        <f>MID(G38,LEN(Q38)+2,40)</f>
        <v>#VALUE!</v>
      </c>
      <c r="Q38" t="e">
        <f>TRIM(LEFT(G38,FIND(" ",G38)))</f>
        <v>#VALUE!</v>
      </c>
      <c r="S38" t="e">
        <f>MID(M38,LEN(T38)+2,40)</f>
        <v>#VALUE!</v>
      </c>
      <c r="T38" t="e">
        <f>TRIM(LEFT(M38,FIND(" ",M38)))</f>
        <v>#VALUE!</v>
      </c>
    </row>
    <row r="39" spans="1:20" ht="15" thickBot="1" x14ac:dyDescent="0.35">
      <c r="A39" s="2"/>
      <c r="B39" s="2"/>
      <c r="C39" s="3"/>
      <c r="D39" s="4"/>
      <c r="K39" t="e">
        <f t="shared" si="4"/>
        <v>#VALUE!</v>
      </c>
      <c r="M39" t="e">
        <f t="shared" si="1"/>
        <v>#VALUE!</v>
      </c>
      <c r="P39" t="e">
        <f>MID(G39,LEN(Q39)+2,40)</f>
        <v>#VALUE!</v>
      </c>
      <c r="Q39" t="e">
        <f>TRIM(LEFT(G39,FIND(" ",G39)))</f>
        <v>#VALUE!</v>
      </c>
      <c r="S39" t="e">
        <f>MID(M39,LEN(T39)+2,40)</f>
        <v>#VALUE!</v>
      </c>
      <c r="T39" t="e">
        <f>TRIM(LEFT(M39,FIND(" ",M39)))</f>
        <v>#VALUE!</v>
      </c>
    </row>
    <row r="40" spans="1:20" ht="15" thickBot="1" x14ac:dyDescent="0.35">
      <c r="A40" s="2"/>
      <c r="B40" s="2"/>
      <c r="C40" s="3"/>
      <c r="D40" s="4"/>
      <c r="K40" t="e">
        <f t="shared" si="4"/>
        <v>#VALUE!</v>
      </c>
      <c r="M40" t="e">
        <f t="shared" si="1"/>
        <v>#VALUE!</v>
      </c>
      <c r="P40" t="e">
        <f>MID(G40,LEN(Q40)+2,40)</f>
        <v>#VALUE!</v>
      </c>
      <c r="Q40" t="e">
        <f>TRIM(LEFT(G40,FIND(" ",G40)))</f>
        <v>#VALUE!</v>
      </c>
      <c r="S40" t="e">
        <f>MID(M40,LEN(T40)+2,40)</f>
        <v>#VALUE!</v>
      </c>
      <c r="T40" t="e">
        <f>TRIM(LEFT(M40,FIND(" ",M40)))</f>
        <v>#VALUE!</v>
      </c>
    </row>
    <row r="41" spans="1:20" ht="15" thickBot="1" x14ac:dyDescent="0.35">
      <c r="A41" s="2"/>
      <c r="B41" s="2"/>
      <c r="C41" s="3"/>
      <c r="D41" s="4"/>
      <c r="K41" t="e">
        <f t="shared" si="4"/>
        <v>#VALUE!</v>
      </c>
      <c r="M41" t="e">
        <f t="shared" si="1"/>
        <v>#VALUE!</v>
      </c>
      <c r="P41" t="e">
        <f>MID(G41,LEN(Q41)+2,40)</f>
        <v>#VALUE!</v>
      </c>
      <c r="Q41" t="e">
        <f>TRIM(LEFT(G41,FIND(" ",G41)))</f>
        <v>#VALUE!</v>
      </c>
      <c r="S41" t="e">
        <f>MID(M41,LEN(T41)+2,40)</f>
        <v>#VALUE!</v>
      </c>
      <c r="T41" t="e">
        <f>TRIM(LEFT(M41,FIND(" ",M41)))</f>
        <v>#VALUE!</v>
      </c>
    </row>
    <row r="42" spans="1:20" ht="15" thickBot="1" x14ac:dyDescent="0.35">
      <c r="A42" s="2"/>
      <c r="B42" s="2"/>
      <c r="C42" s="3"/>
      <c r="D42" s="4"/>
      <c r="K42" t="e">
        <f t="shared" si="4"/>
        <v>#VALUE!</v>
      </c>
      <c r="M42" t="e">
        <f t="shared" si="1"/>
        <v>#VALUE!</v>
      </c>
      <c r="P42" t="e">
        <f>MID(G42,LEN(Q42)+2,40)</f>
        <v>#VALUE!</v>
      </c>
      <c r="Q42" t="e">
        <f>TRIM(LEFT(G42,FIND(" ",G42)))</f>
        <v>#VALUE!</v>
      </c>
      <c r="S42" t="e">
        <f>MID(M42,LEN(T42)+2,40)</f>
        <v>#VALUE!</v>
      </c>
      <c r="T42" t="e">
        <f>TRIM(LEFT(M42,FIND(" ",M42)))</f>
        <v>#VALUE!</v>
      </c>
    </row>
    <row r="43" spans="1:20" ht="15" thickBot="1" x14ac:dyDescent="0.35">
      <c r="A43" s="2"/>
      <c r="B43" s="2"/>
      <c r="C43" s="3"/>
      <c r="D43" s="4"/>
      <c r="K43" t="e">
        <f t="shared" si="4"/>
        <v>#VALUE!</v>
      </c>
      <c r="M43" t="e">
        <f t="shared" si="1"/>
        <v>#VALUE!</v>
      </c>
      <c r="P43" t="e">
        <f>MID(G43,LEN(Q43)+2,40)</f>
        <v>#VALUE!</v>
      </c>
      <c r="Q43" t="e">
        <f>TRIM(LEFT(G43,FIND(" ",G43)))</f>
        <v>#VALUE!</v>
      </c>
      <c r="S43" t="e">
        <f>MID(M43,LEN(T43)+2,40)</f>
        <v>#VALUE!</v>
      </c>
      <c r="T43" t="e">
        <f>TRIM(LEFT(M43,FIND(" ",M43)))</f>
        <v>#VALUE!</v>
      </c>
    </row>
    <row r="44" spans="1:20" ht="15" thickBot="1" x14ac:dyDescent="0.35">
      <c r="A44" s="2"/>
      <c r="B44" s="2"/>
      <c r="C44" s="3"/>
      <c r="D44" s="4"/>
      <c r="K44" t="e">
        <f t="shared" si="4"/>
        <v>#VALUE!</v>
      </c>
      <c r="M44" t="e">
        <f t="shared" si="1"/>
        <v>#VALUE!</v>
      </c>
      <c r="P44" t="e">
        <f>MID(G44,LEN(Q44)+2,40)</f>
        <v>#VALUE!</v>
      </c>
      <c r="Q44" t="e">
        <f>TRIM(LEFT(G44,FIND(" ",G44)))</f>
        <v>#VALUE!</v>
      </c>
      <c r="S44" t="e">
        <f>MID(M44,LEN(T44)+2,40)</f>
        <v>#VALUE!</v>
      </c>
      <c r="T44" t="e">
        <f>TRIM(LEFT(M44,FIND(" ",M44)))</f>
        <v>#VALUE!</v>
      </c>
    </row>
    <row r="45" spans="1:20" ht="15" thickBot="1" x14ac:dyDescent="0.35">
      <c r="A45" s="2"/>
      <c r="B45" s="2"/>
      <c r="C45" s="3"/>
      <c r="D45" s="4"/>
      <c r="K45" t="e">
        <f t="shared" si="4"/>
        <v>#VALUE!</v>
      </c>
      <c r="M45" t="e">
        <f t="shared" si="1"/>
        <v>#VALUE!</v>
      </c>
      <c r="P45" t="e">
        <f>MID(G45,LEN(Q45)+2,40)</f>
        <v>#VALUE!</v>
      </c>
      <c r="Q45" t="e">
        <f>TRIM(LEFT(G45,FIND(" ",G45)))</f>
        <v>#VALUE!</v>
      </c>
      <c r="S45" t="e">
        <f>MID(M45,LEN(T45)+2,40)</f>
        <v>#VALUE!</v>
      </c>
      <c r="T45" t="e">
        <f>TRIM(LEFT(M45,FIND(" ",M45)))</f>
        <v>#VALUE!</v>
      </c>
    </row>
    <row r="46" spans="1:20" ht="15" thickBot="1" x14ac:dyDescent="0.35">
      <c r="A46" s="2"/>
      <c r="B46" s="2"/>
      <c r="C46" s="3"/>
      <c r="D46" s="4"/>
      <c r="K46" t="e">
        <f t="shared" si="4"/>
        <v>#VALUE!</v>
      </c>
      <c r="M46" t="e">
        <f t="shared" si="1"/>
        <v>#VALUE!</v>
      </c>
      <c r="P46" t="e">
        <f>MID(G46,LEN(Q46)+2,40)</f>
        <v>#VALUE!</v>
      </c>
      <c r="Q46" t="e">
        <f>TRIM(LEFT(G46,FIND(" ",G46)))</f>
        <v>#VALUE!</v>
      </c>
      <c r="S46" t="e">
        <f>MID(M46,LEN(T46)+2,40)</f>
        <v>#VALUE!</v>
      </c>
      <c r="T46" t="e">
        <f>TRIM(LEFT(M46,FIND(" ",M46)))</f>
        <v>#VALUE!</v>
      </c>
    </row>
    <row r="47" spans="1:20" ht="15" thickBot="1" x14ac:dyDescent="0.35">
      <c r="A47" s="2"/>
      <c r="B47" s="2"/>
      <c r="C47" s="3"/>
      <c r="D47" s="4"/>
      <c r="K47" t="e">
        <f t="shared" si="4"/>
        <v>#VALUE!</v>
      </c>
      <c r="M47" t="e">
        <f t="shared" si="1"/>
        <v>#VALUE!</v>
      </c>
      <c r="P47" t="e">
        <f>MID(G47,LEN(Q47)+2,40)</f>
        <v>#VALUE!</v>
      </c>
      <c r="Q47" t="e">
        <f>TRIM(LEFT(G47,FIND(" ",G47)))</f>
        <v>#VALUE!</v>
      </c>
      <c r="S47" t="e">
        <f>MID(M47,LEN(T47)+2,40)</f>
        <v>#VALUE!</v>
      </c>
      <c r="T47" t="e">
        <f>TRIM(LEFT(M47,FIND(" ",M47)))</f>
        <v>#VALUE!</v>
      </c>
    </row>
    <row r="48" spans="1:20" x14ac:dyDescent="0.3">
      <c r="A48" s="2"/>
      <c r="B48" s="2"/>
      <c r="C48" s="3"/>
      <c r="D48" s="4"/>
      <c r="K48" t="e">
        <f t="shared" si="4"/>
        <v>#VALUE!</v>
      </c>
      <c r="M48" t="e">
        <f t="shared" si="1"/>
        <v>#VALUE!</v>
      </c>
      <c r="P48" t="e">
        <f>MID(G48,LEN(Q48)+2,40)</f>
        <v>#VALUE!</v>
      </c>
      <c r="Q48" t="e">
        <f>TRIM(LEFT(G48,FIND(" ",G48)))</f>
        <v>#VALUE!</v>
      </c>
      <c r="S48" t="e">
        <f>MID(M48,LEN(T48)+2,40)</f>
        <v>#VALUE!</v>
      </c>
      <c r="T48" t="e">
        <f>TRIM(LEFT(M48,FIND(" ",M48)))</f>
        <v>#VALUE!</v>
      </c>
    </row>
  </sheetData>
  <autoFilter ref="A1:T1">
    <sortState ref="A2:T48">
      <sortCondition ref="P1"/>
    </sortState>
  </autoFilter>
  <hyperlinks>
    <hyperlink ref="A2" r:id="rId1" display="https://competicion.ftm.es/app/jugador/historial/10266907/3507/torneos.historial/2"/>
    <hyperlink ref="B2" r:id="rId2" display="https://competicion.ftm.es/app/jugador/historial/10266907/3507/torneos.historial/2"/>
    <hyperlink ref="A3" r:id="rId3" display="https://competicion.ftm.es/app/jugador/historial/10073005/3507/torneos.historial/2"/>
    <hyperlink ref="B3" r:id="rId4" display="https://competicion.ftm.es/app/jugador/historial/10073005/3507/torneos.historial/2"/>
    <hyperlink ref="A4" r:id="rId5" display="https://competicion.ftm.es/app/jugador/historial/10772904/3507/torneos.historial/2"/>
    <hyperlink ref="B4" r:id="rId6" display="https://competicion.ftm.es/app/jugador/historial/10772904/3507/torneos.historial/2"/>
    <hyperlink ref="A5" r:id="rId7" display="https://competicion.ftm.es/app/jugador/historial/10766543/3507/torneos.historial/2"/>
    <hyperlink ref="B5" r:id="rId8" display="https://competicion.ftm.es/app/jugador/historial/10766543/3507/torneos.historial/2"/>
    <hyperlink ref="A6" r:id="rId9" display="https://competicion.ftm.es/app/jugador/historial/10766270/3507/torneos.historial/2"/>
    <hyperlink ref="B6" r:id="rId10" display="https://competicion.ftm.es/app/jugador/historial/10766270/3507/torneos.historial/2"/>
    <hyperlink ref="A7" r:id="rId11" display="https://competicion.ftm.es/app/jugador/historial/10771310/3507/torneos.historial/2"/>
    <hyperlink ref="B7" r:id="rId12" display="https://competicion.ftm.es/app/jugador/historial/10771310/3507/torneos.historial/2"/>
    <hyperlink ref="A8" r:id="rId13" display="https://competicion.ftm.es/app/jugador/historial/10768789/3507/torneos.historial/2"/>
    <hyperlink ref="B8" r:id="rId14" display="https://competicion.ftm.es/app/jugador/historial/10768789/3507/torneos.historial/2"/>
    <hyperlink ref="A9" r:id="rId15" display="https://competicion.ftm.es/app/jugador/historial/10763812/3507/torneos.historial/2"/>
    <hyperlink ref="B9" r:id="rId16" display="https://competicion.ftm.es/app/jugador/historial/10763812/3507/torneos.historial/2"/>
    <hyperlink ref="A10" r:id="rId17" display="https://competicion.ftm.es/app/jugador/historial/10081610/3507/torneos.historial/2"/>
    <hyperlink ref="B10" r:id="rId18" display="https://competicion.ftm.es/app/jugador/historial/10081610/3507/torneos.historial/2"/>
    <hyperlink ref="A11" r:id="rId19" display="https://competicion.ftm.es/app/jugador/historial/00620163/3507/torneos.historial/2"/>
    <hyperlink ref="B11" r:id="rId20" display="https://competicion.ftm.es/app/jugador/historial/00620163/3507/torneos.historial/2"/>
    <hyperlink ref="A12" r:id="rId21" display="https://competicion.ftm.es/app/jugador/historial/10772780/3507/torneos.historial/2"/>
    <hyperlink ref="B12" r:id="rId22" display="https://competicion.ftm.es/app/jugador/historial/10772780/3507/torneos.historial/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"/>
  <sheetViews>
    <sheetView workbookViewId="0">
      <selection activeCell="C10" sqref="C10"/>
    </sheetView>
  </sheetViews>
  <sheetFormatPr baseColWidth="10" defaultRowHeight="14.4" x14ac:dyDescent="0.3"/>
  <cols>
    <col min="2" max="2" width="51.44140625" customWidth="1"/>
    <col min="7" max="7" width="30.88671875" bestFit="1" customWidth="1"/>
    <col min="8" max="8" width="11.5546875" style="5"/>
    <col min="10" max="10" width="3.33203125" customWidth="1"/>
    <col min="11" max="12" width="26.77734375" bestFit="1" customWidth="1"/>
    <col min="13" max="13" width="9" bestFit="1" customWidth="1"/>
    <col min="14" max="14" width="37" bestFit="1" customWidth="1"/>
    <col min="16" max="16" width="3.6640625" customWidth="1"/>
    <col min="17" max="17" width="22.6640625" bestFit="1" customWidth="1"/>
    <col min="18" max="18" width="8.88671875" bestFit="1" customWidth="1"/>
  </cols>
  <sheetData>
    <row r="1" spans="1:18" ht="15" thickBot="1" x14ac:dyDescent="0.35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s="5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  <c r="R1" t="s">
        <v>84</v>
      </c>
    </row>
    <row r="2" spans="1:18" ht="15" thickBot="1" x14ac:dyDescent="0.35">
      <c r="A2" s="2">
        <v>10770437</v>
      </c>
      <c r="B2" s="2" t="s">
        <v>129</v>
      </c>
      <c r="C2" s="3">
        <v>23117</v>
      </c>
      <c r="D2" s="4">
        <v>0</v>
      </c>
      <c r="F2">
        <v>10770437</v>
      </c>
      <c r="G2" t="s">
        <v>129</v>
      </c>
      <c r="H2" s="5">
        <v>23117</v>
      </c>
      <c r="I2">
        <v>0</v>
      </c>
      <c r="K2" t="str">
        <f>TRIM(LEFT(G2,FIND("-",G2)-1))</f>
        <v>Ramon Gonzalez Viedma</v>
      </c>
      <c r="L2" t="str">
        <f>TRIM(MID(G2,LEN(K2)+3,40))</f>
        <v>José Luis Benito Ludeña</v>
      </c>
      <c r="M2">
        <f>VLOOKUP(L2,[1]Sheet1!$A:$B,2,FALSE)</f>
        <v>10765602</v>
      </c>
      <c r="N2" t="str">
        <f>MID(K2,LEN(O2)+2,40)</f>
        <v>Gonzalez Viedma</v>
      </c>
      <c r="O2" t="str">
        <f>TRIM(LEFT(K2,FIND(" ",K2)))</f>
        <v>Ramon</v>
      </c>
      <c r="Q2" t="str">
        <f>MID(L2,LEN(R2)+2,40)</f>
        <v>Luis Benito Ludeña</v>
      </c>
      <c r="R2" t="str">
        <f>TRIM(LEFT(L2,FIND(" ",L2)))</f>
        <v>José</v>
      </c>
    </row>
    <row r="3" spans="1:18" ht="15" thickBot="1" x14ac:dyDescent="0.35">
      <c r="A3" s="2">
        <v>10771245</v>
      </c>
      <c r="B3" s="2" t="s">
        <v>130</v>
      </c>
      <c r="C3" s="8">
        <v>22410</v>
      </c>
      <c r="D3" s="4">
        <v>0</v>
      </c>
      <c r="F3">
        <v>10771245</v>
      </c>
      <c r="G3" t="s">
        <v>130</v>
      </c>
      <c r="H3" s="5">
        <v>22410</v>
      </c>
      <c r="I3">
        <v>0</v>
      </c>
      <c r="K3" t="str">
        <f t="shared" ref="K3:K48" si="0">TRIM(LEFT(G3,FIND("-",G3)-1))</f>
        <v>Juan José Hergueta Moyano</v>
      </c>
      <c r="L3" t="str">
        <f t="shared" ref="L3:L48" si="1">TRIM(MID(G3,LEN(K3)+3,40))</f>
        <v>Javier De La Iglesia López</v>
      </c>
      <c r="M3">
        <f>VLOOKUP(L3,[1]Sheet1!$A:$B,2,FALSE)</f>
        <v>10772871</v>
      </c>
      <c r="N3" t="str">
        <f t="shared" ref="N3:N10" si="2">MID(K3,LEN(O3)+2,40)</f>
        <v>José Hergueta Moyano</v>
      </c>
      <c r="O3" t="str">
        <f t="shared" ref="O3:O10" si="3">TRIM(LEFT(K3,FIND(" ",K3)))</f>
        <v>Juan</v>
      </c>
      <c r="Q3" t="str">
        <f t="shared" ref="Q3:Q48" si="4">MID(L3,LEN(R3)+2,40)</f>
        <v>De La Iglesia López</v>
      </c>
      <c r="R3" t="str">
        <f t="shared" ref="R3:R48" si="5">TRIM(LEFT(L3,FIND(" ",L3)))</f>
        <v>Javier</v>
      </c>
    </row>
    <row r="4" spans="1:18" ht="15" thickBot="1" x14ac:dyDescent="0.35">
      <c r="A4" s="2">
        <v>10763375</v>
      </c>
      <c r="B4" s="2" t="s">
        <v>131</v>
      </c>
      <c r="C4" s="8">
        <v>20313</v>
      </c>
      <c r="D4" s="4">
        <v>0</v>
      </c>
      <c r="F4">
        <v>10763375</v>
      </c>
      <c r="G4" t="s">
        <v>131</v>
      </c>
      <c r="H4" s="5">
        <v>20313</v>
      </c>
      <c r="I4">
        <v>0</v>
      </c>
      <c r="K4" t="str">
        <f t="shared" si="0"/>
        <v>Jesús Valencia Abad</v>
      </c>
      <c r="L4" t="str">
        <f t="shared" si="1"/>
        <v>Charlie Wilson</v>
      </c>
      <c r="M4" t="str">
        <f>VLOOKUP(L4,[1]Sheet1!$A:$B,2,FALSE)</f>
        <v>T0059</v>
      </c>
      <c r="N4" t="str">
        <f t="shared" si="2"/>
        <v>Valencia Abad</v>
      </c>
      <c r="O4" t="str">
        <f t="shared" si="3"/>
        <v>Jesús</v>
      </c>
      <c r="Q4" t="str">
        <f t="shared" si="4"/>
        <v>Wilson</v>
      </c>
      <c r="R4" t="str">
        <f t="shared" si="5"/>
        <v>Charlie</v>
      </c>
    </row>
    <row r="5" spans="1:18" ht="15" thickBot="1" x14ac:dyDescent="0.35">
      <c r="A5" s="2">
        <v>8068282</v>
      </c>
      <c r="B5" s="2" t="s">
        <v>132</v>
      </c>
      <c r="C5" s="8">
        <v>18604</v>
      </c>
      <c r="D5" s="4">
        <v>0</v>
      </c>
      <c r="F5">
        <v>8068282</v>
      </c>
      <c r="G5" t="s">
        <v>132</v>
      </c>
      <c r="H5" s="5">
        <v>18604</v>
      </c>
      <c r="I5">
        <v>0</v>
      </c>
      <c r="K5" t="str">
        <f t="shared" si="0"/>
        <v>Laudelino Quintero Armas</v>
      </c>
      <c r="L5" t="str">
        <f t="shared" si="1"/>
        <v>Enrique López García</v>
      </c>
      <c r="M5" t="str">
        <f>VLOOKUP(L5,[1]Sheet1!$A:$B,2,FALSE)</f>
        <v>T0033</v>
      </c>
      <c r="N5" t="str">
        <f t="shared" si="2"/>
        <v>Quintero Armas</v>
      </c>
      <c r="O5" t="str">
        <f t="shared" si="3"/>
        <v>Laudelino</v>
      </c>
      <c r="Q5" t="str">
        <f t="shared" si="4"/>
        <v>López García</v>
      </c>
      <c r="R5" t="str">
        <f t="shared" si="5"/>
        <v>Enrique</v>
      </c>
    </row>
    <row r="6" spans="1:18" ht="15" thickBot="1" x14ac:dyDescent="0.35">
      <c r="A6" s="2">
        <v>10042042</v>
      </c>
      <c r="B6" s="2" t="s">
        <v>133</v>
      </c>
      <c r="C6" s="8">
        <v>19562</v>
      </c>
      <c r="D6" s="4">
        <v>0</v>
      </c>
      <c r="F6">
        <v>10042042</v>
      </c>
      <c r="G6" t="s">
        <v>133</v>
      </c>
      <c r="H6" s="5">
        <v>19562</v>
      </c>
      <c r="I6">
        <v>0</v>
      </c>
      <c r="K6" t="str">
        <f t="shared" si="0"/>
        <v>Zótico Castrillo Reizábal</v>
      </c>
      <c r="L6" t="str">
        <f t="shared" si="1"/>
        <v>Jose Manuel Ocaña Martinez</v>
      </c>
      <c r="M6" t="str">
        <f>VLOOKUP(L6,[1]Sheet1!$A:$B,2,FALSE)</f>
        <v>T0040</v>
      </c>
      <c r="N6" t="str">
        <f t="shared" si="2"/>
        <v>Castrillo Reizábal</v>
      </c>
      <c r="O6" t="str">
        <f t="shared" si="3"/>
        <v>Zótico</v>
      </c>
      <c r="Q6" t="str">
        <f t="shared" si="4"/>
        <v>Manuel Ocaña Martinez</v>
      </c>
      <c r="R6" t="str">
        <f t="shared" si="5"/>
        <v>Jose</v>
      </c>
    </row>
    <row r="7" spans="1:18" ht="15" thickBot="1" x14ac:dyDescent="0.35">
      <c r="A7" s="2">
        <v>10778283</v>
      </c>
      <c r="B7" s="2" t="s">
        <v>134</v>
      </c>
      <c r="C7" s="8">
        <v>19888</v>
      </c>
      <c r="D7" s="4">
        <v>0</v>
      </c>
      <c r="F7">
        <v>10778283</v>
      </c>
      <c r="G7" t="s">
        <v>134</v>
      </c>
      <c r="H7" s="5">
        <v>19888</v>
      </c>
      <c r="I7">
        <v>0</v>
      </c>
      <c r="K7" t="str">
        <f t="shared" si="0"/>
        <v>Antonio Leganes Sanchez</v>
      </c>
      <c r="L7" t="str">
        <f t="shared" si="1"/>
        <v>Jose Antonio Cristobal Bermejo</v>
      </c>
      <c r="M7">
        <f>VLOOKUP(L7,[1]Sheet1!$A:$B,2,FALSE)</f>
        <v>10770669</v>
      </c>
      <c r="N7" t="str">
        <f t="shared" si="2"/>
        <v>Leganes Sanchez</v>
      </c>
      <c r="O7" t="str">
        <f t="shared" si="3"/>
        <v>Antonio</v>
      </c>
      <c r="Q7" t="str">
        <f t="shared" si="4"/>
        <v>Antonio Cristobal Bermejo</v>
      </c>
      <c r="R7" t="str">
        <f t="shared" si="5"/>
        <v>Jose</v>
      </c>
    </row>
    <row r="8" spans="1:18" ht="15" thickBot="1" x14ac:dyDescent="0.35">
      <c r="A8" s="2">
        <v>10766345</v>
      </c>
      <c r="B8" s="2" t="s">
        <v>135</v>
      </c>
      <c r="C8" s="8">
        <v>20852</v>
      </c>
      <c r="D8" s="4">
        <v>0</v>
      </c>
      <c r="F8">
        <v>10766345</v>
      </c>
      <c r="G8" t="s">
        <v>135</v>
      </c>
      <c r="H8" s="5">
        <v>20852</v>
      </c>
      <c r="I8">
        <v>0</v>
      </c>
      <c r="K8" t="str">
        <f t="shared" si="0"/>
        <v>Roberto Ibáñez Hidalgo</v>
      </c>
      <c r="L8" t="str">
        <f t="shared" si="1"/>
        <v>Manuel Sanz Moriñigo</v>
      </c>
      <c r="M8">
        <f>VLOOKUP(L8,[1]Sheet1!$A:$B,2,FALSE)</f>
        <v>7336482</v>
      </c>
      <c r="N8" t="str">
        <f t="shared" si="2"/>
        <v>Ibáñez Hidalgo</v>
      </c>
      <c r="O8" t="str">
        <f t="shared" si="3"/>
        <v>Roberto</v>
      </c>
      <c r="Q8" t="str">
        <f t="shared" si="4"/>
        <v>Sanz Moriñigo</v>
      </c>
      <c r="R8" t="str">
        <f t="shared" si="5"/>
        <v>Manuel</v>
      </c>
    </row>
    <row r="9" spans="1:18" ht="15" thickBot="1" x14ac:dyDescent="0.35">
      <c r="A9" s="2">
        <v>10768044</v>
      </c>
      <c r="B9" s="2" t="s">
        <v>136</v>
      </c>
      <c r="C9" s="8">
        <v>23148</v>
      </c>
      <c r="D9" s="4">
        <v>0</v>
      </c>
      <c r="F9">
        <v>10768044</v>
      </c>
      <c r="G9" t="s">
        <v>136</v>
      </c>
      <c r="H9" s="5">
        <v>23148</v>
      </c>
      <c r="I9">
        <v>0</v>
      </c>
      <c r="K9" t="str">
        <f t="shared" si="0"/>
        <v>Jose Agustin Campoy Rodriguez</v>
      </c>
      <c r="L9" t="str">
        <f t="shared" si="1"/>
        <v>Ramon Diaz Navas</v>
      </c>
      <c r="M9" t="str">
        <f>VLOOKUP(L9,[1]Sheet1!$A:$B,2,FALSE)</f>
        <v>T0015</v>
      </c>
      <c r="N9" t="str">
        <f t="shared" si="2"/>
        <v>Agustin Campoy Rodriguez</v>
      </c>
      <c r="O9" t="str">
        <f t="shared" si="3"/>
        <v>Jose</v>
      </c>
      <c r="Q9" t="str">
        <f t="shared" si="4"/>
        <v>Diaz Navas</v>
      </c>
      <c r="R9" t="str">
        <f t="shared" si="5"/>
        <v>Ramon</v>
      </c>
    </row>
    <row r="10" spans="1:18" ht="15" thickBot="1" x14ac:dyDescent="0.35">
      <c r="A10" s="2">
        <v>10768606</v>
      </c>
      <c r="B10" s="2" t="s">
        <v>137</v>
      </c>
      <c r="C10" s="8">
        <v>23331</v>
      </c>
      <c r="D10" s="4">
        <v>0</v>
      </c>
      <c r="F10">
        <v>10768606</v>
      </c>
      <c r="G10" t="s">
        <v>137</v>
      </c>
      <c r="H10" s="5">
        <v>23331</v>
      </c>
      <c r="I10">
        <v>0</v>
      </c>
      <c r="K10" t="str">
        <f t="shared" si="0"/>
        <v>Oscar Pasanau Torras</v>
      </c>
      <c r="L10" t="str">
        <f t="shared" si="1"/>
        <v>Jose Luis Fernandez</v>
      </c>
      <c r="M10" t="str">
        <f>VLOOKUP(L10,[1]Sheet1!$A:$B,2,FALSE)</f>
        <v>T0018</v>
      </c>
      <c r="N10" t="str">
        <f t="shared" si="2"/>
        <v>Pasanau Torras</v>
      </c>
      <c r="O10" t="str">
        <f t="shared" si="3"/>
        <v>Oscar</v>
      </c>
      <c r="Q10" t="str">
        <f t="shared" si="4"/>
        <v>Luis Fernandez</v>
      </c>
      <c r="R10" t="str">
        <f t="shared" si="5"/>
        <v>Jose</v>
      </c>
    </row>
    <row r="11" spans="1:18" ht="15" thickBot="1" x14ac:dyDescent="0.35">
      <c r="A11" s="2"/>
      <c r="B11" s="2"/>
      <c r="C11" s="3"/>
      <c r="D11" s="4"/>
      <c r="K11" t="e">
        <f t="shared" si="0"/>
        <v>#VALUE!</v>
      </c>
      <c r="L11" t="e">
        <f t="shared" si="1"/>
        <v>#VALUE!</v>
      </c>
      <c r="N11" t="e">
        <f t="shared" ref="N3:N48" si="6">MID(G11,LEN(O11)+2,40)</f>
        <v>#VALUE!</v>
      </c>
      <c r="O11" t="e">
        <f t="shared" ref="O3:O48" si="7">TRIM(LEFT(G11,FIND(" ",G11)))</f>
        <v>#VALUE!</v>
      </c>
      <c r="Q11" t="e">
        <f t="shared" si="4"/>
        <v>#VALUE!</v>
      </c>
      <c r="R11" t="e">
        <f t="shared" si="5"/>
        <v>#VALUE!</v>
      </c>
    </row>
    <row r="12" spans="1:18" ht="15" thickBot="1" x14ac:dyDescent="0.35">
      <c r="A12" s="2"/>
      <c r="B12" s="2"/>
      <c r="C12" s="3"/>
      <c r="D12" s="4"/>
      <c r="K12" t="e">
        <f t="shared" si="0"/>
        <v>#VALUE!</v>
      </c>
      <c r="L12" t="e">
        <f t="shared" si="1"/>
        <v>#VALUE!</v>
      </c>
      <c r="N12" t="e">
        <f t="shared" si="6"/>
        <v>#VALUE!</v>
      </c>
      <c r="O12" t="e">
        <f t="shared" si="7"/>
        <v>#VALUE!</v>
      </c>
      <c r="Q12" t="e">
        <f t="shared" si="4"/>
        <v>#VALUE!</v>
      </c>
      <c r="R12" t="e">
        <f t="shared" si="5"/>
        <v>#VALUE!</v>
      </c>
    </row>
    <row r="13" spans="1:18" ht="15" thickBot="1" x14ac:dyDescent="0.35">
      <c r="A13" s="2"/>
      <c r="B13" s="2"/>
      <c r="C13" s="3"/>
      <c r="D13" s="4"/>
      <c r="K13" t="e">
        <f t="shared" si="0"/>
        <v>#VALUE!</v>
      </c>
      <c r="L13" t="e">
        <f t="shared" si="1"/>
        <v>#VALUE!</v>
      </c>
      <c r="N13" t="e">
        <f t="shared" si="6"/>
        <v>#VALUE!</v>
      </c>
      <c r="O13" t="e">
        <f t="shared" si="7"/>
        <v>#VALUE!</v>
      </c>
      <c r="Q13" t="e">
        <f t="shared" si="4"/>
        <v>#VALUE!</v>
      </c>
      <c r="R13" t="e">
        <f t="shared" si="5"/>
        <v>#VALUE!</v>
      </c>
    </row>
    <row r="14" spans="1:18" ht="15" thickBot="1" x14ac:dyDescent="0.35">
      <c r="A14" s="2"/>
      <c r="B14" s="2"/>
      <c r="C14" s="3"/>
      <c r="D14" s="4"/>
      <c r="K14" t="e">
        <f t="shared" si="0"/>
        <v>#VALUE!</v>
      </c>
      <c r="L14" t="e">
        <f t="shared" si="1"/>
        <v>#VALUE!</v>
      </c>
      <c r="N14" t="e">
        <f t="shared" si="6"/>
        <v>#VALUE!</v>
      </c>
      <c r="O14" t="e">
        <f t="shared" si="7"/>
        <v>#VALUE!</v>
      </c>
      <c r="Q14" t="e">
        <f t="shared" si="4"/>
        <v>#VALUE!</v>
      </c>
      <c r="R14" t="e">
        <f t="shared" si="5"/>
        <v>#VALUE!</v>
      </c>
    </row>
    <row r="15" spans="1:18" ht="15" thickBot="1" x14ac:dyDescent="0.35">
      <c r="A15" s="2"/>
      <c r="B15" s="2"/>
      <c r="C15" s="3"/>
      <c r="D15" s="4"/>
      <c r="K15" t="e">
        <f t="shared" si="0"/>
        <v>#VALUE!</v>
      </c>
      <c r="L15" t="e">
        <f t="shared" si="1"/>
        <v>#VALUE!</v>
      </c>
      <c r="N15" t="e">
        <f t="shared" si="6"/>
        <v>#VALUE!</v>
      </c>
      <c r="O15" t="e">
        <f t="shared" si="7"/>
        <v>#VALUE!</v>
      </c>
      <c r="Q15" t="e">
        <f t="shared" si="4"/>
        <v>#VALUE!</v>
      </c>
      <c r="R15" t="e">
        <f t="shared" si="5"/>
        <v>#VALUE!</v>
      </c>
    </row>
    <row r="16" spans="1:18" ht="15" thickBot="1" x14ac:dyDescent="0.35">
      <c r="A16" s="2"/>
      <c r="B16" s="2"/>
      <c r="C16" s="3"/>
      <c r="D16" s="4"/>
      <c r="K16" t="e">
        <f t="shared" si="0"/>
        <v>#VALUE!</v>
      </c>
      <c r="L16" t="e">
        <f t="shared" si="1"/>
        <v>#VALUE!</v>
      </c>
      <c r="N16" t="e">
        <f t="shared" si="6"/>
        <v>#VALUE!</v>
      </c>
      <c r="O16" t="e">
        <f t="shared" si="7"/>
        <v>#VALUE!</v>
      </c>
      <c r="Q16" t="e">
        <f t="shared" si="4"/>
        <v>#VALUE!</v>
      </c>
      <c r="R16" t="e">
        <f t="shared" si="5"/>
        <v>#VALUE!</v>
      </c>
    </row>
    <row r="17" spans="1:18" ht="15" thickBot="1" x14ac:dyDescent="0.35">
      <c r="A17" s="2"/>
      <c r="B17" s="2"/>
      <c r="C17" s="3"/>
      <c r="D17" s="4"/>
      <c r="K17" t="e">
        <f t="shared" si="0"/>
        <v>#VALUE!</v>
      </c>
      <c r="L17" t="e">
        <f t="shared" si="1"/>
        <v>#VALUE!</v>
      </c>
      <c r="N17" t="e">
        <f t="shared" si="6"/>
        <v>#VALUE!</v>
      </c>
      <c r="O17" t="e">
        <f t="shared" si="7"/>
        <v>#VALUE!</v>
      </c>
      <c r="Q17" t="e">
        <f t="shared" si="4"/>
        <v>#VALUE!</v>
      </c>
      <c r="R17" t="e">
        <f t="shared" si="5"/>
        <v>#VALUE!</v>
      </c>
    </row>
    <row r="18" spans="1:18" ht="15" thickBot="1" x14ac:dyDescent="0.35">
      <c r="A18" s="2"/>
      <c r="B18" s="2"/>
      <c r="C18" s="3"/>
      <c r="D18" s="4"/>
      <c r="K18" t="e">
        <f t="shared" si="0"/>
        <v>#VALUE!</v>
      </c>
      <c r="L18" t="e">
        <f t="shared" si="1"/>
        <v>#VALUE!</v>
      </c>
      <c r="N18" t="e">
        <f t="shared" si="6"/>
        <v>#VALUE!</v>
      </c>
      <c r="O18" t="e">
        <f t="shared" si="7"/>
        <v>#VALUE!</v>
      </c>
      <c r="Q18" t="e">
        <f t="shared" si="4"/>
        <v>#VALUE!</v>
      </c>
      <c r="R18" t="e">
        <f t="shared" si="5"/>
        <v>#VALUE!</v>
      </c>
    </row>
    <row r="19" spans="1:18" ht="15" thickBot="1" x14ac:dyDescent="0.35">
      <c r="A19" s="2"/>
      <c r="B19" s="2"/>
      <c r="C19" s="3"/>
      <c r="D19" s="4"/>
      <c r="K19" t="e">
        <f t="shared" si="0"/>
        <v>#VALUE!</v>
      </c>
      <c r="L19" t="e">
        <f t="shared" si="1"/>
        <v>#VALUE!</v>
      </c>
      <c r="N19" t="e">
        <f t="shared" si="6"/>
        <v>#VALUE!</v>
      </c>
      <c r="O19" t="e">
        <f t="shared" si="7"/>
        <v>#VALUE!</v>
      </c>
      <c r="Q19" t="e">
        <f t="shared" si="4"/>
        <v>#VALUE!</v>
      </c>
      <c r="R19" t="e">
        <f t="shared" si="5"/>
        <v>#VALUE!</v>
      </c>
    </row>
    <row r="20" spans="1:18" ht="15" thickBot="1" x14ac:dyDescent="0.35">
      <c r="A20" s="2"/>
      <c r="B20" s="2"/>
      <c r="C20" s="3"/>
      <c r="D20" s="4"/>
      <c r="K20" t="e">
        <f t="shared" si="0"/>
        <v>#VALUE!</v>
      </c>
      <c r="L20" t="e">
        <f t="shared" si="1"/>
        <v>#VALUE!</v>
      </c>
      <c r="N20" t="e">
        <f t="shared" si="6"/>
        <v>#VALUE!</v>
      </c>
      <c r="O20" t="e">
        <f t="shared" si="7"/>
        <v>#VALUE!</v>
      </c>
      <c r="Q20" t="e">
        <f t="shared" si="4"/>
        <v>#VALUE!</v>
      </c>
      <c r="R20" t="e">
        <f t="shared" si="5"/>
        <v>#VALUE!</v>
      </c>
    </row>
    <row r="21" spans="1:18" ht="15" thickBot="1" x14ac:dyDescent="0.35">
      <c r="A21" s="2"/>
      <c r="B21" s="2"/>
      <c r="C21" s="3"/>
      <c r="D21" s="4"/>
      <c r="K21" t="e">
        <f t="shared" si="0"/>
        <v>#VALUE!</v>
      </c>
      <c r="L21" t="e">
        <f t="shared" si="1"/>
        <v>#VALUE!</v>
      </c>
      <c r="N21" t="e">
        <f t="shared" si="6"/>
        <v>#VALUE!</v>
      </c>
      <c r="O21" t="e">
        <f t="shared" si="7"/>
        <v>#VALUE!</v>
      </c>
      <c r="Q21" t="e">
        <f t="shared" si="4"/>
        <v>#VALUE!</v>
      </c>
      <c r="R21" t="e">
        <f t="shared" si="5"/>
        <v>#VALUE!</v>
      </c>
    </row>
    <row r="22" spans="1:18" ht="15" thickBot="1" x14ac:dyDescent="0.35">
      <c r="A22" s="2"/>
      <c r="B22" s="2"/>
      <c r="C22" s="3"/>
      <c r="D22" s="4"/>
      <c r="K22" t="e">
        <f t="shared" si="0"/>
        <v>#VALUE!</v>
      </c>
      <c r="L22" t="e">
        <f t="shared" si="1"/>
        <v>#VALUE!</v>
      </c>
      <c r="N22" t="e">
        <f t="shared" si="6"/>
        <v>#VALUE!</v>
      </c>
      <c r="O22" t="e">
        <f t="shared" si="7"/>
        <v>#VALUE!</v>
      </c>
      <c r="Q22" t="e">
        <f t="shared" si="4"/>
        <v>#VALUE!</v>
      </c>
      <c r="R22" t="e">
        <f t="shared" si="5"/>
        <v>#VALUE!</v>
      </c>
    </row>
    <row r="23" spans="1:18" ht="15" thickBot="1" x14ac:dyDescent="0.35">
      <c r="A23" s="2"/>
      <c r="B23" s="2"/>
      <c r="C23" s="3"/>
      <c r="D23" s="4"/>
      <c r="K23" t="e">
        <f t="shared" si="0"/>
        <v>#VALUE!</v>
      </c>
      <c r="L23" t="e">
        <f t="shared" si="1"/>
        <v>#VALUE!</v>
      </c>
      <c r="N23" t="e">
        <f t="shared" si="6"/>
        <v>#VALUE!</v>
      </c>
      <c r="O23" t="e">
        <f t="shared" si="7"/>
        <v>#VALUE!</v>
      </c>
      <c r="Q23" t="e">
        <f t="shared" si="4"/>
        <v>#VALUE!</v>
      </c>
      <c r="R23" t="e">
        <f t="shared" si="5"/>
        <v>#VALUE!</v>
      </c>
    </row>
    <row r="24" spans="1:18" ht="15" thickBot="1" x14ac:dyDescent="0.35">
      <c r="A24" s="2"/>
      <c r="B24" s="2"/>
      <c r="C24" s="3"/>
      <c r="D24" s="4"/>
      <c r="K24" t="e">
        <f t="shared" si="0"/>
        <v>#VALUE!</v>
      </c>
      <c r="L24" t="e">
        <f t="shared" si="1"/>
        <v>#VALUE!</v>
      </c>
      <c r="N24" t="e">
        <f t="shared" si="6"/>
        <v>#VALUE!</v>
      </c>
      <c r="O24" t="e">
        <f t="shared" si="7"/>
        <v>#VALUE!</v>
      </c>
      <c r="Q24" t="e">
        <f t="shared" si="4"/>
        <v>#VALUE!</v>
      </c>
      <c r="R24" t="e">
        <f t="shared" si="5"/>
        <v>#VALUE!</v>
      </c>
    </row>
    <row r="25" spans="1:18" ht="15" thickBot="1" x14ac:dyDescent="0.35">
      <c r="A25" s="2"/>
      <c r="B25" s="2"/>
      <c r="C25" s="3"/>
      <c r="D25" s="4"/>
      <c r="K25" t="e">
        <f t="shared" si="0"/>
        <v>#VALUE!</v>
      </c>
      <c r="L25" t="e">
        <f t="shared" si="1"/>
        <v>#VALUE!</v>
      </c>
      <c r="N25" t="e">
        <f t="shared" si="6"/>
        <v>#VALUE!</v>
      </c>
      <c r="O25" t="e">
        <f t="shared" si="7"/>
        <v>#VALUE!</v>
      </c>
      <c r="Q25" t="e">
        <f t="shared" si="4"/>
        <v>#VALUE!</v>
      </c>
      <c r="R25" t="e">
        <f t="shared" si="5"/>
        <v>#VALUE!</v>
      </c>
    </row>
    <row r="26" spans="1:18" ht="15" thickBot="1" x14ac:dyDescent="0.35">
      <c r="A26" s="2"/>
      <c r="B26" s="2"/>
      <c r="C26" s="3"/>
      <c r="D26" s="4"/>
      <c r="K26" t="e">
        <f t="shared" si="0"/>
        <v>#VALUE!</v>
      </c>
      <c r="L26" t="e">
        <f t="shared" si="1"/>
        <v>#VALUE!</v>
      </c>
      <c r="N26" t="e">
        <f t="shared" si="6"/>
        <v>#VALUE!</v>
      </c>
      <c r="O26" t="e">
        <f t="shared" si="7"/>
        <v>#VALUE!</v>
      </c>
      <c r="Q26" t="e">
        <f t="shared" si="4"/>
        <v>#VALUE!</v>
      </c>
      <c r="R26" t="e">
        <f t="shared" si="5"/>
        <v>#VALUE!</v>
      </c>
    </row>
    <row r="27" spans="1:18" ht="15" thickBot="1" x14ac:dyDescent="0.35">
      <c r="A27" s="2"/>
      <c r="B27" s="2"/>
      <c r="C27" s="3"/>
      <c r="D27" s="4"/>
      <c r="K27" t="e">
        <f t="shared" si="0"/>
        <v>#VALUE!</v>
      </c>
      <c r="L27" t="e">
        <f t="shared" si="1"/>
        <v>#VALUE!</v>
      </c>
      <c r="N27" t="e">
        <f t="shared" si="6"/>
        <v>#VALUE!</v>
      </c>
      <c r="O27" t="e">
        <f t="shared" si="7"/>
        <v>#VALUE!</v>
      </c>
      <c r="Q27" t="e">
        <f t="shared" si="4"/>
        <v>#VALUE!</v>
      </c>
      <c r="R27" t="e">
        <f t="shared" si="5"/>
        <v>#VALUE!</v>
      </c>
    </row>
    <row r="28" spans="1:18" ht="15" thickBot="1" x14ac:dyDescent="0.35">
      <c r="A28" s="2"/>
      <c r="B28" s="2"/>
      <c r="C28" s="3"/>
      <c r="D28" s="4"/>
      <c r="K28" t="e">
        <f t="shared" si="0"/>
        <v>#VALUE!</v>
      </c>
      <c r="L28" t="e">
        <f t="shared" si="1"/>
        <v>#VALUE!</v>
      </c>
      <c r="N28" t="e">
        <f t="shared" si="6"/>
        <v>#VALUE!</v>
      </c>
      <c r="O28" t="e">
        <f t="shared" si="7"/>
        <v>#VALUE!</v>
      </c>
      <c r="Q28" t="e">
        <f t="shared" si="4"/>
        <v>#VALUE!</v>
      </c>
      <c r="R28" t="e">
        <f t="shared" si="5"/>
        <v>#VALUE!</v>
      </c>
    </row>
    <row r="29" spans="1:18" ht="15" thickBot="1" x14ac:dyDescent="0.35">
      <c r="A29" s="2"/>
      <c r="B29" s="2"/>
      <c r="C29" s="3"/>
      <c r="D29" s="4"/>
      <c r="K29" t="e">
        <f t="shared" si="0"/>
        <v>#VALUE!</v>
      </c>
      <c r="L29" t="e">
        <f t="shared" si="1"/>
        <v>#VALUE!</v>
      </c>
      <c r="N29" t="e">
        <f t="shared" si="6"/>
        <v>#VALUE!</v>
      </c>
      <c r="O29" t="e">
        <f t="shared" si="7"/>
        <v>#VALUE!</v>
      </c>
      <c r="Q29" t="e">
        <f t="shared" si="4"/>
        <v>#VALUE!</v>
      </c>
      <c r="R29" t="e">
        <f t="shared" si="5"/>
        <v>#VALUE!</v>
      </c>
    </row>
    <row r="30" spans="1:18" ht="15" thickBot="1" x14ac:dyDescent="0.35">
      <c r="A30" s="2"/>
      <c r="B30" s="2"/>
      <c r="C30" s="3"/>
      <c r="D30" s="4"/>
      <c r="K30" t="e">
        <f t="shared" si="0"/>
        <v>#VALUE!</v>
      </c>
      <c r="L30" t="e">
        <f t="shared" si="1"/>
        <v>#VALUE!</v>
      </c>
      <c r="N30" t="e">
        <f t="shared" si="6"/>
        <v>#VALUE!</v>
      </c>
      <c r="O30" t="e">
        <f t="shared" si="7"/>
        <v>#VALUE!</v>
      </c>
      <c r="Q30" t="e">
        <f t="shared" si="4"/>
        <v>#VALUE!</v>
      </c>
      <c r="R30" t="e">
        <f t="shared" si="5"/>
        <v>#VALUE!</v>
      </c>
    </row>
    <row r="31" spans="1:18" ht="15" thickBot="1" x14ac:dyDescent="0.35">
      <c r="A31" s="2"/>
      <c r="B31" s="2"/>
      <c r="C31" s="3"/>
      <c r="D31" s="4"/>
      <c r="K31" t="e">
        <f t="shared" si="0"/>
        <v>#VALUE!</v>
      </c>
      <c r="L31" t="e">
        <f t="shared" si="1"/>
        <v>#VALUE!</v>
      </c>
      <c r="N31" t="e">
        <f t="shared" si="6"/>
        <v>#VALUE!</v>
      </c>
      <c r="O31" t="e">
        <f t="shared" si="7"/>
        <v>#VALUE!</v>
      </c>
      <c r="Q31" t="e">
        <f t="shared" si="4"/>
        <v>#VALUE!</v>
      </c>
      <c r="R31" t="e">
        <f t="shared" si="5"/>
        <v>#VALUE!</v>
      </c>
    </row>
    <row r="32" spans="1:18" ht="15" thickBot="1" x14ac:dyDescent="0.35">
      <c r="A32" s="2"/>
      <c r="B32" s="2"/>
      <c r="C32" s="3"/>
      <c r="D32" s="4"/>
      <c r="K32" t="e">
        <f t="shared" si="0"/>
        <v>#VALUE!</v>
      </c>
      <c r="L32" t="e">
        <f t="shared" si="1"/>
        <v>#VALUE!</v>
      </c>
      <c r="N32" t="e">
        <f t="shared" si="6"/>
        <v>#VALUE!</v>
      </c>
      <c r="O32" t="e">
        <f t="shared" si="7"/>
        <v>#VALUE!</v>
      </c>
      <c r="Q32" t="e">
        <f t="shared" si="4"/>
        <v>#VALUE!</v>
      </c>
      <c r="R32" t="e">
        <f t="shared" si="5"/>
        <v>#VALUE!</v>
      </c>
    </row>
    <row r="33" spans="1:18" ht="15" thickBot="1" x14ac:dyDescent="0.35">
      <c r="A33" s="2"/>
      <c r="B33" s="2"/>
      <c r="C33" s="3"/>
      <c r="D33" s="4"/>
      <c r="K33" t="e">
        <f t="shared" si="0"/>
        <v>#VALUE!</v>
      </c>
      <c r="L33" t="e">
        <f t="shared" si="1"/>
        <v>#VALUE!</v>
      </c>
      <c r="N33" t="e">
        <f t="shared" si="6"/>
        <v>#VALUE!</v>
      </c>
      <c r="O33" t="e">
        <f t="shared" si="7"/>
        <v>#VALUE!</v>
      </c>
      <c r="Q33" t="e">
        <f t="shared" si="4"/>
        <v>#VALUE!</v>
      </c>
      <c r="R33" t="e">
        <f t="shared" si="5"/>
        <v>#VALUE!</v>
      </c>
    </row>
    <row r="34" spans="1:18" ht="15" thickBot="1" x14ac:dyDescent="0.35">
      <c r="A34" s="2"/>
      <c r="B34" s="2"/>
      <c r="C34" s="3"/>
      <c r="D34" s="4"/>
      <c r="K34" t="e">
        <f t="shared" si="0"/>
        <v>#VALUE!</v>
      </c>
      <c r="L34" t="e">
        <f t="shared" si="1"/>
        <v>#VALUE!</v>
      </c>
      <c r="N34" t="e">
        <f t="shared" si="6"/>
        <v>#VALUE!</v>
      </c>
      <c r="O34" t="e">
        <f t="shared" si="7"/>
        <v>#VALUE!</v>
      </c>
      <c r="Q34" t="e">
        <f t="shared" si="4"/>
        <v>#VALUE!</v>
      </c>
      <c r="R34" t="e">
        <f t="shared" si="5"/>
        <v>#VALUE!</v>
      </c>
    </row>
    <row r="35" spans="1:18" ht="15" thickBot="1" x14ac:dyDescent="0.35">
      <c r="A35" s="2"/>
      <c r="B35" s="2"/>
      <c r="C35" s="3"/>
      <c r="D35" s="4"/>
      <c r="K35" t="e">
        <f t="shared" si="0"/>
        <v>#VALUE!</v>
      </c>
      <c r="L35" t="e">
        <f t="shared" si="1"/>
        <v>#VALUE!</v>
      </c>
      <c r="N35" t="e">
        <f t="shared" si="6"/>
        <v>#VALUE!</v>
      </c>
      <c r="O35" t="e">
        <f t="shared" si="7"/>
        <v>#VALUE!</v>
      </c>
      <c r="Q35" t="e">
        <f t="shared" si="4"/>
        <v>#VALUE!</v>
      </c>
      <c r="R35" t="e">
        <f t="shared" si="5"/>
        <v>#VALUE!</v>
      </c>
    </row>
    <row r="36" spans="1:18" ht="15" thickBot="1" x14ac:dyDescent="0.35">
      <c r="A36" s="2"/>
      <c r="B36" s="2"/>
      <c r="C36" s="3"/>
      <c r="D36" s="4"/>
      <c r="K36" t="e">
        <f t="shared" si="0"/>
        <v>#VALUE!</v>
      </c>
      <c r="L36" t="e">
        <f t="shared" si="1"/>
        <v>#VALUE!</v>
      </c>
      <c r="N36" t="e">
        <f t="shared" si="6"/>
        <v>#VALUE!</v>
      </c>
      <c r="O36" t="e">
        <f t="shared" si="7"/>
        <v>#VALUE!</v>
      </c>
      <c r="Q36" t="e">
        <f t="shared" si="4"/>
        <v>#VALUE!</v>
      </c>
      <c r="R36" t="e">
        <f t="shared" si="5"/>
        <v>#VALUE!</v>
      </c>
    </row>
    <row r="37" spans="1:18" ht="15" thickBot="1" x14ac:dyDescent="0.35">
      <c r="A37" s="2"/>
      <c r="B37" s="2"/>
      <c r="C37" s="3"/>
      <c r="D37" s="4"/>
      <c r="K37" t="e">
        <f t="shared" si="0"/>
        <v>#VALUE!</v>
      </c>
      <c r="L37" t="e">
        <f t="shared" si="1"/>
        <v>#VALUE!</v>
      </c>
      <c r="N37" t="e">
        <f t="shared" si="6"/>
        <v>#VALUE!</v>
      </c>
      <c r="O37" t="e">
        <f t="shared" si="7"/>
        <v>#VALUE!</v>
      </c>
      <c r="Q37" t="e">
        <f t="shared" si="4"/>
        <v>#VALUE!</v>
      </c>
      <c r="R37" t="e">
        <f t="shared" si="5"/>
        <v>#VALUE!</v>
      </c>
    </row>
    <row r="38" spans="1:18" ht="15" thickBot="1" x14ac:dyDescent="0.35">
      <c r="A38" s="2"/>
      <c r="B38" s="2"/>
      <c r="C38" s="3"/>
      <c r="D38" s="4"/>
      <c r="K38" t="e">
        <f t="shared" si="0"/>
        <v>#VALUE!</v>
      </c>
      <c r="L38" t="e">
        <f t="shared" si="1"/>
        <v>#VALUE!</v>
      </c>
      <c r="N38" t="e">
        <f t="shared" si="6"/>
        <v>#VALUE!</v>
      </c>
      <c r="O38" t="e">
        <f t="shared" si="7"/>
        <v>#VALUE!</v>
      </c>
      <c r="Q38" t="e">
        <f t="shared" si="4"/>
        <v>#VALUE!</v>
      </c>
      <c r="R38" t="e">
        <f t="shared" si="5"/>
        <v>#VALUE!</v>
      </c>
    </row>
    <row r="39" spans="1:18" ht="15" thickBot="1" x14ac:dyDescent="0.35">
      <c r="A39" s="2"/>
      <c r="B39" s="2"/>
      <c r="C39" s="3"/>
      <c r="D39" s="4"/>
      <c r="K39" t="e">
        <f t="shared" si="0"/>
        <v>#VALUE!</v>
      </c>
      <c r="L39" t="e">
        <f t="shared" si="1"/>
        <v>#VALUE!</v>
      </c>
      <c r="N39" t="e">
        <f t="shared" si="6"/>
        <v>#VALUE!</v>
      </c>
      <c r="O39" t="e">
        <f t="shared" si="7"/>
        <v>#VALUE!</v>
      </c>
      <c r="Q39" t="e">
        <f t="shared" si="4"/>
        <v>#VALUE!</v>
      </c>
      <c r="R39" t="e">
        <f t="shared" si="5"/>
        <v>#VALUE!</v>
      </c>
    </row>
    <row r="40" spans="1:18" ht="15" thickBot="1" x14ac:dyDescent="0.35">
      <c r="A40" s="2"/>
      <c r="B40" s="2"/>
      <c r="C40" s="3"/>
      <c r="D40" s="4"/>
      <c r="K40" t="e">
        <f t="shared" si="0"/>
        <v>#VALUE!</v>
      </c>
      <c r="L40" t="e">
        <f t="shared" si="1"/>
        <v>#VALUE!</v>
      </c>
      <c r="N40" t="e">
        <f t="shared" si="6"/>
        <v>#VALUE!</v>
      </c>
      <c r="O40" t="e">
        <f t="shared" si="7"/>
        <v>#VALUE!</v>
      </c>
      <c r="Q40" t="e">
        <f t="shared" si="4"/>
        <v>#VALUE!</v>
      </c>
      <c r="R40" t="e">
        <f t="shared" si="5"/>
        <v>#VALUE!</v>
      </c>
    </row>
    <row r="41" spans="1:18" ht="15" thickBot="1" x14ac:dyDescent="0.35">
      <c r="A41" s="2"/>
      <c r="B41" s="2"/>
      <c r="C41" s="3"/>
      <c r="D41" s="4"/>
      <c r="K41" t="e">
        <f t="shared" si="0"/>
        <v>#VALUE!</v>
      </c>
      <c r="L41" t="e">
        <f t="shared" si="1"/>
        <v>#VALUE!</v>
      </c>
      <c r="N41" t="e">
        <f t="shared" si="6"/>
        <v>#VALUE!</v>
      </c>
      <c r="O41" t="e">
        <f t="shared" si="7"/>
        <v>#VALUE!</v>
      </c>
      <c r="Q41" t="e">
        <f t="shared" si="4"/>
        <v>#VALUE!</v>
      </c>
      <c r="R41" t="e">
        <f t="shared" si="5"/>
        <v>#VALUE!</v>
      </c>
    </row>
    <row r="42" spans="1:18" ht="15" thickBot="1" x14ac:dyDescent="0.35">
      <c r="A42" s="2"/>
      <c r="B42" s="2"/>
      <c r="C42" s="3"/>
      <c r="D42" s="4"/>
      <c r="K42" t="e">
        <f t="shared" si="0"/>
        <v>#VALUE!</v>
      </c>
      <c r="L42" t="e">
        <f t="shared" si="1"/>
        <v>#VALUE!</v>
      </c>
      <c r="N42" t="e">
        <f t="shared" si="6"/>
        <v>#VALUE!</v>
      </c>
      <c r="O42" t="e">
        <f t="shared" si="7"/>
        <v>#VALUE!</v>
      </c>
      <c r="Q42" t="e">
        <f t="shared" si="4"/>
        <v>#VALUE!</v>
      </c>
      <c r="R42" t="e">
        <f t="shared" si="5"/>
        <v>#VALUE!</v>
      </c>
    </row>
    <row r="43" spans="1:18" ht="15" thickBot="1" x14ac:dyDescent="0.35">
      <c r="A43" s="2"/>
      <c r="B43" s="2"/>
      <c r="C43" s="3"/>
      <c r="D43" s="4"/>
      <c r="K43" t="e">
        <f t="shared" si="0"/>
        <v>#VALUE!</v>
      </c>
      <c r="L43" t="e">
        <f t="shared" si="1"/>
        <v>#VALUE!</v>
      </c>
      <c r="N43" t="e">
        <f t="shared" si="6"/>
        <v>#VALUE!</v>
      </c>
      <c r="O43" t="e">
        <f t="shared" si="7"/>
        <v>#VALUE!</v>
      </c>
      <c r="Q43" t="e">
        <f t="shared" si="4"/>
        <v>#VALUE!</v>
      </c>
      <c r="R43" t="e">
        <f t="shared" si="5"/>
        <v>#VALUE!</v>
      </c>
    </row>
    <row r="44" spans="1:18" ht="15" thickBot="1" x14ac:dyDescent="0.35">
      <c r="A44" s="2"/>
      <c r="B44" s="2"/>
      <c r="C44" s="3"/>
      <c r="D44" s="4"/>
      <c r="K44" t="e">
        <f t="shared" si="0"/>
        <v>#VALUE!</v>
      </c>
      <c r="L44" t="e">
        <f t="shared" si="1"/>
        <v>#VALUE!</v>
      </c>
      <c r="N44" t="e">
        <f t="shared" si="6"/>
        <v>#VALUE!</v>
      </c>
      <c r="O44" t="e">
        <f t="shared" si="7"/>
        <v>#VALUE!</v>
      </c>
      <c r="Q44" t="e">
        <f t="shared" si="4"/>
        <v>#VALUE!</v>
      </c>
      <c r="R44" t="e">
        <f t="shared" si="5"/>
        <v>#VALUE!</v>
      </c>
    </row>
    <row r="45" spans="1:18" ht="15" thickBot="1" x14ac:dyDescent="0.35">
      <c r="A45" s="2"/>
      <c r="B45" s="2"/>
      <c r="C45" s="3"/>
      <c r="D45" s="4"/>
      <c r="K45" t="e">
        <f t="shared" si="0"/>
        <v>#VALUE!</v>
      </c>
      <c r="L45" t="e">
        <f t="shared" si="1"/>
        <v>#VALUE!</v>
      </c>
      <c r="N45" t="e">
        <f t="shared" si="6"/>
        <v>#VALUE!</v>
      </c>
      <c r="O45" t="e">
        <f t="shared" si="7"/>
        <v>#VALUE!</v>
      </c>
      <c r="Q45" t="e">
        <f t="shared" si="4"/>
        <v>#VALUE!</v>
      </c>
      <c r="R45" t="e">
        <f t="shared" si="5"/>
        <v>#VALUE!</v>
      </c>
    </row>
    <row r="46" spans="1:18" ht="15" thickBot="1" x14ac:dyDescent="0.35">
      <c r="A46" s="2"/>
      <c r="B46" s="2"/>
      <c r="C46" s="3"/>
      <c r="D46" s="4"/>
      <c r="K46" t="e">
        <f t="shared" si="0"/>
        <v>#VALUE!</v>
      </c>
      <c r="L46" t="e">
        <f t="shared" si="1"/>
        <v>#VALUE!</v>
      </c>
      <c r="N46" t="e">
        <f t="shared" si="6"/>
        <v>#VALUE!</v>
      </c>
      <c r="O46" t="e">
        <f t="shared" si="7"/>
        <v>#VALUE!</v>
      </c>
      <c r="Q46" t="e">
        <f t="shared" si="4"/>
        <v>#VALUE!</v>
      </c>
      <c r="R46" t="e">
        <f t="shared" si="5"/>
        <v>#VALUE!</v>
      </c>
    </row>
    <row r="47" spans="1:18" ht="15" thickBot="1" x14ac:dyDescent="0.35">
      <c r="A47" s="2"/>
      <c r="B47" s="2"/>
      <c r="C47" s="3"/>
      <c r="D47" s="4"/>
      <c r="K47" t="e">
        <f t="shared" si="0"/>
        <v>#VALUE!</v>
      </c>
      <c r="L47" t="e">
        <f t="shared" si="1"/>
        <v>#VALUE!</v>
      </c>
      <c r="N47" t="e">
        <f t="shared" si="6"/>
        <v>#VALUE!</v>
      </c>
      <c r="O47" t="e">
        <f t="shared" si="7"/>
        <v>#VALUE!</v>
      </c>
      <c r="Q47" t="e">
        <f t="shared" si="4"/>
        <v>#VALUE!</v>
      </c>
      <c r="R47" t="e">
        <f t="shared" si="5"/>
        <v>#VALUE!</v>
      </c>
    </row>
    <row r="48" spans="1:18" x14ac:dyDescent="0.3">
      <c r="A48" s="2"/>
      <c r="B48" s="2"/>
      <c r="C48" s="3"/>
      <c r="D48" s="4"/>
      <c r="K48" t="e">
        <f t="shared" si="0"/>
        <v>#VALUE!</v>
      </c>
      <c r="L48" t="e">
        <f t="shared" si="1"/>
        <v>#VALUE!</v>
      </c>
      <c r="N48" t="e">
        <f t="shared" si="6"/>
        <v>#VALUE!</v>
      </c>
      <c r="O48" t="e">
        <f t="shared" si="7"/>
        <v>#VALUE!</v>
      </c>
      <c r="Q48" t="e">
        <f t="shared" si="4"/>
        <v>#VALUE!</v>
      </c>
      <c r="R48" t="e">
        <f t="shared" si="5"/>
        <v>#VALUE!</v>
      </c>
    </row>
  </sheetData>
  <autoFilter ref="A1:R1">
    <sortState ref="A2:R48">
      <sortCondition ref="N1"/>
    </sortState>
  </autoFilter>
  <hyperlinks>
    <hyperlink ref="A2" r:id="rId1" display="https://competicion.ftm.es/app/jugador/historial/10770437/3507/torneos.mensual/2"/>
    <hyperlink ref="B2" r:id="rId2" display="https://competicion.ftm.es/app/jugador/historial/10770437/3507/torneos.mensual/2"/>
    <hyperlink ref="A3" r:id="rId3" display="https://competicion.ftm.es/app/jugador/historial/10771245/3507/torneos.mensual/2"/>
    <hyperlink ref="B3" r:id="rId4" display="https://competicion.ftm.es/app/jugador/historial/10771245/3507/torneos.mensual/2"/>
    <hyperlink ref="A4" r:id="rId5" display="https://competicion.ftm.es/app/jugador/historial/10763375/3507/torneos.mensual/2"/>
    <hyperlink ref="B4" r:id="rId6" display="https://competicion.ftm.es/app/jugador/historial/10763375/3507/torneos.mensual/2"/>
    <hyperlink ref="A5" r:id="rId7" display="https://competicion.ftm.es/app/jugador/historial/08068282/3507/torneos.mensual/2"/>
    <hyperlink ref="B5" r:id="rId8" display="https://competicion.ftm.es/app/jugador/historial/08068282/3507/torneos.mensual/2"/>
    <hyperlink ref="A6" r:id="rId9" display="https://competicion.ftm.es/app/jugador/historial/10042042/3507/torneos.mensual/2"/>
    <hyperlink ref="B6" r:id="rId10" display="https://competicion.ftm.es/app/jugador/historial/10042042/3507/torneos.mensual/2"/>
    <hyperlink ref="A7" r:id="rId11" display="https://competicion.ftm.es/app/jugador/historial/10778283/3507/torneos.mensual/2"/>
    <hyperlink ref="B7" r:id="rId12" display="https://competicion.ftm.es/app/jugador/historial/10778283/3507/torneos.mensual/2"/>
    <hyperlink ref="A8" r:id="rId13" display="https://competicion.ftm.es/app/jugador/historial/10766345/3507/torneos.mensual/2"/>
    <hyperlink ref="B8" r:id="rId14" display="https://competicion.ftm.es/app/jugador/historial/10766345/3507/torneos.mensual/2"/>
    <hyperlink ref="A9" r:id="rId15" display="https://competicion.ftm.es/app/jugador/historial/10768044/3507/torneos.mensual/2"/>
    <hyperlink ref="B9" r:id="rId16" display="https://competicion.ftm.es/app/jugador/historial/10768044/3507/torneos.mensual/2"/>
    <hyperlink ref="A10" r:id="rId17" display="https://competicion.ftm.es/app/jugador/historial/10768606/3507/torneos.mensual/2"/>
    <hyperlink ref="B10" r:id="rId18" display="https://competicion.ftm.es/app/jugador/historial/10768606/3507/torneos.mensual/2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"/>
  <sheetViews>
    <sheetView topLeftCell="C1" workbookViewId="0">
      <selection activeCell="H2" sqref="H2:H9"/>
    </sheetView>
  </sheetViews>
  <sheetFormatPr baseColWidth="10" defaultRowHeight="14.4" x14ac:dyDescent="0.3"/>
  <cols>
    <col min="2" max="2" width="51.44140625" customWidth="1"/>
    <col min="7" max="7" width="30.88671875" bestFit="1" customWidth="1"/>
    <col min="8" max="8" width="11.5546875" style="5"/>
    <col min="10" max="10" width="6.21875" customWidth="1"/>
    <col min="13" max="13" width="4.44140625" customWidth="1"/>
    <col min="14" max="14" width="17.88671875" bestFit="1" customWidth="1"/>
  </cols>
  <sheetData>
    <row r="1" spans="1:18" ht="15" thickBot="1" x14ac:dyDescent="0.35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s="5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  <c r="R1" t="s">
        <v>84</v>
      </c>
    </row>
    <row r="2" spans="1:18" ht="15" thickBot="1" x14ac:dyDescent="0.35">
      <c r="A2" s="2">
        <v>10765602</v>
      </c>
      <c r="B2" s="2" t="s">
        <v>121</v>
      </c>
      <c r="C2" s="3">
        <v>22083</v>
      </c>
      <c r="D2" s="4">
        <v>0</v>
      </c>
      <c r="F2">
        <v>10765602</v>
      </c>
      <c r="G2" t="s">
        <v>121</v>
      </c>
      <c r="H2" s="5">
        <v>22083</v>
      </c>
      <c r="I2">
        <v>0</v>
      </c>
      <c r="K2" t="e">
        <f>TRIM(LEFT(G2,FIND("-",G2)-1))</f>
        <v>#VALUE!</v>
      </c>
      <c r="L2" t="e">
        <f>TRIM(MID(G2,LEN(K2)+3,40))</f>
        <v>#VALUE!</v>
      </c>
      <c r="N2" t="str">
        <f>MID(G2,LEN(O2)+2,40)</f>
        <v>Luis Benito Ludeña</v>
      </c>
      <c r="O2" t="str">
        <f>TRIM(LEFT(G2,FIND(" ",G2)))</f>
        <v>José</v>
      </c>
    </row>
    <row r="3" spans="1:18" ht="15" thickBot="1" x14ac:dyDescent="0.35">
      <c r="A3" s="2">
        <v>10770437</v>
      </c>
      <c r="B3" s="2" t="s">
        <v>122</v>
      </c>
      <c r="C3" s="3">
        <v>23117</v>
      </c>
      <c r="D3" s="4">
        <v>0</v>
      </c>
      <c r="F3">
        <v>10770437</v>
      </c>
      <c r="G3" t="s">
        <v>122</v>
      </c>
      <c r="H3" s="5">
        <v>23117</v>
      </c>
      <c r="I3">
        <v>0</v>
      </c>
      <c r="K3" t="e">
        <f t="shared" ref="K3:K48" si="0">TRIM(LEFT(G3,FIND("-",G3)-1))</f>
        <v>#VALUE!</v>
      </c>
      <c r="L3" t="e">
        <f t="shared" ref="L3:L48" si="1">TRIM(MID(G3,LEN(K3)+3,40))</f>
        <v>#VALUE!</v>
      </c>
      <c r="N3" t="str">
        <f t="shared" ref="N3:N48" si="2">MID(G3,LEN(O3)+2,40)</f>
        <v>Gonzalez Viedma</v>
      </c>
      <c r="O3" t="str">
        <f t="shared" ref="O3:O48" si="3">TRIM(LEFT(G3,FIND(" ",G3)))</f>
        <v>Ramon</v>
      </c>
    </row>
    <row r="4" spans="1:18" ht="15" thickBot="1" x14ac:dyDescent="0.35">
      <c r="A4" s="2">
        <v>10772871</v>
      </c>
      <c r="B4" s="2" t="s">
        <v>123</v>
      </c>
      <c r="C4" s="3">
        <v>22312</v>
      </c>
      <c r="D4" s="4">
        <v>0</v>
      </c>
      <c r="F4">
        <v>10772871</v>
      </c>
      <c r="G4" t="s">
        <v>123</v>
      </c>
      <c r="H4" s="5">
        <v>22312</v>
      </c>
      <c r="I4">
        <v>0</v>
      </c>
      <c r="K4" t="e">
        <f t="shared" si="0"/>
        <v>#VALUE!</v>
      </c>
      <c r="L4" t="e">
        <f t="shared" si="1"/>
        <v>#VALUE!</v>
      </c>
      <c r="N4" t="str">
        <f t="shared" si="2"/>
        <v>De La Iglesia López</v>
      </c>
      <c r="O4" t="str">
        <f t="shared" si="3"/>
        <v>Javier</v>
      </c>
    </row>
    <row r="5" spans="1:18" ht="15" thickBot="1" x14ac:dyDescent="0.35">
      <c r="A5" s="2">
        <v>10770669</v>
      </c>
      <c r="B5" s="2" t="s">
        <v>124</v>
      </c>
      <c r="C5" s="3">
        <v>19734</v>
      </c>
      <c r="D5" s="4">
        <v>0</v>
      </c>
      <c r="F5">
        <v>10770669</v>
      </c>
      <c r="G5" t="s">
        <v>124</v>
      </c>
      <c r="H5" s="5">
        <v>19734</v>
      </c>
      <c r="I5">
        <v>0</v>
      </c>
      <c r="K5" t="e">
        <f t="shared" si="0"/>
        <v>#VALUE!</v>
      </c>
      <c r="L5" t="e">
        <f t="shared" si="1"/>
        <v>#VALUE!</v>
      </c>
      <c r="N5" t="str">
        <f t="shared" si="2"/>
        <v>Antonio Cristobal Bermejo</v>
      </c>
      <c r="O5" t="str">
        <f t="shared" si="3"/>
        <v>Jose</v>
      </c>
    </row>
    <row r="6" spans="1:18" ht="15" thickBot="1" x14ac:dyDescent="0.35">
      <c r="A6" s="2">
        <v>7336482</v>
      </c>
      <c r="B6" s="2" t="s">
        <v>125</v>
      </c>
      <c r="C6" s="3">
        <v>23377</v>
      </c>
      <c r="D6" s="4">
        <v>0</v>
      </c>
      <c r="F6">
        <v>7336482</v>
      </c>
      <c r="G6" t="s">
        <v>125</v>
      </c>
      <c r="H6" s="5">
        <v>23377</v>
      </c>
      <c r="I6">
        <v>0</v>
      </c>
      <c r="K6" t="e">
        <f t="shared" si="0"/>
        <v>#VALUE!</v>
      </c>
      <c r="L6" t="e">
        <f t="shared" si="1"/>
        <v>#VALUE!</v>
      </c>
      <c r="N6" t="str">
        <f t="shared" si="2"/>
        <v>Sanz Moriñigo</v>
      </c>
      <c r="O6" t="str">
        <f t="shared" si="3"/>
        <v>Manuel</v>
      </c>
    </row>
    <row r="7" spans="1:18" ht="15" thickBot="1" x14ac:dyDescent="0.35">
      <c r="A7" s="2">
        <v>10766345</v>
      </c>
      <c r="B7" s="2" t="s">
        <v>126</v>
      </c>
      <c r="C7" s="3">
        <v>20852</v>
      </c>
      <c r="D7" s="4">
        <v>0</v>
      </c>
      <c r="F7">
        <v>10766345</v>
      </c>
      <c r="G7" t="s">
        <v>126</v>
      </c>
      <c r="H7" s="5">
        <v>20852</v>
      </c>
      <c r="I7">
        <v>0</v>
      </c>
      <c r="K7" t="e">
        <f t="shared" si="0"/>
        <v>#VALUE!</v>
      </c>
      <c r="L7" t="e">
        <f t="shared" si="1"/>
        <v>#VALUE!</v>
      </c>
      <c r="N7" t="str">
        <f t="shared" si="2"/>
        <v>Ibáñez Hidalgo</v>
      </c>
      <c r="O7" t="str">
        <f t="shared" si="3"/>
        <v>Roberto</v>
      </c>
    </row>
    <row r="8" spans="1:18" ht="15" thickBot="1" x14ac:dyDescent="0.35">
      <c r="A8" s="2">
        <v>10771245</v>
      </c>
      <c r="B8" s="2" t="s">
        <v>127</v>
      </c>
      <c r="C8" s="3">
        <v>22410</v>
      </c>
      <c r="D8" s="4">
        <v>0</v>
      </c>
      <c r="F8">
        <v>10771245</v>
      </c>
      <c r="G8" t="s">
        <v>127</v>
      </c>
      <c r="H8" s="5">
        <v>22410</v>
      </c>
      <c r="I8">
        <v>0</v>
      </c>
      <c r="K8" t="e">
        <f t="shared" si="0"/>
        <v>#VALUE!</v>
      </c>
      <c r="L8" t="e">
        <f t="shared" si="1"/>
        <v>#VALUE!</v>
      </c>
      <c r="N8" t="str">
        <f t="shared" si="2"/>
        <v>José Hergueta Moyano</v>
      </c>
      <c r="O8" t="str">
        <f t="shared" si="3"/>
        <v>Juan</v>
      </c>
    </row>
    <row r="9" spans="1:18" ht="15" thickBot="1" x14ac:dyDescent="0.35">
      <c r="A9" s="2">
        <v>10772441</v>
      </c>
      <c r="B9" s="2" t="s">
        <v>128</v>
      </c>
      <c r="C9" s="3">
        <v>23086</v>
      </c>
      <c r="D9" s="4">
        <v>0</v>
      </c>
      <c r="F9">
        <v>10772441</v>
      </c>
      <c r="G9" t="s">
        <v>128</v>
      </c>
      <c r="H9" s="5">
        <v>23086</v>
      </c>
      <c r="I9">
        <v>0</v>
      </c>
      <c r="K9" t="e">
        <f t="shared" si="0"/>
        <v>#VALUE!</v>
      </c>
      <c r="L9" t="e">
        <f t="shared" si="1"/>
        <v>#VALUE!</v>
      </c>
      <c r="N9" t="str">
        <f t="shared" si="2"/>
        <v>Antonio Gargantilla Moreno</v>
      </c>
      <c r="O9" t="str">
        <f t="shared" si="3"/>
        <v>Jose</v>
      </c>
    </row>
    <row r="10" spans="1:18" ht="15" thickBot="1" x14ac:dyDescent="0.35">
      <c r="A10" s="2"/>
      <c r="B10" s="2"/>
      <c r="C10" s="3"/>
      <c r="D10" s="4"/>
      <c r="K10" t="e">
        <f t="shared" si="0"/>
        <v>#VALUE!</v>
      </c>
      <c r="L10" t="e">
        <f t="shared" si="1"/>
        <v>#VALUE!</v>
      </c>
      <c r="N10" t="e">
        <f t="shared" si="2"/>
        <v>#VALUE!</v>
      </c>
      <c r="O10" t="e">
        <f t="shared" si="3"/>
        <v>#VALUE!</v>
      </c>
    </row>
    <row r="11" spans="1:18" ht="15" thickBot="1" x14ac:dyDescent="0.35">
      <c r="A11" s="2"/>
      <c r="B11" s="2"/>
      <c r="C11" s="3"/>
      <c r="D11" s="4"/>
      <c r="K11" t="e">
        <f t="shared" si="0"/>
        <v>#VALUE!</v>
      </c>
      <c r="L11" t="e">
        <f t="shared" si="1"/>
        <v>#VALUE!</v>
      </c>
      <c r="N11" t="e">
        <f t="shared" si="2"/>
        <v>#VALUE!</v>
      </c>
      <c r="O11" t="e">
        <f t="shared" si="3"/>
        <v>#VALUE!</v>
      </c>
    </row>
    <row r="12" spans="1:18" ht="15" thickBot="1" x14ac:dyDescent="0.35">
      <c r="A12" s="2"/>
      <c r="B12" s="2"/>
      <c r="C12" s="3"/>
      <c r="D12" s="4"/>
      <c r="K12" t="e">
        <f t="shared" si="0"/>
        <v>#VALUE!</v>
      </c>
      <c r="L12" t="e">
        <f t="shared" si="1"/>
        <v>#VALUE!</v>
      </c>
      <c r="N12" t="e">
        <f t="shared" si="2"/>
        <v>#VALUE!</v>
      </c>
      <c r="O12" t="e">
        <f t="shared" si="3"/>
        <v>#VALUE!</v>
      </c>
    </row>
    <row r="13" spans="1:18" ht="15" thickBot="1" x14ac:dyDescent="0.35">
      <c r="A13" s="2"/>
      <c r="B13" s="2"/>
      <c r="C13" s="3"/>
      <c r="D13" s="4"/>
      <c r="K13" t="e">
        <f t="shared" si="0"/>
        <v>#VALUE!</v>
      </c>
      <c r="L13" t="e">
        <f t="shared" si="1"/>
        <v>#VALUE!</v>
      </c>
      <c r="N13" t="e">
        <f t="shared" si="2"/>
        <v>#VALUE!</v>
      </c>
      <c r="O13" t="e">
        <f t="shared" si="3"/>
        <v>#VALUE!</v>
      </c>
    </row>
    <row r="14" spans="1:18" ht="15" thickBot="1" x14ac:dyDescent="0.35">
      <c r="A14" s="2"/>
      <c r="B14" s="2"/>
      <c r="C14" s="3"/>
      <c r="D14" s="4"/>
      <c r="K14" t="e">
        <f t="shared" si="0"/>
        <v>#VALUE!</v>
      </c>
      <c r="L14" t="e">
        <f t="shared" si="1"/>
        <v>#VALUE!</v>
      </c>
      <c r="N14" t="e">
        <f t="shared" si="2"/>
        <v>#VALUE!</v>
      </c>
      <c r="O14" t="e">
        <f t="shared" si="3"/>
        <v>#VALUE!</v>
      </c>
    </row>
    <row r="15" spans="1:18" ht="15" thickBot="1" x14ac:dyDescent="0.35">
      <c r="A15" s="2"/>
      <c r="B15" s="2"/>
      <c r="C15" s="3"/>
      <c r="D15" s="4"/>
      <c r="K15" t="e">
        <f t="shared" si="0"/>
        <v>#VALUE!</v>
      </c>
      <c r="L15" t="e">
        <f t="shared" si="1"/>
        <v>#VALUE!</v>
      </c>
      <c r="N15" t="e">
        <f t="shared" si="2"/>
        <v>#VALUE!</v>
      </c>
      <c r="O15" t="e">
        <f t="shared" si="3"/>
        <v>#VALUE!</v>
      </c>
    </row>
    <row r="16" spans="1:18" ht="15" thickBot="1" x14ac:dyDescent="0.35">
      <c r="A16" s="2"/>
      <c r="B16" s="2"/>
      <c r="C16" s="3"/>
      <c r="D16" s="4"/>
      <c r="K16" t="e">
        <f t="shared" si="0"/>
        <v>#VALUE!</v>
      </c>
      <c r="L16" t="e">
        <f t="shared" si="1"/>
        <v>#VALUE!</v>
      </c>
      <c r="N16" t="e">
        <f t="shared" si="2"/>
        <v>#VALUE!</v>
      </c>
      <c r="O16" t="e">
        <f t="shared" si="3"/>
        <v>#VALUE!</v>
      </c>
    </row>
    <row r="17" spans="1:15" ht="15" thickBot="1" x14ac:dyDescent="0.35">
      <c r="A17" s="2"/>
      <c r="B17" s="2"/>
      <c r="C17" s="3"/>
      <c r="D17" s="4"/>
      <c r="K17" t="e">
        <f t="shared" si="0"/>
        <v>#VALUE!</v>
      </c>
      <c r="L17" t="e">
        <f t="shared" si="1"/>
        <v>#VALUE!</v>
      </c>
      <c r="N17" t="e">
        <f t="shared" si="2"/>
        <v>#VALUE!</v>
      </c>
      <c r="O17" t="e">
        <f t="shared" si="3"/>
        <v>#VALUE!</v>
      </c>
    </row>
    <row r="18" spans="1:15" ht="15" thickBot="1" x14ac:dyDescent="0.35">
      <c r="A18" s="2"/>
      <c r="B18" s="2"/>
      <c r="C18" s="3"/>
      <c r="D18" s="4"/>
      <c r="K18" t="e">
        <f t="shared" si="0"/>
        <v>#VALUE!</v>
      </c>
      <c r="L18" t="e">
        <f t="shared" si="1"/>
        <v>#VALUE!</v>
      </c>
      <c r="N18" t="e">
        <f t="shared" si="2"/>
        <v>#VALUE!</v>
      </c>
      <c r="O18" t="e">
        <f t="shared" si="3"/>
        <v>#VALUE!</v>
      </c>
    </row>
    <row r="19" spans="1:15" ht="15" thickBot="1" x14ac:dyDescent="0.35">
      <c r="A19" s="2"/>
      <c r="B19" s="2"/>
      <c r="C19" s="3"/>
      <c r="D19" s="4"/>
      <c r="K19" t="e">
        <f t="shared" si="0"/>
        <v>#VALUE!</v>
      </c>
      <c r="L19" t="e">
        <f t="shared" si="1"/>
        <v>#VALUE!</v>
      </c>
      <c r="N19" t="e">
        <f t="shared" si="2"/>
        <v>#VALUE!</v>
      </c>
      <c r="O19" t="e">
        <f t="shared" si="3"/>
        <v>#VALUE!</v>
      </c>
    </row>
    <row r="20" spans="1:15" ht="15" thickBot="1" x14ac:dyDescent="0.35">
      <c r="A20" s="2"/>
      <c r="B20" s="2"/>
      <c r="C20" s="3"/>
      <c r="D20" s="4"/>
      <c r="K20" t="e">
        <f t="shared" si="0"/>
        <v>#VALUE!</v>
      </c>
      <c r="L20" t="e">
        <f t="shared" si="1"/>
        <v>#VALUE!</v>
      </c>
      <c r="N20" t="e">
        <f t="shared" si="2"/>
        <v>#VALUE!</v>
      </c>
      <c r="O20" t="e">
        <f t="shared" si="3"/>
        <v>#VALUE!</v>
      </c>
    </row>
    <row r="21" spans="1:15" ht="15" thickBot="1" x14ac:dyDescent="0.35">
      <c r="A21" s="2"/>
      <c r="B21" s="2"/>
      <c r="C21" s="3"/>
      <c r="D21" s="4"/>
      <c r="K21" t="e">
        <f t="shared" si="0"/>
        <v>#VALUE!</v>
      </c>
      <c r="L21" t="e">
        <f t="shared" si="1"/>
        <v>#VALUE!</v>
      </c>
      <c r="N21" t="e">
        <f t="shared" si="2"/>
        <v>#VALUE!</v>
      </c>
      <c r="O21" t="e">
        <f t="shared" si="3"/>
        <v>#VALUE!</v>
      </c>
    </row>
    <row r="22" spans="1:15" ht="15" thickBot="1" x14ac:dyDescent="0.35">
      <c r="A22" s="2"/>
      <c r="B22" s="2"/>
      <c r="C22" s="3"/>
      <c r="D22" s="4"/>
      <c r="K22" t="e">
        <f t="shared" si="0"/>
        <v>#VALUE!</v>
      </c>
      <c r="L22" t="e">
        <f t="shared" si="1"/>
        <v>#VALUE!</v>
      </c>
      <c r="N22" t="e">
        <f t="shared" si="2"/>
        <v>#VALUE!</v>
      </c>
      <c r="O22" t="e">
        <f t="shared" si="3"/>
        <v>#VALUE!</v>
      </c>
    </row>
    <row r="23" spans="1:15" ht="15" thickBot="1" x14ac:dyDescent="0.35">
      <c r="A23" s="2"/>
      <c r="B23" s="2"/>
      <c r="C23" s="3"/>
      <c r="D23" s="4"/>
      <c r="K23" t="e">
        <f t="shared" si="0"/>
        <v>#VALUE!</v>
      </c>
      <c r="L23" t="e">
        <f t="shared" si="1"/>
        <v>#VALUE!</v>
      </c>
      <c r="N23" t="e">
        <f t="shared" si="2"/>
        <v>#VALUE!</v>
      </c>
      <c r="O23" t="e">
        <f t="shared" si="3"/>
        <v>#VALUE!</v>
      </c>
    </row>
    <row r="24" spans="1:15" ht="15" thickBot="1" x14ac:dyDescent="0.35">
      <c r="A24" s="2"/>
      <c r="B24" s="2"/>
      <c r="C24" s="3"/>
      <c r="D24" s="4"/>
      <c r="K24" t="e">
        <f t="shared" si="0"/>
        <v>#VALUE!</v>
      </c>
      <c r="L24" t="e">
        <f t="shared" si="1"/>
        <v>#VALUE!</v>
      </c>
      <c r="N24" t="e">
        <f t="shared" si="2"/>
        <v>#VALUE!</v>
      </c>
      <c r="O24" t="e">
        <f t="shared" si="3"/>
        <v>#VALUE!</v>
      </c>
    </row>
    <row r="25" spans="1:15" ht="15" thickBot="1" x14ac:dyDescent="0.35">
      <c r="A25" s="2"/>
      <c r="B25" s="2"/>
      <c r="C25" s="3"/>
      <c r="D25" s="4"/>
      <c r="K25" t="e">
        <f t="shared" si="0"/>
        <v>#VALUE!</v>
      </c>
      <c r="L25" t="e">
        <f t="shared" si="1"/>
        <v>#VALUE!</v>
      </c>
      <c r="N25" t="e">
        <f t="shared" si="2"/>
        <v>#VALUE!</v>
      </c>
      <c r="O25" t="e">
        <f t="shared" si="3"/>
        <v>#VALUE!</v>
      </c>
    </row>
    <row r="26" spans="1:15" ht="15" thickBot="1" x14ac:dyDescent="0.35">
      <c r="A26" s="2"/>
      <c r="B26" s="2"/>
      <c r="C26" s="3"/>
      <c r="D26" s="4"/>
      <c r="K26" t="e">
        <f t="shared" si="0"/>
        <v>#VALUE!</v>
      </c>
      <c r="L26" t="e">
        <f t="shared" si="1"/>
        <v>#VALUE!</v>
      </c>
      <c r="N26" t="e">
        <f t="shared" si="2"/>
        <v>#VALUE!</v>
      </c>
      <c r="O26" t="e">
        <f t="shared" si="3"/>
        <v>#VALUE!</v>
      </c>
    </row>
    <row r="27" spans="1:15" ht="15" thickBot="1" x14ac:dyDescent="0.35">
      <c r="A27" s="2"/>
      <c r="B27" s="2"/>
      <c r="C27" s="3"/>
      <c r="D27" s="4"/>
      <c r="K27" t="e">
        <f t="shared" si="0"/>
        <v>#VALUE!</v>
      </c>
      <c r="L27" t="e">
        <f t="shared" si="1"/>
        <v>#VALUE!</v>
      </c>
      <c r="N27" t="e">
        <f t="shared" si="2"/>
        <v>#VALUE!</v>
      </c>
      <c r="O27" t="e">
        <f t="shared" si="3"/>
        <v>#VALUE!</v>
      </c>
    </row>
    <row r="28" spans="1:15" ht="15" thickBot="1" x14ac:dyDescent="0.35">
      <c r="A28" s="2"/>
      <c r="B28" s="2"/>
      <c r="C28" s="3"/>
      <c r="D28" s="4"/>
      <c r="K28" t="e">
        <f t="shared" si="0"/>
        <v>#VALUE!</v>
      </c>
      <c r="L28" t="e">
        <f t="shared" si="1"/>
        <v>#VALUE!</v>
      </c>
      <c r="N28" t="e">
        <f t="shared" si="2"/>
        <v>#VALUE!</v>
      </c>
      <c r="O28" t="e">
        <f t="shared" si="3"/>
        <v>#VALUE!</v>
      </c>
    </row>
    <row r="29" spans="1:15" ht="15" thickBot="1" x14ac:dyDescent="0.35">
      <c r="A29" s="2"/>
      <c r="B29" s="2"/>
      <c r="C29" s="3"/>
      <c r="D29" s="4"/>
      <c r="K29" t="e">
        <f t="shared" si="0"/>
        <v>#VALUE!</v>
      </c>
      <c r="L29" t="e">
        <f t="shared" si="1"/>
        <v>#VALUE!</v>
      </c>
      <c r="N29" t="e">
        <f t="shared" si="2"/>
        <v>#VALUE!</v>
      </c>
      <c r="O29" t="e">
        <f t="shared" si="3"/>
        <v>#VALUE!</v>
      </c>
    </row>
    <row r="30" spans="1:15" ht="15" thickBot="1" x14ac:dyDescent="0.35">
      <c r="A30" s="2"/>
      <c r="B30" s="2"/>
      <c r="C30" s="3"/>
      <c r="D30" s="4"/>
      <c r="K30" t="e">
        <f t="shared" si="0"/>
        <v>#VALUE!</v>
      </c>
      <c r="L30" t="e">
        <f t="shared" si="1"/>
        <v>#VALUE!</v>
      </c>
      <c r="N30" t="e">
        <f t="shared" si="2"/>
        <v>#VALUE!</v>
      </c>
      <c r="O30" t="e">
        <f t="shared" si="3"/>
        <v>#VALUE!</v>
      </c>
    </row>
    <row r="31" spans="1:15" ht="15" thickBot="1" x14ac:dyDescent="0.35">
      <c r="A31" s="2"/>
      <c r="B31" s="2"/>
      <c r="C31" s="3"/>
      <c r="D31" s="4"/>
      <c r="K31" t="e">
        <f t="shared" si="0"/>
        <v>#VALUE!</v>
      </c>
      <c r="L31" t="e">
        <f t="shared" si="1"/>
        <v>#VALUE!</v>
      </c>
      <c r="N31" t="e">
        <f t="shared" si="2"/>
        <v>#VALUE!</v>
      </c>
      <c r="O31" t="e">
        <f t="shared" si="3"/>
        <v>#VALUE!</v>
      </c>
    </row>
    <row r="32" spans="1:15" ht="15" thickBot="1" x14ac:dyDescent="0.35">
      <c r="A32" s="2"/>
      <c r="B32" s="2"/>
      <c r="C32" s="3"/>
      <c r="D32" s="4"/>
      <c r="K32" t="e">
        <f t="shared" si="0"/>
        <v>#VALUE!</v>
      </c>
      <c r="L32" t="e">
        <f t="shared" si="1"/>
        <v>#VALUE!</v>
      </c>
      <c r="N32" t="e">
        <f t="shared" si="2"/>
        <v>#VALUE!</v>
      </c>
      <c r="O32" t="e">
        <f t="shared" si="3"/>
        <v>#VALUE!</v>
      </c>
    </row>
    <row r="33" spans="1:15" ht="15" thickBot="1" x14ac:dyDescent="0.35">
      <c r="A33" s="2"/>
      <c r="B33" s="2"/>
      <c r="C33" s="3"/>
      <c r="D33" s="4"/>
      <c r="K33" t="e">
        <f t="shared" si="0"/>
        <v>#VALUE!</v>
      </c>
      <c r="L33" t="e">
        <f t="shared" si="1"/>
        <v>#VALUE!</v>
      </c>
      <c r="N33" t="e">
        <f t="shared" si="2"/>
        <v>#VALUE!</v>
      </c>
      <c r="O33" t="e">
        <f t="shared" si="3"/>
        <v>#VALUE!</v>
      </c>
    </row>
    <row r="34" spans="1:15" ht="15" thickBot="1" x14ac:dyDescent="0.35">
      <c r="A34" s="2"/>
      <c r="B34" s="2"/>
      <c r="C34" s="3"/>
      <c r="D34" s="4"/>
      <c r="K34" t="e">
        <f t="shared" si="0"/>
        <v>#VALUE!</v>
      </c>
      <c r="L34" t="e">
        <f t="shared" si="1"/>
        <v>#VALUE!</v>
      </c>
      <c r="N34" t="e">
        <f t="shared" si="2"/>
        <v>#VALUE!</v>
      </c>
      <c r="O34" t="e">
        <f t="shared" si="3"/>
        <v>#VALUE!</v>
      </c>
    </row>
    <row r="35" spans="1:15" ht="15" thickBot="1" x14ac:dyDescent="0.35">
      <c r="A35" s="2"/>
      <c r="B35" s="2"/>
      <c r="C35" s="3"/>
      <c r="D35" s="4"/>
      <c r="K35" t="e">
        <f t="shared" si="0"/>
        <v>#VALUE!</v>
      </c>
      <c r="L35" t="e">
        <f t="shared" si="1"/>
        <v>#VALUE!</v>
      </c>
      <c r="N35" t="e">
        <f t="shared" si="2"/>
        <v>#VALUE!</v>
      </c>
      <c r="O35" t="e">
        <f t="shared" si="3"/>
        <v>#VALUE!</v>
      </c>
    </row>
    <row r="36" spans="1:15" ht="15" thickBot="1" x14ac:dyDescent="0.35">
      <c r="A36" s="2"/>
      <c r="B36" s="2"/>
      <c r="C36" s="3"/>
      <c r="D36" s="4"/>
      <c r="K36" t="e">
        <f t="shared" si="0"/>
        <v>#VALUE!</v>
      </c>
      <c r="L36" t="e">
        <f t="shared" si="1"/>
        <v>#VALUE!</v>
      </c>
      <c r="N36" t="e">
        <f t="shared" si="2"/>
        <v>#VALUE!</v>
      </c>
      <c r="O36" t="e">
        <f t="shared" si="3"/>
        <v>#VALUE!</v>
      </c>
    </row>
    <row r="37" spans="1:15" ht="15" thickBot="1" x14ac:dyDescent="0.35">
      <c r="A37" s="2"/>
      <c r="B37" s="2"/>
      <c r="C37" s="3"/>
      <c r="D37" s="4"/>
      <c r="K37" t="e">
        <f t="shared" si="0"/>
        <v>#VALUE!</v>
      </c>
      <c r="L37" t="e">
        <f t="shared" si="1"/>
        <v>#VALUE!</v>
      </c>
      <c r="N37" t="e">
        <f t="shared" si="2"/>
        <v>#VALUE!</v>
      </c>
      <c r="O37" t="e">
        <f t="shared" si="3"/>
        <v>#VALUE!</v>
      </c>
    </row>
    <row r="38" spans="1:15" ht="15" thickBot="1" x14ac:dyDescent="0.35">
      <c r="A38" s="2"/>
      <c r="B38" s="2"/>
      <c r="C38" s="3"/>
      <c r="D38" s="4"/>
      <c r="K38" t="e">
        <f t="shared" si="0"/>
        <v>#VALUE!</v>
      </c>
      <c r="L38" t="e">
        <f t="shared" si="1"/>
        <v>#VALUE!</v>
      </c>
      <c r="N38" t="e">
        <f t="shared" si="2"/>
        <v>#VALUE!</v>
      </c>
      <c r="O38" t="e">
        <f t="shared" si="3"/>
        <v>#VALUE!</v>
      </c>
    </row>
    <row r="39" spans="1:15" ht="15" thickBot="1" x14ac:dyDescent="0.35">
      <c r="A39" s="2"/>
      <c r="B39" s="2"/>
      <c r="C39" s="3"/>
      <c r="D39" s="4"/>
      <c r="K39" t="e">
        <f t="shared" si="0"/>
        <v>#VALUE!</v>
      </c>
      <c r="L39" t="e">
        <f t="shared" si="1"/>
        <v>#VALUE!</v>
      </c>
      <c r="N39" t="e">
        <f t="shared" si="2"/>
        <v>#VALUE!</v>
      </c>
      <c r="O39" t="e">
        <f t="shared" si="3"/>
        <v>#VALUE!</v>
      </c>
    </row>
    <row r="40" spans="1:15" ht="15" thickBot="1" x14ac:dyDescent="0.35">
      <c r="A40" s="2"/>
      <c r="B40" s="2"/>
      <c r="C40" s="3"/>
      <c r="D40" s="4"/>
      <c r="K40" t="e">
        <f t="shared" si="0"/>
        <v>#VALUE!</v>
      </c>
      <c r="L40" t="e">
        <f t="shared" si="1"/>
        <v>#VALUE!</v>
      </c>
      <c r="N40" t="e">
        <f t="shared" si="2"/>
        <v>#VALUE!</v>
      </c>
      <c r="O40" t="e">
        <f t="shared" si="3"/>
        <v>#VALUE!</v>
      </c>
    </row>
    <row r="41" spans="1:15" ht="15" thickBot="1" x14ac:dyDescent="0.35">
      <c r="A41" s="2"/>
      <c r="B41" s="2"/>
      <c r="C41" s="3"/>
      <c r="D41" s="4"/>
      <c r="K41" t="e">
        <f t="shared" si="0"/>
        <v>#VALUE!</v>
      </c>
      <c r="L41" t="e">
        <f t="shared" si="1"/>
        <v>#VALUE!</v>
      </c>
      <c r="N41" t="e">
        <f t="shared" si="2"/>
        <v>#VALUE!</v>
      </c>
      <c r="O41" t="e">
        <f t="shared" si="3"/>
        <v>#VALUE!</v>
      </c>
    </row>
    <row r="42" spans="1:15" ht="15" thickBot="1" x14ac:dyDescent="0.35">
      <c r="A42" s="2"/>
      <c r="B42" s="2"/>
      <c r="C42" s="3"/>
      <c r="D42" s="4"/>
      <c r="K42" t="e">
        <f t="shared" si="0"/>
        <v>#VALUE!</v>
      </c>
      <c r="L42" t="e">
        <f t="shared" si="1"/>
        <v>#VALUE!</v>
      </c>
      <c r="N42" t="e">
        <f t="shared" si="2"/>
        <v>#VALUE!</v>
      </c>
      <c r="O42" t="e">
        <f t="shared" si="3"/>
        <v>#VALUE!</v>
      </c>
    </row>
    <row r="43" spans="1:15" ht="15" thickBot="1" x14ac:dyDescent="0.35">
      <c r="A43" s="2"/>
      <c r="B43" s="2"/>
      <c r="C43" s="3"/>
      <c r="D43" s="4"/>
      <c r="K43" t="e">
        <f t="shared" si="0"/>
        <v>#VALUE!</v>
      </c>
      <c r="L43" t="e">
        <f t="shared" si="1"/>
        <v>#VALUE!</v>
      </c>
      <c r="N43" t="e">
        <f t="shared" si="2"/>
        <v>#VALUE!</v>
      </c>
      <c r="O43" t="e">
        <f t="shared" si="3"/>
        <v>#VALUE!</v>
      </c>
    </row>
    <row r="44" spans="1:15" ht="15" thickBot="1" x14ac:dyDescent="0.35">
      <c r="A44" s="2"/>
      <c r="B44" s="2"/>
      <c r="C44" s="3"/>
      <c r="D44" s="4"/>
      <c r="K44" t="e">
        <f t="shared" si="0"/>
        <v>#VALUE!</v>
      </c>
      <c r="L44" t="e">
        <f t="shared" si="1"/>
        <v>#VALUE!</v>
      </c>
      <c r="N44" t="e">
        <f t="shared" si="2"/>
        <v>#VALUE!</v>
      </c>
      <c r="O44" t="e">
        <f t="shared" si="3"/>
        <v>#VALUE!</v>
      </c>
    </row>
    <row r="45" spans="1:15" ht="15" thickBot="1" x14ac:dyDescent="0.35">
      <c r="A45" s="2"/>
      <c r="B45" s="2"/>
      <c r="C45" s="3"/>
      <c r="D45" s="4"/>
      <c r="K45" t="e">
        <f t="shared" si="0"/>
        <v>#VALUE!</v>
      </c>
      <c r="L45" t="e">
        <f t="shared" si="1"/>
        <v>#VALUE!</v>
      </c>
      <c r="N45" t="e">
        <f t="shared" si="2"/>
        <v>#VALUE!</v>
      </c>
      <c r="O45" t="e">
        <f t="shared" si="3"/>
        <v>#VALUE!</v>
      </c>
    </row>
    <row r="46" spans="1:15" ht="15" thickBot="1" x14ac:dyDescent="0.35">
      <c r="A46" s="2"/>
      <c r="B46" s="2"/>
      <c r="C46" s="3"/>
      <c r="D46" s="4"/>
      <c r="K46" t="e">
        <f t="shared" si="0"/>
        <v>#VALUE!</v>
      </c>
      <c r="L46" t="e">
        <f t="shared" si="1"/>
        <v>#VALUE!</v>
      </c>
      <c r="N46" t="e">
        <f t="shared" si="2"/>
        <v>#VALUE!</v>
      </c>
      <c r="O46" t="e">
        <f t="shared" si="3"/>
        <v>#VALUE!</v>
      </c>
    </row>
    <row r="47" spans="1:15" ht="15" thickBot="1" x14ac:dyDescent="0.35">
      <c r="A47" s="2"/>
      <c r="B47" s="2"/>
      <c r="C47" s="3"/>
      <c r="D47" s="4"/>
      <c r="K47" t="e">
        <f t="shared" si="0"/>
        <v>#VALUE!</v>
      </c>
      <c r="L47" t="e">
        <f t="shared" si="1"/>
        <v>#VALUE!</v>
      </c>
      <c r="N47" t="e">
        <f t="shared" si="2"/>
        <v>#VALUE!</v>
      </c>
      <c r="O47" t="e">
        <f t="shared" si="3"/>
        <v>#VALUE!</v>
      </c>
    </row>
    <row r="48" spans="1:15" x14ac:dyDescent="0.3">
      <c r="A48" s="2"/>
      <c r="B48" s="2"/>
      <c r="C48" s="3"/>
      <c r="D48" s="4"/>
      <c r="K48" t="e">
        <f t="shared" si="0"/>
        <v>#VALUE!</v>
      </c>
      <c r="L48" t="e">
        <f t="shared" si="1"/>
        <v>#VALUE!</v>
      </c>
      <c r="N48" t="e">
        <f t="shared" si="2"/>
        <v>#VALUE!</v>
      </c>
      <c r="O48" t="e">
        <f t="shared" si="3"/>
        <v>#VALUE!</v>
      </c>
    </row>
  </sheetData>
  <autoFilter ref="A1:R1">
    <sortState ref="A2:R48">
      <sortCondition ref="N1"/>
    </sortState>
  </autoFilter>
  <hyperlinks>
    <hyperlink ref="A2" r:id="rId1" display="https://competicion.ftm.es/app/jugador/historial/10765602/3507/torneos.mensual/2"/>
    <hyperlink ref="B2" r:id="rId2" display="https://competicion.ftm.es/app/jugador/historial/10765602/3507/torneos.mensual/2"/>
    <hyperlink ref="A3" r:id="rId3" display="https://competicion.ftm.es/app/jugador/historial/10770437/3507/torneos.mensual/2"/>
    <hyperlink ref="B3" r:id="rId4" display="https://competicion.ftm.es/app/jugador/historial/10770437/3507/torneos.mensual/2"/>
    <hyperlink ref="A4" r:id="rId5" display="https://competicion.ftm.es/app/jugador/historial/10772871/3507/torneos.mensual/2"/>
    <hyperlink ref="B4" r:id="rId6" display="https://competicion.ftm.es/app/jugador/historial/10772871/3507/torneos.mensual/2"/>
    <hyperlink ref="A5" r:id="rId7" display="https://competicion.ftm.es/app/jugador/historial/10770669/3507/torneos.mensual/2"/>
    <hyperlink ref="B5" r:id="rId8" display="https://competicion.ftm.es/app/jugador/historial/10770669/3507/torneos.mensual/2"/>
    <hyperlink ref="A6" r:id="rId9" display="https://competicion.ftm.es/app/jugador/historial/07336482/3507/torneos.mensual/2"/>
    <hyperlink ref="B6" r:id="rId10" display="https://competicion.ftm.es/app/jugador/historial/07336482/3507/torneos.mensual/2"/>
    <hyperlink ref="A7" r:id="rId11" display="https://competicion.ftm.es/app/jugador/historial/10766345/3507/torneos.mensual/2"/>
    <hyperlink ref="B7" r:id="rId12" display="https://competicion.ftm.es/app/jugador/historial/10766345/3507/torneos.mensual/2"/>
    <hyperlink ref="A8" r:id="rId13" display="https://competicion.ftm.es/app/jugador/historial/10771245/3507/torneos.mensual/2"/>
    <hyperlink ref="B8" r:id="rId14" display="https://competicion.ftm.es/app/jugador/historial/10771245/3507/torneos.mensual/2"/>
    <hyperlink ref="A9" r:id="rId15" display="https://competicion.ftm.es/app/jugador/historial/10772441/3507/torneos.mensual/2"/>
    <hyperlink ref="B9" r:id="rId16" display="https://competicion.ftm.es/app/jugador/historial/10772441/3507/torneos.mensual/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"/>
  <sheetViews>
    <sheetView tabSelected="1" topLeftCell="C1" workbookViewId="0">
      <selection activeCell="H2" sqref="H2:H18"/>
    </sheetView>
  </sheetViews>
  <sheetFormatPr baseColWidth="10" defaultRowHeight="14.4" x14ac:dyDescent="0.3"/>
  <cols>
    <col min="2" max="2" width="51.44140625" customWidth="1"/>
    <col min="7" max="7" width="30.88671875" bestFit="1" customWidth="1"/>
    <col min="8" max="8" width="11.5546875" style="5"/>
    <col min="10" max="10" width="6.21875" customWidth="1"/>
    <col min="13" max="13" width="4.44140625" customWidth="1"/>
    <col min="14" max="14" width="17.88671875" bestFit="1" customWidth="1"/>
  </cols>
  <sheetData>
    <row r="1" spans="1:18" ht="15" thickBot="1" x14ac:dyDescent="0.35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s="5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  <c r="R1" t="s">
        <v>84</v>
      </c>
    </row>
    <row r="2" spans="1:18" ht="15" thickBot="1" x14ac:dyDescent="0.35">
      <c r="A2" s="2">
        <v>10766543</v>
      </c>
      <c r="B2" s="2" t="s">
        <v>102</v>
      </c>
      <c r="C2" s="3">
        <v>24135</v>
      </c>
      <c r="D2" s="4">
        <v>0</v>
      </c>
      <c r="F2">
        <v>10766543</v>
      </c>
      <c r="G2" t="s">
        <v>102</v>
      </c>
      <c r="H2" s="5">
        <v>24135</v>
      </c>
      <c r="I2">
        <v>0</v>
      </c>
      <c r="K2" t="e">
        <f>TRIM(LEFT(G2,FIND("-",G2)-1))</f>
        <v>#VALUE!</v>
      </c>
      <c r="L2" t="e">
        <f>TRIM(MID(G2,LEN(K2)+3,40))</f>
        <v>#VALUE!</v>
      </c>
      <c r="N2" t="str">
        <f>MID(G2,LEN(O2)+2,40)</f>
        <v>Mª Sardiña Valero</v>
      </c>
      <c r="O2" t="str">
        <f>TRIM(LEFT(G2,FIND(" ",G2)))</f>
        <v>Jose</v>
      </c>
    </row>
    <row r="3" spans="1:18" ht="15" thickBot="1" x14ac:dyDescent="0.35">
      <c r="A3" s="2">
        <v>10765884</v>
      </c>
      <c r="B3" s="2" t="s">
        <v>103</v>
      </c>
      <c r="C3" s="3">
        <v>25318</v>
      </c>
      <c r="D3" s="4">
        <v>0</v>
      </c>
      <c r="F3">
        <v>10765884</v>
      </c>
      <c r="G3" t="s">
        <v>103</v>
      </c>
      <c r="H3" s="5">
        <v>25318</v>
      </c>
      <c r="I3">
        <v>0</v>
      </c>
      <c r="K3" t="e">
        <f t="shared" ref="K3:K48" si="0">TRIM(LEFT(G3,FIND("-",G3)-1))</f>
        <v>#VALUE!</v>
      </c>
      <c r="L3" t="e">
        <f t="shared" ref="L3:L48" si="1">TRIM(MID(G3,LEN(K3)+3,40))</f>
        <v>#VALUE!</v>
      </c>
      <c r="N3" t="str">
        <f t="shared" ref="N3:N48" si="2">MID(G3,LEN(O3)+2,40)</f>
        <v>Jimenez Jimenez</v>
      </c>
      <c r="O3" t="str">
        <f t="shared" ref="O3:O48" si="3">TRIM(LEFT(G3,FIND(" ",G3)))</f>
        <v>Santiago</v>
      </c>
    </row>
    <row r="4" spans="1:18" ht="15" thickBot="1" x14ac:dyDescent="0.35">
      <c r="A4" s="2">
        <v>10266907</v>
      </c>
      <c r="B4" s="2" t="s">
        <v>104</v>
      </c>
      <c r="C4" s="3">
        <v>26483</v>
      </c>
      <c r="D4" s="4">
        <v>0</v>
      </c>
      <c r="F4">
        <v>10266907</v>
      </c>
      <c r="G4" t="s">
        <v>104</v>
      </c>
      <c r="H4" s="5">
        <v>26483</v>
      </c>
      <c r="I4">
        <v>0</v>
      </c>
      <c r="K4" t="e">
        <f t="shared" si="0"/>
        <v>#VALUE!</v>
      </c>
      <c r="L4" t="e">
        <f t="shared" si="1"/>
        <v>#VALUE!</v>
      </c>
      <c r="N4" t="str">
        <f t="shared" si="2"/>
        <v>Garcia De Mingo</v>
      </c>
      <c r="O4" t="str">
        <f t="shared" si="3"/>
        <v>Carlos</v>
      </c>
    </row>
    <row r="5" spans="1:18" ht="15" thickBot="1" x14ac:dyDescent="0.35">
      <c r="A5" s="2">
        <v>10357326</v>
      </c>
      <c r="B5" s="2" t="s">
        <v>105</v>
      </c>
      <c r="C5" s="3">
        <v>25848</v>
      </c>
      <c r="D5" s="4">
        <v>0</v>
      </c>
      <c r="F5">
        <v>10357326</v>
      </c>
      <c r="G5" t="s">
        <v>105</v>
      </c>
      <c r="H5" s="5">
        <v>25848</v>
      </c>
      <c r="I5">
        <v>0</v>
      </c>
      <c r="K5" t="e">
        <f t="shared" si="0"/>
        <v>#VALUE!</v>
      </c>
      <c r="L5" t="e">
        <f t="shared" si="1"/>
        <v>#VALUE!</v>
      </c>
      <c r="N5" t="str">
        <f t="shared" si="2"/>
        <v>Garrido Sanjuan</v>
      </c>
      <c r="O5" t="str">
        <f t="shared" si="3"/>
        <v>Mario</v>
      </c>
    </row>
    <row r="6" spans="1:18" ht="15" thickBot="1" x14ac:dyDescent="0.35">
      <c r="A6" s="2">
        <v>10774679</v>
      </c>
      <c r="B6" s="2" t="s">
        <v>106</v>
      </c>
      <c r="C6" s="3">
        <v>26564</v>
      </c>
      <c r="D6" s="4">
        <v>0</v>
      </c>
      <c r="F6">
        <v>10774679</v>
      </c>
      <c r="G6" t="s">
        <v>106</v>
      </c>
      <c r="H6" s="5">
        <v>26564</v>
      </c>
      <c r="I6">
        <v>0</v>
      </c>
      <c r="K6" t="e">
        <f t="shared" si="0"/>
        <v>#VALUE!</v>
      </c>
      <c r="L6" t="e">
        <f t="shared" si="1"/>
        <v>#VALUE!</v>
      </c>
      <c r="N6" t="str">
        <f t="shared" si="2"/>
        <v>Gallego Diez</v>
      </c>
      <c r="O6" t="str">
        <f t="shared" si="3"/>
        <v>Manuel</v>
      </c>
    </row>
    <row r="7" spans="1:18" ht="15" thickBot="1" x14ac:dyDescent="0.35">
      <c r="A7" s="2">
        <v>10621466</v>
      </c>
      <c r="B7" s="2" t="s">
        <v>107</v>
      </c>
      <c r="C7" s="3">
        <v>26873</v>
      </c>
      <c r="D7" s="4">
        <v>0</v>
      </c>
      <c r="F7">
        <v>10621466</v>
      </c>
      <c r="G7" t="s">
        <v>107</v>
      </c>
      <c r="H7" s="5">
        <v>26873</v>
      </c>
      <c r="I7">
        <v>0</v>
      </c>
      <c r="K7" t="e">
        <f t="shared" si="0"/>
        <v>#VALUE!</v>
      </c>
      <c r="L7" t="e">
        <f t="shared" si="1"/>
        <v>#VALUE!</v>
      </c>
      <c r="N7" t="str">
        <f t="shared" si="2"/>
        <v>Sereno Deudero</v>
      </c>
      <c r="O7" t="str">
        <f t="shared" si="3"/>
        <v>Pablo</v>
      </c>
    </row>
    <row r="8" spans="1:18" ht="15" thickBot="1" x14ac:dyDescent="0.35">
      <c r="A8" s="2">
        <v>7029368</v>
      </c>
      <c r="B8" s="2" t="s">
        <v>108</v>
      </c>
      <c r="C8" s="3">
        <v>25861</v>
      </c>
      <c r="D8" s="4">
        <v>0</v>
      </c>
      <c r="F8">
        <v>7029368</v>
      </c>
      <c r="G8" t="s">
        <v>108</v>
      </c>
      <c r="H8" s="5">
        <v>25861</v>
      </c>
      <c r="I8">
        <v>0</v>
      </c>
      <c r="K8" t="e">
        <f t="shared" si="0"/>
        <v>#VALUE!</v>
      </c>
      <c r="L8" t="e">
        <f t="shared" si="1"/>
        <v>#VALUE!</v>
      </c>
      <c r="N8" t="str">
        <f t="shared" si="2"/>
        <v>Aparicio Rivas</v>
      </c>
      <c r="O8" t="str">
        <f t="shared" si="3"/>
        <v>Enrique</v>
      </c>
    </row>
    <row r="9" spans="1:18" ht="15" thickBot="1" x14ac:dyDescent="0.35">
      <c r="A9" s="2">
        <v>1733006</v>
      </c>
      <c r="B9" s="2" t="s">
        <v>109</v>
      </c>
      <c r="C9" s="3">
        <v>25953</v>
      </c>
      <c r="D9" s="4">
        <v>0</v>
      </c>
      <c r="F9">
        <v>1733006</v>
      </c>
      <c r="G9" t="s">
        <v>109</v>
      </c>
      <c r="H9" s="5">
        <v>25953</v>
      </c>
      <c r="I9">
        <v>0</v>
      </c>
      <c r="K9" t="e">
        <f t="shared" si="0"/>
        <v>#VALUE!</v>
      </c>
      <c r="L9" t="e">
        <f t="shared" si="1"/>
        <v>#VALUE!</v>
      </c>
      <c r="N9" t="str">
        <f t="shared" si="2"/>
        <v>Torres Uriel</v>
      </c>
      <c r="O9" t="str">
        <f t="shared" si="3"/>
        <v>Felix</v>
      </c>
    </row>
    <row r="10" spans="1:18" ht="15" thickBot="1" x14ac:dyDescent="0.35">
      <c r="A10" s="2">
        <v>10411693</v>
      </c>
      <c r="B10" s="2" t="s">
        <v>110</v>
      </c>
      <c r="C10" s="3">
        <v>27077</v>
      </c>
      <c r="D10" s="4">
        <v>0</v>
      </c>
      <c r="F10">
        <v>10411693</v>
      </c>
      <c r="G10" t="s">
        <v>110</v>
      </c>
      <c r="H10" s="5">
        <v>27077</v>
      </c>
      <c r="I10">
        <v>0</v>
      </c>
      <c r="K10" t="e">
        <f t="shared" si="0"/>
        <v>#VALUE!</v>
      </c>
      <c r="L10" t="e">
        <f t="shared" si="1"/>
        <v>#VALUE!</v>
      </c>
      <c r="N10" t="str">
        <f t="shared" si="2"/>
        <v>Viñuela Rubio</v>
      </c>
      <c r="O10" t="str">
        <f t="shared" si="3"/>
        <v>Miguel</v>
      </c>
    </row>
    <row r="11" spans="1:18" ht="15" thickBot="1" x14ac:dyDescent="0.35">
      <c r="A11" s="2">
        <v>10765404</v>
      </c>
      <c r="B11" s="2" t="s">
        <v>111</v>
      </c>
      <c r="C11" s="3">
        <v>22735</v>
      </c>
      <c r="D11" s="4">
        <v>0</v>
      </c>
      <c r="F11">
        <v>10765404</v>
      </c>
      <c r="G11" t="s">
        <v>111</v>
      </c>
      <c r="H11" s="5">
        <v>22735</v>
      </c>
      <c r="I11">
        <v>0</v>
      </c>
      <c r="K11" t="e">
        <f t="shared" si="0"/>
        <v>#VALUE!</v>
      </c>
      <c r="L11" t="e">
        <f t="shared" si="1"/>
        <v>#VALUE!</v>
      </c>
      <c r="N11" t="str">
        <f t="shared" si="2"/>
        <v>Luis Ruiz Camara</v>
      </c>
      <c r="O11" t="str">
        <f t="shared" si="3"/>
        <v>Angel</v>
      </c>
    </row>
    <row r="12" spans="1:18" ht="15" thickBot="1" x14ac:dyDescent="0.35">
      <c r="A12" s="2">
        <v>10428317</v>
      </c>
      <c r="B12" s="2" t="s">
        <v>112</v>
      </c>
      <c r="C12" s="3">
        <v>27002</v>
      </c>
      <c r="D12" s="4">
        <v>0</v>
      </c>
      <c r="F12">
        <v>10428317</v>
      </c>
      <c r="G12" t="s">
        <v>112</v>
      </c>
      <c r="H12" s="5">
        <v>27002</v>
      </c>
      <c r="I12">
        <v>0</v>
      </c>
      <c r="K12" t="e">
        <f t="shared" si="0"/>
        <v>#VALUE!</v>
      </c>
      <c r="L12" t="e">
        <f t="shared" si="1"/>
        <v>#VALUE!</v>
      </c>
      <c r="N12" t="str">
        <f t="shared" si="2"/>
        <v>Sanchez Valverde</v>
      </c>
      <c r="O12" t="str">
        <f t="shared" si="3"/>
        <v>Oscar</v>
      </c>
    </row>
    <row r="13" spans="1:18" ht="15" thickBot="1" x14ac:dyDescent="0.35">
      <c r="A13" s="2">
        <v>10771310</v>
      </c>
      <c r="B13" s="2" t="s">
        <v>113</v>
      </c>
      <c r="C13" s="3">
        <v>24225</v>
      </c>
      <c r="D13" s="4">
        <v>0</v>
      </c>
      <c r="F13">
        <v>10771310</v>
      </c>
      <c r="G13" t="s">
        <v>113</v>
      </c>
      <c r="H13" s="5">
        <v>24225</v>
      </c>
      <c r="I13">
        <v>0</v>
      </c>
      <c r="K13" t="e">
        <f t="shared" si="0"/>
        <v>#VALUE!</v>
      </c>
      <c r="L13" t="e">
        <f t="shared" si="1"/>
        <v>#VALUE!</v>
      </c>
      <c r="N13" t="str">
        <f t="shared" si="2"/>
        <v>Manuel Sanz Engel</v>
      </c>
      <c r="O13" t="str">
        <f t="shared" si="3"/>
        <v>Juan</v>
      </c>
    </row>
    <row r="14" spans="1:18" ht="15" thickBot="1" x14ac:dyDescent="0.35">
      <c r="A14" s="2">
        <v>10081610</v>
      </c>
      <c r="B14" s="2" t="s">
        <v>114</v>
      </c>
      <c r="C14" s="3">
        <v>25791</v>
      </c>
      <c r="D14" s="4">
        <v>0</v>
      </c>
      <c r="F14">
        <v>10081610</v>
      </c>
      <c r="G14" t="s">
        <v>114</v>
      </c>
      <c r="H14" s="5">
        <v>25791</v>
      </c>
      <c r="I14">
        <v>0</v>
      </c>
      <c r="K14" t="e">
        <f t="shared" si="0"/>
        <v>#VALUE!</v>
      </c>
      <c r="L14" t="e">
        <f t="shared" si="1"/>
        <v>#VALUE!</v>
      </c>
      <c r="N14" t="str">
        <f t="shared" si="2"/>
        <v>Bitan Georget</v>
      </c>
      <c r="O14" t="str">
        <f t="shared" si="3"/>
        <v>Federico</v>
      </c>
    </row>
    <row r="15" spans="1:18" ht="15" thickBot="1" x14ac:dyDescent="0.35">
      <c r="A15" s="2">
        <v>10771097</v>
      </c>
      <c r="B15" s="2" t="s">
        <v>115</v>
      </c>
      <c r="C15" s="3">
        <v>23276</v>
      </c>
      <c r="D15" s="4">
        <v>0</v>
      </c>
      <c r="F15">
        <v>10771097</v>
      </c>
      <c r="G15" t="s">
        <v>115</v>
      </c>
      <c r="H15" s="5">
        <v>23276</v>
      </c>
      <c r="I15">
        <v>0</v>
      </c>
      <c r="K15" t="e">
        <f t="shared" si="0"/>
        <v>#VALUE!</v>
      </c>
      <c r="L15" t="e">
        <f t="shared" si="1"/>
        <v>#VALUE!</v>
      </c>
      <c r="N15" t="str">
        <f t="shared" si="2"/>
        <v>Satrústegui Escudero</v>
      </c>
      <c r="O15" t="str">
        <f t="shared" si="3"/>
        <v>Gabriel</v>
      </c>
    </row>
    <row r="16" spans="1:18" ht="15" thickBot="1" x14ac:dyDescent="0.35">
      <c r="A16" s="2">
        <v>10112077</v>
      </c>
      <c r="B16" s="2" t="s">
        <v>116</v>
      </c>
      <c r="C16" s="3">
        <v>24406</v>
      </c>
      <c r="D16" s="4">
        <v>0</v>
      </c>
      <c r="F16">
        <v>10112077</v>
      </c>
      <c r="G16" t="s">
        <v>116</v>
      </c>
      <c r="H16" s="5">
        <v>24406</v>
      </c>
      <c r="I16">
        <v>0</v>
      </c>
      <c r="K16" t="e">
        <f t="shared" si="0"/>
        <v>#VALUE!</v>
      </c>
      <c r="L16" t="e">
        <f t="shared" si="1"/>
        <v>#VALUE!</v>
      </c>
      <c r="N16" t="str">
        <f t="shared" si="2"/>
        <v>Garrido Sánchez</v>
      </c>
      <c r="O16" t="str">
        <f t="shared" si="3"/>
        <v>Quintin</v>
      </c>
    </row>
    <row r="17" spans="1:15" ht="15" thickBot="1" x14ac:dyDescent="0.35">
      <c r="A17" s="2">
        <v>10777425</v>
      </c>
      <c r="B17" s="2" t="s">
        <v>117</v>
      </c>
      <c r="C17" s="3">
        <v>26494</v>
      </c>
      <c r="D17" s="4">
        <v>0</v>
      </c>
      <c r="F17">
        <v>10777425</v>
      </c>
      <c r="G17" t="s">
        <v>117</v>
      </c>
      <c r="H17" s="5">
        <v>26494</v>
      </c>
      <c r="I17">
        <v>0</v>
      </c>
      <c r="K17" t="e">
        <f t="shared" si="0"/>
        <v>#VALUE!</v>
      </c>
      <c r="L17" t="e">
        <f t="shared" si="1"/>
        <v>#VALUE!</v>
      </c>
      <c r="N17" t="str">
        <f t="shared" si="2"/>
        <v>Nederlandt</v>
      </c>
      <c r="O17" t="str">
        <f t="shared" si="3"/>
        <v>Laurent</v>
      </c>
    </row>
    <row r="18" spans="1:15" ht="15" thickBot="1" x14ac:dyDescent="0.35">
      <c r="A18" s="2">
        <v>10772821</v>
      </c>
      <c r="B18" s="2" t="s">
        <v>118</v>
      </c>
      <c r="C18" s="3">
        <v>24089</v>
      </c>
      <c r="D18" s="4">
        <v>0</v>
      </c>
      <c r="F18">
        <v>10772821</v>
      </c>
      <c r="G18" t="s">
        <v>118</v>
      </c>
      <c r="H18" s="5">
        <v>24089</v>
      </c>
      <c r="I18">
        <v>0</v>
      </c>
      <c r="K18" t="e">
        <f t="shared" si="0"/>
        <v>#VALUE!</v>
      </c>
      <c r="L18" t="e">
        <f t="shared" si="1"/>
        <v>#VALUE!</v>
      </c>
      <c r="N18" t="str">
        <f t="shared" si="2"/>
        <v>Fernandez Garcia</v>
      </c>
      <c r="O18" t="str">
        <f t="shared" si="3"/>
        <v>Jose</v>
      </c>
    </row>
    <row r="19" spans="1:15" ht="15" thickBot="1" x14ac:dyDescent="0.35">
      <c r="A19" s="2"/>
      <c r="B19" s="2"/>
      <c r="C19" s="3"/>
      <c r="D19" s="4"/>
      <c r="K19" t="e">
        <f t="shared" si="0"/>
        <v>#VALUE!</v>
      </c>
      <c r="L19" t="e">
        <f t="shared" si="1"/>
        <v>#VALUE!</v>
      </c>
      <c r="N19" t="e">
        <f t="shared" si="2"/>
        <v>#VALUE!</v>
      </c>
      <c r="O19" t="e">
        <f t="shared" si="3"/>
        <v>#VALUE!</v>
      </c>
    </row>
    <row r="20" spans="1:15" ht="15" thickBot="1" x14ac:dyDescent="0.35">
      <c r="A20" s="2"/>
      <c r="B20" s="2"/>
      <c r="C20" s="3"/>
      <c r="D20" s="4"/>
      <c r="K20" t="e">
        <f t="shared" si="0"/>
        <v>#VALUE!</v>
      </c>
      <c r="L20" t="e">
        <f t="shared" si="1"/>
        <v>#VALUE!</v>
      </c>
      <c r="N20" t="e">
        <f t="shared" si="2"/>
        <v>#VALUE!</v>
      </c>
      <c r="O20" t="e">
        <f t="shared" si="3"/>
        <v>#VALUE!</v>
      </c>
    </row>
    <row r="21" spans="1:15" ht="15" thickBot="1" x14ac:dyDescent="0.35">
      <c r="A21" s="2"/>
      <c r="B21" s="2"/>
      <c r="C21" s="3"/>
      <c r="D21" s="4"/>
      <c r="K21" t="e">
        <f t="shared" si="0"/>
        <v>#VALUE!</v>
      </c>
      <c r="L21" t="e">
        <f t="shared" si="1"/>
        <v>#VALUE!</v>
      </c>
      <c r="N21" t="e">
        <f t="shared" si="2"/>
        <v>#VALUE!</v>
      </c>
      <c r="O21" t="e">
        <f t="shared" si="3"/>
        <v>#VALUE!</v>
      </c>
    </row>
    <row r="22" spans="1:15" ht="15" thickBot="1" x14ac:dyDescent="0.35">
      <c r="A22" s="2"/>
      <c r="B22" s="2"/>
      <c r="C22" s="3"/>
      <c r="D22" s="4"/>
      <c r="K22" t="e">
        <f t="shared" si="0"/>
        <v>#VALUE!</v>
      </c>
      <c r="L22" t="e">
        <f t="shared" si="1"/>
        <v>#VALUE!</v>
      </c>
      <c r="N22" t="e">
        <f t="shared" si="2"/>
        <v>#VALUE!</v>
      </c>
      <c r="O22" t="e">
        <f t="shared" si="3"/>
        <v>#VALUE!</v>
      </c>
    </row>
    <row r="23" spans="1:15" ht="15" thickBot="1" x14ac:dyDescent="0.35">
      <c r="A23" s="2"/>
      <c r="B23" s="2"/>
      <c r="C23" s="3"/>
      <c r="D23" s="4"/>
      <c r="K23" t="e">
        <f t="shared" si="0"/>
        <v>#VALUE!</v>
      </c>
      <c r="L23" t="e">
        <f t="shared" si="1"/>
        <v>#VALUE!</v>
      </c>
      <c r="N23" t="e">
        <f t="shared" si="2"/>
        <v>#VALUE!</v>
      </c>
      <c r="O23" t="e">
        <f t="shared" si="3"/>
        <v>#VALUE!</v>
      </c>
    </row>
    <row r="24" spans="1:15" ht="15" thickBot="1" x14ac:dyDescent="0.35">
      <c r="A24" s="2"/>
      <c r="B24" s="2"/>
      <c r="C24" s="3"/>
      <c r="D24" s="4"/>
      <c r="K24" t="e">
        <f t="shared" si="0"/>
        <v>#VALUE!</v>
      </c>
      <c r="L24" t="e">
        <f t="shared" si="1"/>
        <v>#VALUE!</v>
      </c>
      <c r="N24" t="e">
        <f t="shared" si="2"/>
        <v>#VALUE!</v>
      </c>
      <c r="O24" t="e">
        <f t="shared" si="3"/>
        <v>#VALUE!</v>
      </c>
    </row>
    <row r="25" spans="1:15" ht="15" thickBot="1" x14ac:dyDescent="0.35">
      <c r="A25" s="2"/>
      <c r="B25" s="2"/>
      <c r="C25" s="3"/>
      <c r="D25" s="4"/>
      <c r="K25" t="e">
        <f t="shared" si="0"/>
        <v>#VALUE!</v>
      </c>
      <c r="L25" t="e">
        <f t="shared" si="1"/>
        <v>#VALUE!</v>
      </c>
      <c r="N25" t="e">
        <f t="shared" si="2"/>
        <v>#VALUE!</v>
      </c>
      <c r="O25" t="e">
        <f t="shared" si="3"/>
        <v>#VALUE!</v>
      </c>
    </row>
    <row r="26" spans="1:15" ht="15" thickBot="1" x14ac:dyDescent="0.35">
      <c r="A26" s="2"/>
      <c r="B26" s="2"/>
      <c r="C26" s="3"/>
      <c r="D26" s="4"/>
      <c r="K26" t="e">
        <f t="shared" si="0"/>
        <v>#VALUE!</v>
      </c>
      <c r="L26" t="e">
        <f t="shared" si="1"/>
        <v>#VALUE!</v>
      </c>
      <c r="N26" t="e">
        <f t="shared" si="2"/>
        <v>#VALUE!</v>
      </c>
      <c r="O26" t="e">
        <f t="shared" si="3"/>
        <v>#VALUE!</v>
      </c>
    </row>
    <row r="27" spans="1:15" ht="15" thickBot="1" x14ac:dyDescent="0.35">
      <c r="A27" s="2"/>
      <c r="B27" s="2"/>
      <c r="C27" s="3"/>
      <c r="D27" s="4"/>
      <c r="K27" t="e">
        <f t="shared" si="0"/>
        <v>#VALUE!</v>
      </c>
      <c r="L27" t="e">
        <f t="shared" si="1"/>
        <v>#VALUE!</v>
      </c>
      <c r="N27" t="e">
        <f t="shared" si="2"/>
        <v>#VALUE!</v>
      </c>
      <c r="O27" t="e">
        <f t="shared" si="3"/>
        <v>#VALUE!</v>
      </c>
    </row>
    <row r="28" spans="1:15" ht="15" thickBot="1" x14ac:dyDescent="0.35">
      <c r="A28" s="2"/>
      <c r="B28" s="2"/>
      <c r="C28" s="3"/>
      <c r="D28" s="4"/>
      <c r="K28" t="e">
        <f t="shared" si="0"/>
        <v>#VALUE!</v>
      </c>
      <c r="L28" t="e">
        <f t="shared" si="1"/>
        <v>#VALUE!</v>
      </c>
      <c r="N28" t="e">
        <f t="shared" si="2"/>
        <v>#VALUE!</v>
      </c>
      <c r="O28" t="e">
        <f t="shared" si="3"/>
        <v>#VALUE!</v>
      </c>
    </row>
    <row r="29" spans="1:15" ht="15" thickBot="1" x14ac:dyDescent="0.35">
      <c r="A29" s="2"/>
      <c r="B29" s="2"/>
      <c r="C29" s="3"/>
      <c r="D29" s="4"/>
      <c r="K29" t="e">
        <f t="shared" si="0"/>
        <v>#VALUE!</v>
      </c>
      <c r="L29" t="e">
        <f t="shared" si="1"/>
        <v>#VALUE!</v>
      </c>
      <c r="N29" t="e">
        <f t="shared" si="2"/>
        <v>#VALUE!</v>
      </c>
      <c r="O29" t="e">
        <f t="shared" si="3"/>
        <v>#VALUE!</v>
      </c>
    </row>
    <row r="30" spans="1:15" ht="15" thickBot="1" x14ac:dyDescent="0.35">
      <c r="A30" s="2"/>
      <c r="B30" s="2"/>
      <c r="C30" s="3"/>
      <c r="D30" s="4"/>
      <c r="K30" t="e">
        <f t="shared" si="0"/>
        <v>#VALUE!</v>
      </c>
      <c r="L30" t="e">
        <f t="shared" si="1"/>
        <v>#VALUE!</v>
      </c>
      <c r="N30" t="e">
        <f t="shared" si="2"/>
        <v>#VALUE!</v>
      </c>
      <c r="O30" t="e">
        <f t="shared" si="3"/>
        <v>#VALUE!</v>
      </c>
    </row>
    <row r="31" spans="1:15" ht="15" thickBot="1" x14ac:dyDescent="0.35">
      <c r="A31" s="2"/>
      <c r="B31" s="2"/>
      <c r="C31" s="3"/>
      <c r="D31" s="4"/>
      <c r="K31" t="e">
        <f t="shared" si="0"/>
        <v>#VALUE!</v>
      </c>
      <c r="L31" t="e">
        <f t="shared" si="1"/>
        <v>#VALUE!</v>
      </c>
      <c r="N31" t="e">
        <f t="shared" si="2"/>
        <v>#VALUE!</v>
      </c>
      <c r="O31" t="e">
        <f t="shared" si="3"/>
        <v>#VALUE!</v>
      </c>
    </row>
    <row r="32" spans="1:15" ht="15" thickBot="1" x14ac:dyDescent="0.35">
      <c r="A32" s="2"/>
      <c r="B32" s="2"/>
      <c r="C32" s="3"/>
      <c r="D32" s="4"/>
      <c r="K32" t="e">
        <f t="shared" si="0"/>
        <v>#VALUE!</v>
      </c>
      <c r="L32" t="e">
        <f t="shared" si="1"/>
        <v>#VALUE!</v>
      </c>
      <c r="N32" t="e">
        <f t="shared" si="2"/>
        <v>#VALUE!</v>
      </c>
      <c r="O32" t="e">
        <f t="shared" si="3"/>
        <v>#VALUE!</v>
      </c>
    </row>
    <row r="33" spans="1:15" ht="15" thickBot="1" x14ac:dyDescent="0.35">
      <c r="A33" s="2"/>
      <c r="B33" s="2"/>
      <c r="C33" s="3"/>
      <c r="D33" s="4"/>
      <c r="K33" t="e">
        <f t="shared" si="0"/>
        <v>#VALUE!</v>
      </c>
      <c r="L33" t="e">
        <f t="shared" si="1"/>
        <v>#VALUE!</v>
      </c>
      <c r="N33" t="e">
        <f t="shared" si="2"/>
        <v>#VALUE!</v>
      </c>
      <c r="O33" t="e">
        <f t="shared" si="3"/>
        <v>#VALUE!</v>
      </c>
    </row>
    <row r="34" spans="1:15" ht="15" thickBot="1" x14ac:dyDescent="0.35">
      <c r="A34" s="2"/>
      <c r="B34" s="2"/>
      <c r="C34" s="3"/>
      <c r="D34" s="4"/>
      <c r="K34" t="e">
        <f t="shared" si="0"/>
        <v>#VALUE!</v>
      </c>
      <c r="L34" t="e">
        <f t="shared" si="1"/>
        <v>#VALUE!</v>
      </c>
      <c r="N34" t="e">
        <f t="shared" si="2"/>
        <v>#VALUE!</v>
      </c>
      <c r="O34" t="e">
        <f t="shared" si="3"/>
        <v>#VALUE!</v>
      </c>
    </row>
    <row r="35" spans="1:15" ht="15" thickBot="1" x14ac:dyDescent="0.35">
      <c r="A35" s="2"/>
      <c r="B35" s="2"/>
      <c r="C35" s="3"/>
      <c r="D35" s="4"/>
      <c r="K35" t="e">
        <f t="shared" si="0"/>
        <v>#VALUE!</v>
      </c>
      <c r="L35" t="e">
        <f t="shared" si="1"/>
        <v>#VALUE!</v>
      </c>
      <c r="N35" t="e">
        <f t="shared" si="2"/>
        <v>#VALUE!</v>
      </c>
      <c r="O35" t="e">
        <f t="shared" si="3"/>
        <v>#VALUE!</v>
      </c>
    </row>
    <row r="36" spans="1:15" ht="15" thickBot="1" x14ac:dyDescent="0.35">
      <c r="A36" s="2"/>
      <c r="B36" s="2"/>
      <c r="C36" s="3"/>
      <c r="D36" s="4"/>
      <c r="K36" t="e">
        <f t="shared" si="0"/>
        <v>#VALUE!</v>
      </c>
      <c r="L36" t="e">
        <f t="shared" si="1"/>
        <v>#VALUE!</v>
      </c>
      <c r="N36" t="e">
        <f t="shared" si="2"/>
        <v>#VALUE!</v>
      </c>
      <c r="O36" t="e">
        <f t="shared" si="3"/>
        <v>#VALUE!</v>
      </c>
    </row>
    <row r="37" spans="1:15" ht="15" thickBot="1" x14ac:dyDescent="0.35">
      <c r="A37" s="2"/>
      <c r="B37" s="2"/>
      <c r="C37" s="3"/>
      <c r="D37" s="4"/>
      <c r="K37" t="e">
        <f t="shared" si="0"/>
        <v>#VALUE!</v>
      </c>
      <c r="L37" t="e">
        <f t="shared" si="1"/>
        <v>#VALUE!</v>
      </c>
      <c r="N37" t="e">
        <f t="shared" si="2"/>
        <v>#VALUE!</v>
      </c>
      <c r="O37" t="e">
        <f t="shared" si="3"/>
        <v>#VALUE!</v>
      </c>
    </row>
    <row r="38" spans="1:15" ht="15" thickBot="1" x14ac:dyDescent="0.35">
      <c r="A38" s="2"/>
      <c r="B38" s="2"/>
      <c r="C38" s="3"/>
      <c r="D38" s="4"/>
      <c r="K38" t="e">
        <f t="shared" si="0"/>
        <v>#VALUE!</v>
      </c>
      <c r="L38" t="e">
        <f t="shared" si="1"/>
        <v>#VALUE!</v>
      </c>
      <c r="N38" t="e">
        <f t="shared" si="2"/>
        <v>#VALUE!</v>
      </c>
      <c r="O38" t="e">
        <f t="shared" si="3"/>
        <v>#VALUE!</v>
      </c>
    </row>
    <row r="39" spans="1:15" ht="15" thickBot="1" x14ac:dyDescent="0.35">
      <c r="A39" s="2"/>
      <c r="B39" s="2"/>
      <c r="C39" s="3"/>
      <c r="D39" s="4"/>
      <c r="K39" t="e">
        <f t="shared" si="0"/>
        <v>#VALUE!</v>
      </c>
      <c r="L39" t="e">
        <f t="shared" si="1"/>
        <v>#VALUE!</v>
      </c>
      <c r="N39" t="e">
        <f t="shared" si="2"/>
        <v>#VALUE!</v>
      </c>
      <c r="O39" t="e">
        <f t="shared" si="3"/>
        <v>#VALUE!</v>
      </c>
    </row>
    <row r="40" spans="1:15" ht="15" thickBot="1" x14ac:dyDescent="0.35">
      <c r="A40" s="2"/>
      <c r="B40" s="2"/>
      <c r="C40" s="3"/>
      <c r="D40" s="4"/>
      <c r="K40" t="e">
        <f t="shared" si="0"/>
        <v>#VALUE!</v>
      </c>
      <c r="L40" t="e">
        <f t="shared" si="1"/>
        <v>#VALUE!</v>
      </c>
      <c r="N40" t="e">
        <f t="shared" si="2"/>
        <v>#VALUE!</v>
      </c>
      <c r="O40" t="e">
        <f t="shared" si="3"/>
        <v>#VALUE!</v>
      </c>
    </row>
    <row r="41" spans="1:15" ht="15" thickBot="1" x14ac:dyDescent="0.35">
      <c r="A41" s="2"/>
      <c r="B41" s="2"/>
      <c r="C41" s="3"/>
      <c r="D41" s="4"/>
      <c r="K41" t="e">
        <f t="shared" si="0"/>
        <v>#VALUE!</v>
      </c>
      <c r="L41" t="e">
        <f t="shared" si="1"/>
        <v>#VALUE!</v>
      </c>
      <c r="N41" t="e">
        <f t="shared" si="2"/>
        <v>#VALUE!</v>
      </c>
      <c r="O41" t="e">
        <f t="shared" si="3"/>
        <v>#VALUE!</v>
      </c>
    </row>
    <row r="42" spans="1:15" ht="15" thickBot="1" x14ac:dyDescent="0.35">
      <c r="A42" s="2"/>
      <c r="B42" s="2"/>
      <c r="C42" s="3"/>
      <c r="D42" s="4"/>
      <c r="K42" t="e">
        <f t="shared" si="0"/>
        <v>#VALUE!</v>
      </c>
      <c r="L42" t="e">
        <f t="shared" si="1"/>
        <v>#VALUE!</v>
      </c>
      <c r="N42" t="e">
        <f t="shared" si="2"/>
        <v>#VALUE!</v>
      </c>
      <c r="O42" t="e">
        <f t="shared" si="3"/>
        <v>#VALUE!</v>
      </c>
    </row>
    <row r="43" spans="1:15" ht="15" thickBot="1" x14ac:dyDescent="0.35">
      <c r="A43" s="2"/>
      <c r="B43" s="2"/>
      <c r="C43" s="3"/>
      <c r="D43" s="4"/>
      <c r="K43" t="e">
        <f t="shared" si="0"/>
        <v>#VALUE!</v>
      </c>
      <c r="L43" t="e">
        <f t="shared" si="1"/>
        <v>#VALUE!</v>
      </c>
      <c r="N43" t="e">
        <f t="shared" si="2"/>
        <v>#VALUE!</v>
      </c>
      <c r="O43" t="e">
        <f t="shared" si="3"/>
        <v>#VALUE!</v>
      </c>
    </row>
    <row r="44" spans="1:15" ht="15" thickBot="1" x14ac:dyDescent="0.35">
      <c r="A44" s="2"/>
      <c r="B44" s="2"/>
      <c r="C44" s="3"/>
      <c r="D44" s="4"/>
      <c r="K44" t="e">
        <f t="shared" si="0"/>
        <v>#VALUE!</v>
      </c>
      <c r="L44" t="e">
        <f t="shared" si="1"/>
        <v>#VALUE!</v>
      </c>
      <c r="N44" t="e">
        <f t="shared" si="2"/>
        <v>#VALUE!</v>
      </c>
      <c r="O44" t="e">
        <f t="shared" si="3"/>
        <v>#VALUE!</v>
      </c>
    </row>
    <row r="45" spans="1:15" ht="15" thickBot="1" x14ac:dyDescent="0.35">
      <c r="A45" s="2"/>
      <c r="B45" s="2"/>
      <c r="C45" s="3"/>
      <c r="D45" s="4"/>
      <c r="K45" t="e">
        <f t="shared" si="0"/>
        <v>#VALUE!</v>
      </c>
      <c r="L45" t="e">
        <f t="shared" si="1"/>
        <v>#VALUE!</v>
      </c>
      <c r="N45" t="e">
        <f t="shared" si="2"/>
        <v>#VALUE!</v>
      </c>
      <c r="O45" t="e">
        <f t="shared" si="3"/>
        <v>#VALUE!</v>
      </c>
    </row>
    <row r="46" spans="1:15" ht="15" thickBot="1" x14ac:dyDescent="0.35">
      <c r="A46" s="2"/>
      <c r="B46" s="2"/>
      <c r="C46" s="3"/>
      <c r="D46" s="4"/>
      <c r="K46" t="e">
        <f t="shared" si="0"/>
        <v>#VALUE!</v>
      </c>
      <c r="L46" t="e">
        <f t="shared" si="1"/>
        <v>#VALUE!</v>
      </c>
      <c r="N46" t="e">
        <f t="shared" si="2"/>
        <v>#VALUE!</v>
      </c>
      <c r="O46" t="e">
        <f t="shared" si="3"/>
        <v>#VALUE!</v>
      </c>
    </row>
    <row r="47" spans="1:15" ht="15" thickBot="1" x14ac:dyDescent="0.35">
      <c r="A47" s="2"/>
      <c r="B47" s="2"/>
      <c r="C47" s="3"/>
      <c r="D47" s="4"/>
      <c r="K47" t="e">
        <f t="shared" si="0"/>
        <v>#VALUE!</v>
      </c>
      <c r="L47" t="e">
        <f t="shared" si="1"/>
        <v>#VALUE!</v>
      </c>
      <c r="N47" t="e">
        <f t="shared" si="2"/>
        <v>#VALUE!</v>
      </c>
      <c r="O47" t="e">
        <f t="shared" si="3"/>
        <v>#VALUE!</v>
      </c>
    </row>
    <row r="48" spans="1:15" x14ac:dyDescent="0.3">
      <c r="A48" s="2"/>
      <c r="B48" s="2"/>
      <c r="C48" s="3"/>
      <c r="D48" s="4"/>
      <c r="K48" t="e">
        <f t="shared" si="0"/>
        <v>#VALUE!</v>
      </c>
      <c r="L48" t="e">
        <f t="shared" si="1"/>
        <v>#VALUE!</v>
      </c>
      <c r="N48" t="e">
        <f t="shared" si="2"/>
        <v>#VALUE!</v>
      </c>
      <c r="O48" t="e">
        <f t="shared" si="3"/>
        <v>#VALUE!</v>
      </c>
    </row>
  </sheetData>
  <autoFilter ref="A1:R1">
    <sortState ref="A2:R48">
      <sortCondition ref="N1"/>
    </sortState>
  </autoFilter>
  <hyperlinks>
    <hyperlink ref="A2" r:id="rId1" display="https://competicion.ftm.es/app/jugador/historial/10766543/3507/torneos.mensual/2"/>
    <hyperlink ref="B2" r:id="rId2" display="https://competicion.ftm.es/app/jugador/historial/10766543/3507/torneos.mensual/2"/>
    <hyperlink ref="A3" r:id="rId3" display="https://competicion.ftm.es/app/jugador/historial/10765884/3507/torneos.mensual/2"/>
    <hyperlink ref="B3" r:id="rId4" display="https://competicion.ftm.es/app/jugador/historial/10765884/3507/torneos.mensual/2"/>
    <hyperlink ref="A4" r:id="rId5" display="https://competicion.ftm.es/app/jugador/historial/10266907/3507/torneos.mensual/2"/>
    <hyperlink ref="B4" r:id="rId6" display="https://competicion.ftm.es/app/jugador/historial/10266907/3507/torneos.mensual/2"/>
    <hyperlink ref="A5" r:id="rId7" display="https://competicion.ftm.es/app/jugador/historial/10357326/3507/torneos.mensual/2"/>
    <hyperlink ref="B5" r:id="rId8" display="https://competicion.ftm.es/app/jugador/historial/10357326/3507/torneos.mensual/2"/>
    <hyperlink ref="A6" r:id="rId9" display="https://competicion.ftm.es/app/jugador/historial/10774679/3507/torneos.mensual/2"/>
    <hyperlink ref="B6" r:id="rId10" display="https://competicion.ftm.es/app/jugador/historial/10774679/3507/torneos.mensual/2"/>
    <hyperlink ref="A7" r:id="rId11" display="https://competicion.ftm.es/app/jugador/historial/10621466/3507/torneos.mensual/2"/>
    <hyperlink ref="B7" r:id="rId12" display="https://competicion.ftm.es/app/jugador/historial/10621466/3507/torneos.mensual/2"/>
    <hyperlink ref="A8" r:id="rId13" display="https://competicion.ftm.es/app/jugador/historial/07029368/3507/torneos.mensual/2"/>
    <hyperlink ref="B8" r:id="rId14" display="https://competicion.ftm.es/app/jugador/historial/07029368/3507/torneos.mensual/2"/>
    <hyperlink ref="A9" r:id="rId15" display="https://competicion.ftm.es/app/jugador/historial/01733006/3507/torneos.mensual/2"/>
    <hyperlink ref="B9" r:id="rId16" display="https://competicion.ftm.es/app/jugador/historial/01733006/3507/torneos.mensual/2"/>
    <hyperlink ref="A10" r:id="rId17" display="https://competicion.ftm.es/app/jugador/historial/10411693/3507/torneos.mensual/2"/>
    <hyperlink ref="B10" r:id="rId18" display="https://competicion.ftm.es/app/jugador/historial/10411693/3507/torneos.mensual/2"/>
    <hyperlink ref="A11" r:id="rId19" display="https://competicion.ftm.es/app/jugador/historial/10765404/3507/torneos.mensual/2"/>
    <hyperlink ref="B11" r:id="rId20" display="https://competicion.ftm.es/app/jugador/historial/10765404/3507/torneos.mensual/2"/>
    <hyperlink ref="A12" r:id="rId21" display="https://competicion.ftm.es/app/jugador/historial/10428317/3507/torneos.mensual/2"/>
    <hyperlink ref="B12" r:id="rId22" display="https://competicion.ftm.es/app/jugador/historial/10428317/3507/torneos.mensual/2"/>
    <hyperlink ref="A13" r:id="rId23" display="https://competicion.ftm.es/app/jugador/historial/10771310/3507/torneos.mensual/2"/>
    <hyperlink ref="B13" r:id="rId24" display="https://competicion.ftm.es/app/jugador/historial/10771310/3507/torneos.mensual/2"/>
    <hyperlink ref="A14" r:id="rId25" display="https://competicion.ftm.es/app/jugador/historial/10081610/3507/torneos.mensual/2"/>
    <hyperlink ref="B14" r:id="rId26" display="https://competicion.ftm.es/app/jugador/historial/10081610/3507/torneos.mensual/2"/>
    <hyperlink ref="A15" r:id="rId27" display="https://competicion.ftm.es/app/jugador/historial/10771097/3507/torneos.mensual/2"/>
    <hyperlink ref="B15" r:id="rId28" display="https://competicion.ftm.es/app/jugador/historial/10771097/3507/torneos.mensual/2"/>
    <hyperlink ref="A16" r:id="rId29" display="https://competicion.ftm.es/app/jugador/historial/10112077/3507/torneos.mensual/2"/>
    <hyperlink ref="B16" r:id="rId30" display="https://competicion.ftm.es/app/jugador/historial/10112077/3507/torneos.mensual/2"/>
    <hyperlink ref="A17" r:id="rId31" display="https://competicion.ftm.es/app/jugador/historial/10777425/3507/torneos.mensual/2"/>
    <hyperlink ref="B17" r:id="rId32" display="https://competicion.ftm.es/app/jugador/historial/10777425/3507/torneos.mensual/2"/>
    <hyperlink ref="A18" r:id="rId33" display="https://competicion.ftm.es/app/jugador/historial/10772821/3507/torneos.mensual/2"/>
    <hyperlink ref="B18" r:id="rId34" display="https://competicion.ftm.es/app/jugador/historial/10772821/3507/torneos.mensual/2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"/>
  <sheetViews>
    <sheetView topLeftCell="C1" workbookViewId="0">
      <selection activeCell="N2" sqref="N2:O12"/>
    </sheetView>
  </sheetViews>
  <sheetFormatPr baseColWidth="10" defaultRowHeight="14.4" x14ac:dyDescent="0.3"/>
  <cols>
    <col min="2" max="2" width="51.44140625" customWidth="1"/>
    <col min="7" max="7" width="30.88671875" bestFit="1" customWidth="1"/>
    <col min="8" max="8" width="11.5546875" style="5"/>
    <col min="10" max="10" width="6.21875" customWidth="1"/>
    <col min="13" max="13" width="4.44140625" customWidth="1"/>
    <col min="14" max="14" width="17.88671875" bestFit="1" customWidth="1"/>
  </cols>
  <sheetData>
    <row r="1" spans="1:18" ht="15" thickBot="1" x14ac:dyDescent="0.35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s="5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  <c r="R1" t="s">
        <v>84</v>
      </c>
    </row>
    <row r="2" spans="1:18" ht="15" thickBot="1" x14ac:dyDescent="0.35">
      <c r="A2" s="2">
        <v>10058320</v>
      </c>
      <c r="B2" s="2" t="s">
        <v>91</v>
      </c>
      <c r="C2" s="3">
        <v>35899</v>
      </c>
      <c r="D2" s="4">
        <v>0</v>
      </c>
      <c r="F2">
        <v>10058320</v>
      </c>
      <c r="G2" t="s">
        <v>91</v>
      </c>
      <c r="H2" s="5">
        <v>35899</v>
      </c>
      <c r="I2">
        <v>0</v>
      </c>
      <c r="K2" t="e">
        <f>TRIM(LEFT(G2,FIND("-",G2)-1))</f>
        <v>#VALUE!</v>
      </c>
      <c r="L2" t="e">
        <f>TRIM(MID(G2,LEN(K2)+3,40))</f>
        <v>#VALUE!</v>
      </c>
      <c r="N2" t="str">
        <f>MID(G2,LEN(O2)+2,40)</f>
        <v>Cartagena</v>
      </c>
      <c r="O2" t="str">
        <f>TRIM(LEFT(G2,FIND(" ",G2)))</f>
        <v>Carlota</v>
      </c>
    </row>
    <row r="3" spans="1:18" ht="15" thickBot="1" x14ac:dyDescent="0.35">
      <c r="A3" s="2">
        <v>10771328</v>
      </c>
      <c r="B3" s="2" t="s">
        <v>92</v>
      </c>
      <c r="C3" s="3">
        <v>30245</v>
      </c>
      <c r="D3" s="4">
        <v>0</v>
      </c>
      <c r="F3">
        <v>10771328</v>
      </c>
      <c r="G3" t="s">
        <v>92</v>
      </c>
      <c r="H3" s="5">
        <v>30245</v>
      </c>
      <c r="I3">
        <v>0</v>
      </c>
      <c r="K3" t="e">
        <f t="shared" ref="K3:K48" si="0">TRIM(LEFT(G3,FIND("-",G3)-1))</f>
        <v>#VALUE!</v>
      </c>
      <c r="L3" t="e">
        <f t="shared" ref="L3:L48" si="1">TRIM(MID(G3,LEN(K3)+3,40))</f>
        <v>#VALUE!</v>
      </c>
      <c r="N3" t="str">
        <f t="shared" ref="N3:N48" si="2">MID(G3,LEN(O3)+2,40)</f>
        <v>Jose Prieto Martinez</v>
      </c>
      <c r="O3" t="str">
        <f t="shared" ref="O3:O48" si="3">TRIM(LEFT(G3,FIND(" ",G3)))</f>
        <v>Maria</v>
      </c>
    </row>
    <row r="4" spans="1:18" ht="15" thickBot="1" x14ac:dyDescent="0.35">
      <c r="A4" s="2">
        <v>10498716</v>
      </c>
      <c r="B4" s="2" t="s">
        <v>93</v>
      </c>
      <c r="C4" s="3">
        <v>29925</v>
      </c>
      <c r="D4" s="4">
        <v>0</v>
      </c>
      <c r="F4">
        <v>10498716</v>
      </c>
      <c r="G4" t="s">
        <v>93</v>
      </c>
      <c r="H4" s="5">
        <v>29925</v>
      </c>
      <c r="I4">
        <v>0</v>
      </c>
      <c r="K4" t="e">
        <f t="shared" si="0"/>
        <v>#VALUE!</v>
      </c>
      <c r="L4" t="e">
        <f t="shared" si="1"/>
        <v>#VALUE!</v>
      </c>
      <c r="N4" t="str">
        <f t="shared" si="2"/>
        <v>Ynclan Pajares</v>
      </c>
      <c r="O4" t="str">
        <f t="shared" si="3"/>
        <v>Alejandra</v>
      </c>
    </row>
    <row r="5" spans="1:18" ht="15" thickBot="1" x14ac:dyDescent="0.35">
      <c r="A5" s="2">
        <v>10640755</v>
      </c>
      <c r="B5" s="2" t="s">
        <v>94</v>
      </c>
      <c r="C5" s="3">
        <v>41241</v>
      </c>
      <c r="D5" s="4">
        <v>0</v>
      </c>
      <c r="F5">
        <v>10640755</v>
      </c>
      <c r="G5" t="s">
        <v>94</v>
      </c>
      <c r="H5" s="5">
        <v>41241</v>
      </c>
      <c r="I5">
        <v>0</v>
      </c>
      <c r="K5" t="e">
        <f t="shared" si="0"/>
        <v>#VALUE!</v>
      </c>
      <c r="L5" t="e">
        <f t="shared" si="1"/>
        <v>#VALUE!</v>
      </c>
      <c r="N5" t="str">
        <f t="shared" si="2"/>
        <v>Calvo Lopez</v>
      </c>
      <c r="O5" t="str">
        <f t="shared" si="3"/>
        <v>Valeria</v>
      </c>
    </row>
    <row r="6" spans="1:18" ht="15" thickBot="1" x14ac:dyDescent="0.35">
      <c r="A6" s="2">
        <v>5830585</v>
      </c>
      <c r="B6" s="2" t="s">
        <v>95</v>
      </c>
      <c r="C6" s="3">
        <v>34365</v>
      </c>
      <c r="D6" s="4">
        <v>0</v>
      </c>
      <c r="F6">
        <v>5830585</v>
      </c>
      <c r="G6" t="s">
        <v>95</v>
      </c>
      <c r="H6" s="5">
        <v>34365</v>
      </c>
      <c r="I6">
        <v>0</v>
      </c>
      <c r="K6" t="e">
        <f t="shared" si="0"/>
        <v>#VALUE!</v>
      </c>
      <c r="L6" t="e">
        <f t="shared" si="1"/>
        <v>#VALUE!</v>
      </c>
      <c r="N6" t="str">
        <f t="shared" si="2"/>
        <v>Molero Lorenzo</v>
      </c>
      <c r="O6" t="str">
        <f t="shared" si="3"/>
        <v>Rebeca</v>
      </c>
    </row>
    <row r="7" spans="1:18" ht="15" thickBot="1" x14ac:dyDescent="0.35">
      <c r="A7" s="2">
        <v>10772631</v>
      </c>
      <c r="B7" s="2" t="s">
        <v>96</v>
      </c>
      <c r="C7" s="3">
        <v>37293</v>
      </c>
      <c r="D7" s="4">
        <v>0</v>
      </c>
      <c r="F7">
        <v>10772631</v>
      </c>
      <c r="G7" t="s">
        <v>96</v>
      </c>
      <c r="H7" s="5">
        <v>37293</v>
      </c>
      <c r="I7">
        <v>0</v>
      </c>
      <c r="K7" t="e">
        <f t="shared" si="0"/>
        <v>#VALUE!</v>
      </c>
      <c r="L7" t="e">
        <f t="shared" si="1"/>
        <v>#VALUE!</v>
      </c>
      <c r="N7" t="str">
        <f t="shared" si="2"/>
        <v>Ibañez Cavanillas</v>
      </c>
      <c r="O7" t="str">
        <f t="shared" si="3"/>
        <v>Celia</v>
      </c>
    </row>
    <row r="8" spans="1:18" ht="15" thickBot="1" x14ac:dyDescent="0.35">
      <c r="A8" s="2">
        <v>10771500</v>
      </c>
      <c r="B8" s="2" t="s">
        <v>97</v>
      </c>
      <c r="C8" s="3">
        <v>30909</v>
      </c>
      <c r="D8" s="4">
        <v>0</v>
      </c>
      <c r="F8">
        <v>10771500</v>
      </c>
      <c r="G8" t="s">
        <v>97</v>
      </c>
      <c r="H8" s="5">
        <v>30909</v>
      </c>
      <c r="I8">
        <v>0</v>
      </c>
      <c r="K8" t="e">
        <f t="shared" si="0"/>
        <v>#VALUE!</v>
      </c>
      <c r="L8" t="e">
        <f t="shared" si="1"/>
        <v>#VALUE!</v>
      </c>
      <c r="N8" t="str">
        <f t="shared" si="2"/>
        <v>Adamska</v>
      </c>
      <c r="O8" t="str">
        <f t="shared" si="3"/>
        <v>Anna</v>
      </c>
    </row>
    <row r="9" spans="1:18" ht="15" thickBot="1" x14ac:dyDescent="0.35">
      <c r="A9" s="2">
        <v>10768911</v>
      </c>
      <c r="B9" s="2" t="s">
        <v>98</v>
      </c>
      <c r="C9" s="3">
        <v>32449</v>
      </c>
      <c r="D9" s="4">
        <v>0</v>
      </c>
      <c r="F9">
        <v>10768911</v>
      </c>
      <c r="G9" t="s">
        <v>98</v>
      </c>
      <c r="H9" s="5">
        <v>32449</v>
      </c>
      <c r="I9">
        <v>0</v>
      </c>
      <c r="K9" t="e">
        <f t="shared" si="0"/>
        <v>#VALUE!</v>
      </c>
      <c r="L9" t="e">
        <f t="shared" si="1"/>
        <v>#VALUE!</v>
      </c>
      <c r="N9" t="str">
        <f t="shared" si="2"/>
        <v>Cardo Rodriguez</v>
      </c>
      <c r="O9" t="str">
        <f t="shared" si="3"/>
        <v>Rocio</v>
      </c>
    </row>
    <row r="10" spans="1:18" ht="15" thickBot="1" x14ac:dyDescent="0.35">
      <c r="A10" s="2">
        <v>10774794</v>
      </c>
      <c r="B10" s="2" t="s">
        <v>99</v>
      </c>
      <c r="C10" s="3">
        <v>36849</v>
      </c>
      <c r="D10" s="4">
        <v>0</v>
      </c>
      <c r="F10">
        <v>10774794</v>
      </c>
      <c r="G10" t="s">
        <v>99</v>
      </c>
      <c r="H10" s="5">
        <v>36849</v>
      </c>
      <c r="I10">
        <v>0</v>
      </c>
      <c r="K10" t="e">
        <f t="shared" si="0"/>
        <v>#VALUE!</v>
      </c>
      <c r="L10" t="e">
        <f t="shared" si="1"/>
        <v>#VALUE!</v>
      </c>
      <c r="N10" t="str">
        <f t="shared" si="2"/>
        <v>Silvestre Garcia</v>
      </c>
      <c r="O10" t="str">
        <f t="shared" si="3"/>
        <v>Sara</v>
      </c>
    </row>
    <row r="11" spans="1:18" ht="15" thickBot="1" x14ac:dyDescent="0.35">
      <c r="A11" s="2">
        <v>10771584</v>
      </c>
      <c r="B11" s="2" t="s">
        <v>100</v>
      </c>
      <c r="C11" s="3">
        <v>36626</v>
      </c>
      <c r="D11" s="4">
        <v>0</v>
      </c>
      <c r="F11">
        <v>10771584</v>
      </c>
      <c r="G11" t="s">
        <v>100</v>
      </c>
      <c r="H11" s="5">
        <v>36626</v>
      </c>
      <c r="I11">
        <v>0</v>
      </c>
      <c r="K11" t="e">
        <f t="shared" si="0"/>
        <v>#VALUE!</v>
      </c>
      <c r="L11" t="e">
        <f t="shared" si="1"/>
        <v>#VALUE!</v>
      </c>
      <c r="N11" t="str">
        <f t="shared" si="2"/>
        <v>Castillo Erustes</v>
      </c>
      <c r="O11" t="str">
        <f t="shared" si="3"/>
        <v>Teresa</v>
      </c>
    </row>
    <row r="12" spans="1:18" ht="15" thickBot="1" x14ac:dyDescent="0.35">
      <c r="A12" s="2">
        <v>10782789</v>
      </c>
      <c r="B12" s="2" t="s">
        <v>101</v>
      </c>
      <c r="C12" s="3">
        <v>27767</v>
      </c>
      <c r="D12" s="4">
        <v>0</v>
      </c>
      <c r="F12">
        <v>10782789</v>
      </c>
      <c r="G12" t="s">
        <v>101</v>
      </c>
      <c r="H12" s="5">
        <v>27767</v>
      </c>
      <c r="I12">
        <v>0</v>
      </c>
      <c r="K12" t="e">
        <f t="shared" si="0"/>
        <v>#VALUE!</v>
      </c>
      <c r="L12" t="e">
        <f t="shared" si="1"/>
        <v>#VALUE!</v>
      </c>
      <c r="N12" t="str">
        <f t="shared" si="2"/>
        <v>Neill</v>
      </c>
      <c r="O12" t="str">
        <f t="shared" si="3"/>
        <v>Julie</v>
      </c>
    </row>
    <row r="13" spans="1:18" ht="15" thickBot="1" x14ac:dyDescent="0.35">
      <c r="A13" s="2"/>
      <c r="B13" s="2"/>
      <c r="C13" s="3"/>
      <c r="D13" s="4"/>
      <c r="K13" t="e">
        <f t="shared" si="0"/>
        <v>#VALUE!</v>
      </c>
      <c r="L13" t="e">
        <f t="shared" si="1"/>
        <v>#VALUE!</v>
      </c>
      <c r="N13" t="e">
        <f t="shared" si="2"/>
        <v>#VALUE!</v>
      </c>
      <c r="O13" t="e">
        <f t="shared" si="3"/>
        <v>#VALUE!</v>
      </c>
    </row>
    <row r="14" spans="1:18" ht="15" thickBot="1" x14ac:dyDescent="0.35">
      <c r="A14" s="2"/>
      <c r="B14" s="2"/>
      <c r="C14" s="3"/>
      <c r="D14" s="4"/>
      <c r="K14" t="e">
        <f t="shared" si="0"/>
        <v>#VALUE!</v>
      </c>
      <c r="L14" t="e">
        <f t="shared" si="1"/>
        <v>#VALUE!</v>
      </c>
      <c r="N14" t="e">
        <f t="shared" si="2"/>
        <v>#VALUE!</v>
      </c>
      <c r="O14" t="e">
        <f t="shared" si="3"/>
        <v>#VALUE!</v>
      </c>
    </row>
    <row r="15" spans="1:18" ht="15" thickBot="1" x14ac:dyDescent="0.35">
      <c r="A15" s="2"/>
      <c r="B15" s="2"/>
      <c r="C15" s="3"/>
      <c r="D15" s="4"/>
      <c r="K15" t="e">
        <f t="shared" si="0"/>
        <v>#VALUE!</v>
      </c>
      <c r="L15" t="e">
        <f t="shared" si="1"/>
        <v>#VALUE!</v>
      </c>
      <c r="N15" t="e">
        <f t="shared" si="2"/>
        <v>#VALUE!</v>
      </c>
      <c r="O15" t="e">
        <f t="shared" si="3"/>
        <v>#VALUE!</v>
      </c>
    </row>
    <row r="16" spans="1:18" ht="15" thickBot="1" x14ac:dyDescent="0.35">
      <c r="A16" s="2"/>
      <c r="B16" s="2"/>
      <c r="C16" s="3"/>
      <c r="D16" s="4"/>
      <c r="K16" t="e">
        <f t="shared" si="0"/>
        <v>#VALUE!</v>
      </c>
      <c r="L16" t="e">
        <f t="shared" si="1"/>
        <v>#VALUE!</v>
      </c>
      <c r="N16" t="e">
        <f t="shared" si="2"/>
        <v>#VALUE!</v>
      </c>
      <c r="O16" t="e">
        <f t="shared" si="3"/>
        <v>#VALUE!</v>
      </c>
    </row>
    <row r="17" spans="1:15" ht="15" thickBot="1" x14ac:dyDescent="0.35">
      <c r="A17" s="2"/>
      <c r="B17" s="2"/>
      <c r="C17" s="3"/>
      <c r="D17" s="4"/>
      <c r="K17" t="e">
        <f t="shared" si="0"/>
        <v>#VALUE!</v>
      </c>
      <c r="L17" t="e">
        <f t="shared" si="1"/>
        <v>#VALUE!</v>
      </c>
      <c r="N17" t="e">
        <f t="shared" si="2"/>
        <v>#VALUE!</v>
      </c>
      <c r="O17" t="e">
        <f t="shared" si="3"/>
        <v>#VALUE!</v>
      </c>
    </row>
    <row r="18" spans="1:15" ht="15" thickBot="1" x14ac:dyDescent="0.35">
      <c r="A18" s="2"/>
      <c r="B18" s="2"/>
      <c r="C18" s="3"/>
      <c r="D18" s="4"/>
      <c r="K18" t="e">
        <f t="shared" si="0"/>
        <v>#VALUE!</v>
      </c>
      <c r="L18" t="e">
        <f t="shared" si="1"/>
        <v>#VALUE!</v>
      </c>
      <c r="N18" t="e">
        <f t="shared" si="2"/>
        <v>#VALUE!</v>
      </c>
      <c r="O18" t="e">
        <f t="shared" si="3"/>
        <v>#VALUE!</v>
      </c>
    </row>
    <row r="19" spans="1:15" ht="15" thickBot="1" x14ac:dyDescent="0.35">
      <c r="A19" s="2"/>
      <c r="B19" s="2"/>
      <c r="C19" s="3"/>
      <c r="D19" s="4"/>
      <c r="K19" t="e">
        <f t="shared" si="0"/>
        <v>#VALUE!</v>
      </c>
      <c r="L19" t="e">
        <f t="shared" si="1"/>
        <v>#VALUE!</v>
      </c>
      <c r="N19" t="e">
        <f t="shared" si="2"/>
        <v>#VALUE!</v>
      </c>
      <c r="O19" t="e">
        <f t="shared" si="3"/>
        <v>#VALUE!</v>
      </c>
    </row>
    <row r="20" spans="1:15" ht="15" thickBot="1" x14ac:dyDescent="0.35">
      <c r="A20" s="2"/>
      <c r="B20" s="2"/>
      <c r="C20" s="3"/>
      <c r="D20" s="4"/>
      <c r="K20" t="e">
        <f t="shared" si="0"/>
        <v>#VALUE!</v>
      </c>
      <c r="L20" t="e">
        <f t="shared" si="1"/>
        <v>#VALUE!</v>
      </c>
      <c r="N20" t="e">
        <f t="shared" si="2"/>
        <v>#VALUE!</v>
      </c>
      <c r="O20" t="e">
        <f t="shared" si="3"/>
        <v>#VALUE!</v>
      </c>
    </row>
    <row r="21" spans="1:15" ht="15" thickBot="1" x14ac:dyDescent="0.35">
      <c r="A21" s="2"/>
      <c r="B21" s="2"/>
      <c r="C21" s="3"/>
      <c r="D21" s="4"/>
      <c r="K21" t="e">
        <f t="shared" si="0"/>
        <v>#VALUE!</v>
      </c>
      <c r="L21" t="e">
        <f t="shared" si="1"/>
        <v>#VALUE!</v>
      </c>
      <c r="N21" t="e">
        <f t="shared" si="2"/>
        <v>#VALUE!</v>
      </c>
      <c r="O21" t="e">
        <f t="shared" si="3"/>
        <v>#VALUE!</v>
      </c>
    </row>
    <row r="22" spans="1:15" ht="15" thickBot="1" x14ac:dyDescent="0.35">
      <c r="A22" s="2"/>
      <c r="B22" s="2"/>
      <c r="C22" s="3"/>
      <c r="D22" s="4"/>
      <c r="K22" t="e">
        <f t="shared" si="0"/>
        <v>#VALUE!</v>
      </c>
      <c r="L22" t="e">
        <f t="shared" si="1"/>
        <v>#VALUE!</v>
      </c>
      <c r="N22" t="e">
        <f t="shared" si="2"/>
        <v>#VALUE!</v>
      </c>
      <c r="O22" t="e">
        <f t="shared" si="3"/>
        <v>#VALUE!</v>
      </c>
    </row>
    <row r="23" spans="1:15" ht="15" thickBot="1" x14ac:dyDescent="0.35">
      <c r="A23" s="2"/>
      <c r="B23" s="2"/>
      <c r="C23" s="3"/>
      <c r="D23" s="4"/>
      <c r="K23" t="e">
        <f t="shared" si="0"/>
        <v>#VALUE!</v>
      </c>
      <c r="L23" t="e">
        <f t="shared" si="1"/>
        <v>#VALUE!</v>
      </c>
      <c r="N23" t="e">
        <f t="shared" si="2"/>
        <v>#VALUE!</v>
      </c>
      <c r="O23" t="e">
        <f t="shared" si="3"/>
        <v>#VALUE!</v>
      </c>
    </row>
    <row r="24" spans="1:15" ht="15" thickBot="1" x14ac:dyDescent="0.35">
      <c r="A24" s="2"/>
      <c r="B24" s="2"/>
      <c r="C24" s="3"/>
      <c r="D24" s="4"/>
      <c r="K24" t="e">
        <f t="shared" si="0"/>
        <v>#VALUE!</v>
      </c>
      <c r="L24" t="e">
        <f t="shared" si="1"/>
        <v>#VALUE!</v>
      </c>
      <c r="N24" t="e">
        <f t="shared" si="2"/>
        <v>#VALUE!</v>
      </c>
      <c r="O24" t="e">
        <f t="shared" si="3"/>
        <v>#VALUE!</v>
      </c>
    </row>
    <row r="25" spans="1:15" ht="15" thickBot="1" x14ac:dyDescent="0.35">
      <c r="A25" s="2"/>
      <c r="B25" s="2"/>
      <c r="C25" s="3"/>
      <c r="D25" s="4"/>
      <c r="K25" t="e">
        <f t="shared" si="0"/>
        <v>#VALUE!</v>
      </c>
      <c r="L25" t="e">
        <f t="shared" si="1"/>
        <v>#VALUE!</v>
      </c>
      <c r="N25" t="e">
        <f t="shared" si="2"/>
        <v>#VALUE!</v>
      </c>
      <c r="O25" t="e">
        <f t="shared" si="3"/>
        <v>#VALUE!</v>
      </c>
    </row>
    <row r="26" spans="1:15" ht="15" thickBot="1" x14ac:dyDescent="0.35">
      <c r="A26" s="2"/>
      <c r="B26" s="2"/>
      <c r="C26" s="3"/>
      <c r="D26" s="4"/>
      <c r="K26" t="e">
        <f t="shared" si="0"/>
        <v>#VALUE!</v>
      </c>
      <c r="L26" t="e">
        <f t="shared" si="1"/>
        <v>#VALUE!</v>
      </c>
      <c r="N26" t="e">
        <f t="shared" si="2"/>
        <v>#VALUE!</v>
      </c>
      <c r="O26" t="e">
        <f t="shared" si="3"/>
        <v>#VALUE!</v>
      </c>
    </row>
    <row r="27" spans="1:15" ht="15" thickBot="1" x14ac:dyDescent="0.35">
      <c r="A27" s="2"/>
      <c r="B27" s="2"/>
      <c r="C27" s="3"/>
      <c r="D27" s="4"/>
      <c r="K27" t="e">
        <f t="shared" si="0"/>
        <v>#VALUE!</v>
      </c>
      <c r="L27" t="e">
        <f t="shared" si="1"/>
        <v>#VALUE!</v>
      </c>
      <c r="N27" t="e">
        <f t="shared" si="2"/>
        <v>#VALUE!</v>
      </c>
      <c r="O27" t="e">
        <f t="shared" si="3"/>
        <v>#VALUE!</v>
      </c>
    </row>
    <row r="28" spans="1:15" ht="15" thickBot="1" x14ac:dyDescent="0.35">
      <c r="A28" s="2"/>
      <c r="B28" s="2"/>
      <c r="C28" s="3"/>
      <c r="D28" s="4"/>
      <c r="K28" t="e">
        <f t="shared" si="0"/>
        <v>#VALUE!</v>
      </c>
      <c r="L28" t="e">
        <f t="shared" si="1"/>
        <v>#VALUE!</v>
      </c>
      <c r="N28" t="e">
        <f t="shared" si="2"/>
        <v>#VALUE!</v>
      </c>
      <c r="O28" t="e">
        <f t="shared" si="3"/>
        <v>#VALUE!</v>
      </c>
    </row>
    <row r="29" spans="1:15" ht="15" thickBot="1" x14ac:dyDescent="0.35">
      <c r="A29" s="2"/>
      <c r="B29" s="2"/>
      <c r="C29" s="3"/>
      <c r="D29" s="4"/>
      <c r="K29" t="e">
        <f t="shared" si="0"/>
        <v>#VALUE!</v>
      </c>
      <c r="L29" t="e">
        <f t="shared" si="1"/>
        <v>#VALUE!</v>
      </c>
      <c r="N29" t="e">
        <f t="shared" si="2"/>
        <v>#VALUE!</v>
      </c>
      <c r="O29" t="e">
        <f t="shared" si="3"/>
        <v>#VALUE!</v>
      </c>
    </row>
    <row r="30" spans="1:15" ht="15" thickBot="1" x14ac:dyDescent="0.35">
      <c r="A30" s="2"/>
      <c r="B30" s="2"/>
      <c r="C30" s="3"/>
      <c r="D30" s="4"/>
      <c r="K30" t="e">
        <f t="shared" si="0"/>
        <v>#VALUE!</v>
      </c>
      <c r="L30" t="e">
        <f t="shared" si="1"/>
        <v>#VALUE!</v>
      </c>
      <c r="N30" t="e">
        <f t="shared" si="2"/>
        <v>#VALUE!</v>
      </c>
      <c r="O30" t="e">
        <f t="shared" si="3"/>
        <v>#VALUE!</v>
      </c>
    </row>
    <row r="31" spans="1:15" ht="15" thickBot="1" x14ac:dyDescent="0.35">
      <c r="A31" s="2"/>
      <c r="B31" s="2"/>
      <c r="C31" s="3"/>
      <c r="D31" s="4"/>
      <c r="K31" t="e">
        <f t="shared" si="0"/>
        <v>#VALUE!</v>
      </c>
      <c r="L31" t="e">
        <f t="shared" si="1"/>
        <v>#VALUE!</v>
      </c>
      <c r="N31" t="e">
        <f t="shared" si="2"/>
        <v>#VALUE!</v>
      </c>
      <c r="O31" t="e">
        <f t="shared" si="3"/>
        <v>#VALUE!</v>
      </c>
    </row>
    <row r="32" spans="1:15" ht="15" thickBot="1" x14ac:dyDescent="0.35">
      <c r="A32" s="2"/>
      <c r="B32" s="2"/>
      <c r="C32" s="3"/>
      <c r="D32" s="4"/>
      <c r="K32" t="e">
        <f t="shared" si="0"/>
        <v>#VALUE!</v>
      </c>
      <c r="L32" t="e">
        <f t="shared" si="1"/>
        <v>#VALUE!</v>
      </c>
      <c r="N32" t="e">
        <f t="shared" si="2"/>
        <v>#VALUE!</v>
      </c>
      <c r="O32" t="e">
        <f t="shared" si="3"/>
        <v>#VALUE!</v>
      </c>
    </row>
    <row r="33" spans="1:15" ht="15" thickBot="1" x14ac:dyDescent="0.35">
      <c r="A33" s="2"/>
      <c r="B33" s="2"/>
      <c r="C33" s="3"/>
      <c r="D33" s="4"/>
      <c r="K33" t="e">
        <f t="shared" si="0"/>
        <v>#VALUE!</v>
      </c>
      <c r="L33" t="e">
        <f t="shared" si="1"/>
        <v>#VALUE!</v>
      </c>
      <c r="N33" t="e">
        <f t="shared" si="2"/>
        <v>#VALUE!</v>
      </c>
      <c r="O33" t="e">
        <f t="shared" si="3"/>
        <v>#VALUE!</v>
      </c>
    </row>
    <row r="34" spans="1:15" ht="15" thickBot="1" x14ac:dyDescent="0.35">
      <c r="A34" s="2"/>
      <c r="B34" s="2"/>
      <c r="C34" s="3"/>
      <c r="D34" s="4"/>
      <c r="K34" t="e">
        <f t="shared" si="0"/>
        <v>#VALUE!</v>
      </c>
      <c r="L34" t="e">
        <f t="shared" si="1"/>
        <v>#VALUE!</v>
      </c>
      <c r="N34" t="e">
        <f t="shared" si="2"/>
        <v>#VALUE!</v>
      </c>
      <c r="O34" t="e">
        <f t="shared" si="3"/>
        <v>#VALUE!</v>
      </c>
    </row>
    <row r="35" spans="1:15" ht="15" thickBot="1" x14ac:dyDescent="0.35">
      <c r="A35" s="2"/>
      <c r="B35" s="2"/>
      <c r="C35" s="3"/>
      <c r="D35" s="4"/>
      <c r="K35" t="e">
        <f t="shared" si="0"/>
        <v>#VALUE!</v>
      </c>
      <c r="L35" t="e">
        <f t="shared" si="1"/>
        <v>#VALUE!</v>
      </c>
      <c r="N35" t="e">
        <f t="shared" si="2"/>
        <v>#VALUE!</v>
      </c>
      <c r="O35" t="e">
        <f t="shared" si="3"/>
        <v>#VALUE!</v>
      </c>
    </row>
    <row r="36" spans="1:15" ht="15" thickBot="1" x14ac:dyDescent="0.35">
      <c r="A36" s="2"/>
      <c r="B36" s="2"/>
      <c r="C36" s="3"/>
      <c r="D36" s="4"/>
      <c r="K36" t="e">
        <f t="shared" si="0"/>
        <v>#VALUE!</v>
      </c>
      <c r="L36" t="e">
        <f t="shared" si="1"/>
        <v>#VALUE!</v>
      </c>
      <c r="N36" t="e">
        <f t="shared" si="2"/>
        <v>#VALUE!</v>
      </c>
      <c r="O36" t="e">
        <f t="shared" si="3"/>
        <v>#VALUE!</v>
      </c>
    </row>
    <row r="37" spans="1:15" ht="15" thickBot="1" x14ac:dyDescent="0.35">
      <c r="A37" s="2"/>
      <c r="B37" s="2"/>
      <c r="C37" s="3"/>
      <c r="D37" s="4"/>
      <c r="K37" t="e">
        <f t="shared" si="0"/>
        <v>#VALUE!</v>
      </c>
      <c r="L37" t="e">
        <f t="shared" si="1"/>
        <v>#VALUE!</v>
      </c>
      <c r="N37" t="e">
        <f t="shared" si="2"/>
        <v>#VALUE!</v>
      </c>
      <c r="O37" t="e">
        <f t="shared" si="3"/>
        <v>#VALUE!</v>
      </c>
    </row>
    <row r="38" spans="1:15" ht="15" thickBot="1" x14ac:dyDescent="0.35">
      <c r="A38" s="2"/>
      <c r="B38" s="2"/>
      <c r="C38" s="3"/>
      <c r="D38" s="4"/>
      <c r="K38" t="e">
        <f t="shared" si="0"/>
        <v>#VALUE!</v>
      </c>
      <c r="L38" t="e">
        <f t="shared" si="1"/>
        <v>#VALUE!</v>
      </c>
      <c r="N38" t="e">
        <f t="shared" si="2"/>
        <v>#VALUE!</v>
      </c>
      <c r="O38" t="e">
        <f t="shared" si="3"/>
        <v>#VALUE!</v>
      </c>
    </row>
    <row r="39" spans="1:15" ht="15" thickBot="1" x14ac:dyDescent="0.35">
      <c r="A39" s="2"/>
      <c r="B39" s="2"/>
      <c r="C39" s="3"/>
      <c r="D39" s="4"/>
      <c r="K39" t="e">
        <f t="shared" si="0"/>
        <v>#VALUE!</v>
      </c>
      <c r="L39" t="e">
        <f t="shared" si="1"/>
        <v>#VALUE!</v>
      </c>
      <c r="N39" t="e">
        <f t="shared" si="2"/>
        <v>#VALUE!</v>
      </c>
      <c r="O39" t="e">
        <f t="shared" si="3"/>
        <v>#VALUE!</v>
      </c>
    </row>
    <row r="40" spans="1:15" ht="15" thickBot="1" x14ac:dyDescent="0.35">
      <c r="A40" s="2"/>
      <c r="B40" s="2"/>
      <c r="C40" s="3"/>
      <c r="D40" s="4"/>
      <c r="K40" t="e">
        <f t="shared" si="0"/>
        <v>#VALUE!</v>
      </c>
      <c r="L40" t="e">
        <f t="shared" si="1"/>
        <v>#VALUE!</v>
      </c>
      <c r="N40" t="e">
        <f t="shared" si="2"/>
        <v>#VALUE!</v>
      </c>
      <c r="O40" t="e">
        <f t="shared" si="3"/>
        <v>#VALUE!</v>
      </c>
    </row>
    <row r="41" spans="1:15" ht="15" thickBot="1" x14ac:dyDescent="0.35">
      <c r="A41" s="2"/>
      <c r="B41" s="2"/>
      <c r="C41" s="3"/>
      <c r="D41" s="4"/>
      <c r="K41" t="e">
        <f t="shared" si="0"/>
        <v>#VALUE!</v>
      </c>
      <c r="L41" t="e">
        <f t="shared" si="1"/>
        <v>#VALUE!</v>
      </c>
      <c r="N41" t="e">
        <f t="shared" si="2"/>
        <v>#VALUE!</v>
      </c>
      <c r="O41" t="e">
        <f t="shared" si="3"/>
        <v>#VALUE!</v>
      </c>
    </row>
    <row r="42" spans="1:15" ht="15" thickBot="1" x14ac:dyDescent="0.35">
      <c r="A42" s="2"/>
      <c r="B42" s="2"/>
      <c r="C42" s="3"/>
      <c r="D42" s="4"/>
      <c r="K42" t="e">
        <f t="shared" si="0"/>
        <v>#VALUE!</v>
      </c>
      <c r="L42" t="e">
        <f t="shared" si="1"/>
        <v>#VALUE!</v>
      </c>
      <c r="N42" t="e">
        <f t="shared" si="2"/>
        <v>#VALUE!</v>
      </c>
      <c r="O42" t="e">
        <f t="shared" si="3"/>
        <v>#VALUE!</v>
      </c>
    </row>
    <row r="43" spans="1:15" ht="15" thickBot="1" x14ac:dyDescent="0.35">
      <c r="A43" s="2"/>
      <c r="B43" s="2"/>
      <c r="C43" s="3"/>
      <c r="D43" s="4"/>
      <c r="K43" t="e">
        <f t="shared" si="0"/>
        <v>#VALUE!</v>
      </c>
      <c r="L43" t="e">
        <f t="shared" si="1"/>
        <v>#VALUE!</v>
      </c>
      <c r="N43" t="e">
        <f t="shared" si="2"/>
        <v>#VALUE!</v>
      </c>
      <c r="O43" t="e">
        <f t="shared" si="3"/>
        <v>#VALUE!</v>
      </c>
    </row>
    <row r="44" spans="1:15" ht="15" thickBot="1" x14ac:dyDescent="0.35">
      <c r="A44" s="2"/>
      <c r="B44" s="2"/>
      <c r="C44" s="3"/>
      <c r="D44" s="4"/>
      <c r="K44" t="e">
        <f t="shared" si="0"/>
        <v>#VALUE!</v>
      </c>
      <c r="L44" t="e">
        <f t="shared" si="1"/>
        <v>#VALUE!</v>
      </c>
      <c r="N44" t="e">
        <f t="shared" si="2"/>
        <v>#VALUE!</v>
      </c>
      <c r="O44" t="e">
        <f t="shared" si="3"/>
        <v>#VALUE!</v>
      </c>
    </row>
    <row r="45" spans="1:15" ht="15" thickBot="1" x14ac:dyDescent="0.35">
      <c r="A45" s="2"/>
      <c r="B45" s="2"/>
      <c r="C45" s="3"/>
      <c r="D45" s="4"/>
      <c r="K45" t="e">
        <f t="shared" si="0"/>
        <v>#VALUE!</v>
      </c>
      <c r="L45" t="e">
        <f t="shared" si="1"/>
        <v>#VALUE!</v>
      </c>
      <c r="N45" t="e">
        <f t="shared" si="2"/>
        <v>#VALUE!</v>
      </c>
      <c r="O45" t="e">
        <f t="shared" si="3"/>
        <v>#VALUE!</v>
      </c>
    </row>
    <row r="46" spans="1:15" ht="15" thickBot="1" x14ac:dyDescent="0.35">
      <c r="A46" s="2"/>
      <c r="B46" s="2"/>
      <c r="C46" s="3"/>
      <c r="D46" s="4"/>
      <c r="K46" t="e">
        <f t="shared" si="0"/>
        <v>#VALUE!</v>
      </c>
      <c r="L46" t="e">
        <f t="shared" si="1"/>
        <v>#VALUE!</v>
      </c>
      <c r="N46" t="e">
        <f t="shared" si="2"/>
        <v>#VALUE!</v>
      </c>
      <c r="O46" t="e">
        <f t="shared" si="3"/>
        <v>#VALUE!</v>
      </c>
    </row>
    <row r="47" spans="1:15" ht="15" thickBot="1" x14ac:dyDescent="0.35">
      <c r="A47" s="2"/>
      <c r="B47" s="2"/>
      <c r="C47" s="3"/>
      <c r="D47" s="4"/>
      <c r="K47" t="e">
        <f t="shared" si="0"/>
        <v>#VALUE!</v>
      </c>
      <c r="L47" t="e">
        <f t="shared" si="1"/>
        <v>#VALUE!</v>
      </c>
      <c r="N47" t="e">
        <f t="shared" si="2"/>
        <v>#VALUE!</v>
      </c>
      <c r="O47" t="e">
        <f t="shared" si="3"/>
        <v>#VALUE!</v>
      </c>
    </row>
    <row r="48" spans="1:15" x14ac:dyDescent="0.3">
      <c r="A48" s="2"/>
      <c r="B48" s="2"/>
      <c r="C48" s="3"/>
      <c r="D48" s="4"/>
      <c r="K48" t="e">
        <f t="shared" si="0"/>
        <v>#VALUE!</v>
      </c>
      <c r="L48" t="e">
        <f t="shared" si="1"/>
        <v>#VALUE!</v>
      </c>
      <c r="N48" t="e">
        <f t="shared" si="2"/>
        <v>#VALUE!</v>
      </c>
      <c r="O48" t="e">
        <f t="shared" si="3"/>
        <v>#VALUE!</v>
      </c>
    </row>
  </sheetData>
  <autoFilter ref="A1:R1">
    <sortState ref="A2:R48">
      <sortCondition ref="N1"/>
    </sortState>
  </autoFilter>
  <hyperlinks>
    <hyperlink ref="A2" r:id="rId1" display="https://competicion.ftm.es/app/jugador/historial/10058320/3507/torneos.mensual/2"/>
    <hyperlink ref="B2" r:id="rId2" display="https://competicion.ftm.es/app/jugador/historial/10058320/3507/torneos.mensual/2"/>
    <hyperlink ref="A3" r:id="rId3" display="https://competicion.ftm.es/app/jugador/historial/10771328/3507/torneos.mensual/2"/>
    <hyperlink ref="B3" r:id="rId4" display="https://competicion.ftm.es/app/jugador/historial/10771328/3507/torneos.mensual/2"/>
    <hyperlink ref="A4" r:id="rId5" display="https://competicion.ftm.es/app/jugador/historial/10498716/3507/torneos.mensual/2"/>
    <hyperlink ref="B4" r:id="rId6" display="https://competicion.ftm.es/app/jugador/historial/10498716/3507/torneos.mensual/2"/>
    <hyperlink ref="A5" r:id="rId7" display="https://competicion.ftm.es/app/jugador/historial/10640755/3507/torneos.mensual/2"/>
    <hyperlink ref="B5" r:id="rId8" display="https://competicion.ftm.es/app/jugador/historial/10640755/3507/torneos.mensual/2"/>
    <hyperlink ref="A6" r:id="rId9" display="https://competicion.ftm.es/app/jugador/historial/05830585/3507/torneos.mensual/2"/>
    <hyperlink ref="B6" r:id="rId10" display="https://competicion.ftm.es/app/jugador/historial/05830585/3507/torneos.mensual/2"/>
    <hyperlink ref="A7" r:id="rId11" display="https://competicion.ftm.es/app/jugador/historial/10772631/3507/torneos.mensual/2"/>
    <hyperlink ref="B7" r:id="rId12" display="https://competicion.ftm.es/app/jugador/historial/10772631/3507/torneos.mensual/2"/>
    <hyperlink ref="A8" r:id="rId13" display="https://competicion.ftm.es/app/jugador/historial/10771500/3507/torneos.mensual/2"/>
    <hyperlink ref="B8" r:id="rId14" display="https://competicion.ftm.es/app/jugador/historial/10771500/3507/torneos.mensual/2"/>
    <hyperlink ref="A9" r:id="rId15" display="https://competicion.ftm.es/app/jugador/historial/10768911/3507/torneos.mensual/2"/>
    <hyperlink ref="B9" r:id="rId16" display="https://competicion.ftm.es/app/jugador/historial/10768911/3507/torneos.mensual/2"/>
    <hyperlink ref="A10" r:id="rId17" display="https://competicion.ftm.es/app/jugador/historial/10774794/3507/torneos.mensual/2"/>
    <hyperlink ref="B10" r:id="rId18" display="https://competicion.ftm.es/app/jugador/historial/10774794/3507/torneos.mensual/2"/>
    <hyperlink ref="A11" r:id="rId19" display="https://competicion.ftm.es/app/jugador/historial/10771584/3507/torneos.mensual/2"/>
    <hyperlink ref="B11" r:id="rId20" display="https://competicion.ftm.es/app/jugador/historial/10771584/3507/torneos.mensual/2"/>
    <hyperlink ref="A12" r:id="rId21" display="https://competicion.ftm.es/app/jugador/historial/10782789/3507/torneos.mensual/2"/>
    <hyperlink ref="B12" r:id="rId22" display="https://competicion.ftm.es/app/jugador/historial/10782789/3507/torneos.mensual/2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"/>
  <sheetViews>
    <sheetView topLeftCell="C25" workbookViewId="0">
      <selection activeCell="N2" sqref="N2:O48"/>
    </sheetView>
  </sheetViews>
  <sheetFormatPr baseColWidth="10" defaultRowHeight="14.4" x14ac:dyDescent="0.3"/>
  <cols>
    <col min="2" max="2" width="51.44140625" customWidth="1"/>
    <col min="7" max="7" width="30.88671875" bestFit="1" customWidth="1"/>
    <col min="8" max="8" width="11.5546875" style="5"/>
    <col min="10" max="10" width="6.21875" customWidth="1"/>
    <col min="13" max="13" width="4.44140625" customWidth="1"/>
    <col min="14" max="14" width="17.88671875" bestFit="1" customWidth="1"/>
  </cols>
  <sheetData>
    <row r="1" spans="1:18" ht="15" thickBot="1" x14ac:dyDescent="0.35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s="5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  <c r="R1" t="s">
        <v>84</v>
      </c>
    </row>
    <row r="2" spans="1:18" ht="15" thickBot="1" x14ac:dyDescent="0.35">
      <c r="A2" s="2">
        <v>10778481</v>
      </c>
      <c r="B2" s="2" t="s">
        <v>46</v>
      </c>
      <c r="C2" s="3">
        <v>30516</v>
      </c>
      <c r="D2" s="4">
        <v>0</v>
      </c>
      <c r="F2">
        <v>10778481</v>
      </c>
      <c r="G2" t="s">
        <v>46</v>
      </c>
      <c r="H2" s="5">
        <v>30516</v>
      </c>
      <c r="I2">
        <v>0</v>
      </c>
      <c r="N2" t="str">
        <f>MID(G2,LEN(O2)+2,40)</f>
        <v>Acevedo Diaz</v>
      </c>
      <c r="O2" t="str">
        <f>TRIM(LEFT(G2,FIND(" ",G2)))</f>
        <v>Victor</v>
      </c>
    </row>
    <row r="3" spans="1:18" ht="15" thickBot="1" x14ac:dyDescent="0.35">
      <c r="A3" s="2">
        <v>10763937</v>
      </c>
      <c r="B3" s="2" t="s">
        <v>26</v>
      </c>
      <c r="C3" s="3">
        <v>33939</v>
      </c>
      <c r="D3" s="4">
        <v>0</v>
      </c>
      <c r="F3">
        <v>10763937</v>
      </c>
      <c r="G3" t="s">
        <v>26</v>
      </c>
      <c r="H3" s="5">
        <v>33939</v>
      </c>
      <c r="I3">
        <v>0</v>
      </c>
      <c r="N3" t="str">
        <f>MID(G3,LEN(O3)+2,40)</f>
        <v>Acuyo Osorio</v>
      </c>
      <c r="O3" t="str">
        <f>TRIM(LEFT(G3,FIND(" ",G3)))</f>
        <v>Mario</v>
      </c>
    </row>
    <row r="4" spans="1:18" ht="15" thickBot="1" x14ac:dyDescent="0.35">
      <c r="A4" s="2">
        <v>10774778</v>
      </c>
      <c r="B4" s="2" t="s">
        <v>56</v>
      </c>
      <c r="C4" s="3">
        <v>32841</v>
      </c>
      <c r="D4" s="4">
        <v>0</v>
      </c>
      <c r="F4">
        <v>10774778</v>
      </c>
      <c r="G4" t="s">
        <v>56</v>
      </c>
      <c r="H4" s="5">
        <v>32841</v>
      </c>
      <c r="I4">
        <v>0</v>
      </c>
      <c r="N4" t="str">
        <f>MID(G4,LEN(O4)+2,40)</f>
        <v>Almenar Gonzalez</v>
      </c>
      <c r="O4" t="str">
        <f>TRIM(LEFT(G4,FIND(" ",G4)))</f>
        <v>Daniel</v>
      </c>
    </row>
    <row r="5" spans="1:18" ht="15" thickBot="1" x14ac:dyDescent="0.35">
      <c r="A5" s="2">
        <v>10134930</v>
      </c>
      <c r="B5" s="2" t="s">
        <v>48</v>
      </c>
      <c r="C5" s="3">
        <v>35628</v>
      </c>
      <c r="D5" s="4">
        <v>0</v>
      </c>
      <c r="F5">
        <v>10134930</v>
      </c>
      <c r="G5" t="s">
        <v>48</v>
      </c>
      <c r="H5" s="5">
        <v>35628</v>
      </c>
      <c r="I5">
        <v>0</v>
      </c>
      <c r="N5" t="str">
        <f>MID(G5,LEN(O5)+2,40)</f>
        <v>Alvarez Domeque</v>
      </c>
      <c r="O5" t="str">
        <f>TRIM(LEFT(G5,FIND(" ",G5)))</f>
        <v>Jaime</v>
      </c>
    </row>
    <row r="6" spans="1:18" ht="15" thickBot="1" x14ac:dyDescent="0.35">
      <c r="A6" s="2">
        <v>13005526</v>
      </c>
      <c r="B6" s="2" t="s">
        <v>32</v>
      </c>
      <c r="C6" s="3">
        <v>36925</v>
      </c>
      <c r="D6" s="4">
        <v>0</v>
      </c>
      <c r="F6">
        <v>13005526</v>
      </c>
      <c r="G6" t="s">
        <v>32</v>
      </c>
      <c r="H6" s="5">
        <v>36925</v>
      </c>
      <c r="I6">
        <v>0</v>
      </c>
      <c r="N6" t="str">
        <f>MID(G6,LEN(O6)+2,40)</f>
        <v>Alvarez Escriva</v>
      </c>
      <c r="O6" t="str">
        <f>TRIM(LEFT(G6,FIND(" ",G6)))</f>
        <v>David</v>
      </c>
    </row>
    <row r="7" spans="1:18" ht="15" thickBot="1" x14ac:dyDescent="0.35">
      <c r="A7" s="2">
        <v>7179733</v>
      </c>
      <c r="B7" s="2" t="s">
        <v>65</v>
      </c>
      <c r="C7" s="3">
        <v>31608</v>
      </c>
      <c r="D7" s="4">
        <v>0</v>
      </c>
      <c r="F7">
        <v>7179733</v>
      </c>
      <c r="G7" t="s">
        <v>65</v>
      </c>
      <c r="H7" s="5">
        <v>31608</v>
      </c>
      <c r="I7">
        <v>0</v>
      </c>
      <c r="N7" t="str">
        <f>MID(G7,LEN(O7)+2,40)</f>
        <v>Angulo Fernández</v>
      </c>
      <c r="O7" t="str">
        <f>TRIM(LEFT(G7,FIND(" ",G7)))</f>
        <v>Javier</v>
      </c>
    </row>
    <row r="8" spans="1:18" ht="15" thickBot="1" x14ac:dyDescent="0.35">
      <c r="A8" s="2">
        <v>10770742</v>
      </c>
      <c r="B8" s="2" t="s">
        <v>24</v>
      </c>
      <c r="C8" s="3">
        <v>32230</v>
      </c>
      <c r="D8" s="4">
        <v>0</v>
      </c>
      <c r="F8">
        <v>10770742</v>
      </c>
      <c r="G8" t="s">
        <v>24</v>
      </c>
      <c r="H8" s="5">
        <v>32230</v>
      </c>
      <c r="I8">
        <v>0</v>
      </c>
      <c r="N8" t="str">
        <f>MID(G8,LEN(O8)+2,40)</f>
        <v>Badia Rambla</v>
      </c>
      <c r="O8" t="str">
        <f>TRIM(LEFT(G8,FIND(" ",G8)))</f>
        <v>Carlos</v>
      </c>
    </row>
    <row r="9" spans="1:18" ht="15" thickBot="1" x14ac:dyDescent="0.35">
      <c r="A9" s="2">
        <v>10110146</v>
      </c>
      <c r="B9" s="2" t="s">
        <v>45</v>
      </c>
      <c r="C9" s="3">
        <v>31037</v>
      </c>
      <c r="D9" s="4">
        <v>0</v>
      </c>
      <c r="F9">
        <v>10110146</v>
      </c>
      <c r="G9" t="s">
        <v>45</v>
      </c>
      <c r="H9" s="5">
        <v>31037</v>
      </c>
      <c r="I9">
        <v>0</v>
      </c>
      <c r="N9" t="str">
        <f>MID(G9,LEN(O9)+2,40)</f>
        <v>Bergareche Sans</v>
      </c>
      <c r="O9" t="str">
        <f>TRIM(LEFT(G9,FIND(" ",G9)))</f>
        <v>Borja</v>
      </c>
    </row>
    <row r="10" spans="1:18" ht="15" thickBot="1" x14ac:dyDescent="0.35">
      <c r="A10" s="2">
        <v>10602250</v>
      </c>
      <c r="B10" s="2" t="s">
        <v>49</v>
      </c>
      <c r="C10" s="3">
        <v>34134</v>
      </c>
      <c r="D10" s="4">
        <v>0</v>
      </c>
      <c r="F10">
        <v>10602250</v>
      </c>
      <c r="G10" t="s">
        <v>49</v>
      </c>
      <c r="H10" s="5">
        <v>34134</v>
      </c>
      <c r="I10">
        <v>0</v>
      </c>
      <c r="N10" t="str">
        <f>MID(G10,LEN(O10)+2,40)</f>
        <v>Bermudo Mera</v>
      </c>
      <c r="O10" t="str">
        <f>TRIM(LEFT(G10,FIND(" ",G10)))</f>
        <v>Juan</v>
      </c>
    </row>
    <row r="11" spans="1:18" ht="15" thickBot="1" x14ac:dyDescent="0.35">
      <c r="A11" s="2">
        <v>14043335</v>
      </c>
      <c r="B11" s="2" t="s">
        <v>53</v>
      </c>
      <c r="C11" s="3">
        <v>37679</v>
      </c>
      <c r="D11" s="4">
        <v>0</v>
      </c>
      <c r="F11">
        <v>14043335</v>
      </c>
      <c r="G11" t="s">
        <v>53</v>
      </c>
      <c r="H11" s="5">
        <v>37679</v>
      </c>
      <c r="I11">
        <v>0</v>
      </c>
      <c r="N11" t="str">
        <f>MID(G11,LEN(O11)+2,40)</f>
        <v>Camara Camara</v>
      </c>
      <c r="O11" t="str">
        <f>TRIM(LEFT(G11,FIND(" ",G11)))</f>
        <v>Pedro</v>
      </c>
    </row>
    <row r="12" spans="1:18" ht="15" thickBot="1" x14ac:dyDescent="0.35">
      <c r="A12" s="2">
        <v>10767153</v>
      </c>
      <c r="B12" s="2" t="s">
        <v>28</v>
      </c>
      <c r="C12" s="3">
        <v>31848</v>
      </c>
      <c r="D12" s="4">
        <v>0</v>
      </c>
      <c r="F12">
        <v>10767153</v>
      </c>
      <c r="G12" t="s">
        <v>28</v>
      </c>
      <c r="H12" s="5">
        <v>31848</v>
      </c>
      <c r="I12">
        <v>0</v>
      </c>
      <c r="N12" t="str">
        <f>MID(G12,LEN(O12)+2,40)</f>
        <v>De Marcos Del Pozo</v>
      </c>
      <c r="O12" t="s">
        <v>86</v>
      </c>
    </row>
    <row r="13" spans="1:18" ht="15" thickBot="1" x14ac:dyDescent="0.35">
      <c r="A13" s="2">
        <v>16307820</v>
      </c>
      <c r="B13" s="2" t="s">
        <v>36</v>
      </c>
      <c r="C13" s="3">
        <v>34517</v>
      </c>
      <c r="D13" s="4">
        <v>0</v>
      </c>
      <c r="F13">
        <v>16307820</v>
      </c>
      <c r="G13" t="s">
        <v>36</v>
      </c>
      <c r="H13" s="5">
        <v>34517</v>
      </c>
      <c r="I13">
        <v>0</v>
      </c>
      <c r="N13" t="str">
        <f>MID(G13,LEN(O13)+2,40)</f>
        <v>Diaz Ibañez</v>
      </c>
      <c r="O13" t="str">
        <f>TRIM(LEFT(G13,FIND(" ",G13)))</f>
        <v>Sergio</v>
      </c>
    </row>
    <row r="14" spans="1:18" ht="15" thickBot="1" x14ac:dyDescent="0.35">
      <c r="A14" s="2">
        <v>10770627</v>
      </c>
      <c r="B14" s="2" t="s">
        <v>31</v>
      </c>
      <c r="C14" s="3">
        <v>38167</v>
      </c>
      <c r="D14" s="4">
        <v>0</v>
      </c>
      <c r="F14">
        <v>10770627</v>
      </c>
      <c r="G14" t="s">
        <v>31</v>
      </c>
      <c r="H14" s="5">
        <v>38167</v>
      </c>
      <c r="I14">
        <v>0</v>
      </c>
      <c r="N14" t="str">
        <f>MID(G14,LEN(O14)+2,40)</f>
        <v>Flores Doblas</v>
      </c>
      <c r="O14" t="str">
        <f>TRIM(LEFT(G14,FIND(" ",G14)))</f>
        <v>Marcos</v>
      </c>
    </row>
    <row r="15" spans="1:18" ht="15" thickBot="1" x14ac:dyDescent="0.35">
      <c r="A15" s="2">
        <v>10623024</v>
      </c>
      <c r="B15" s="2" t="s">
        <v>62</v>
      </c>
      <c r="C15" s="3">
        <v>29710</v>
      </c>
      <c r="D15" s="4">
        <v>0</v>
      </c>
      <c r="F15">
        <v>10623024</v>
      </c>
      <c r="G15" t="s">
        <v>62</v>
      </c>
      <c r="H15" s="5">
        <v>29710</v>
      </c>
      <c r="I15">
        <v>0</v>
      </c>
      <c r="N15" t="str">
        <f>MID(G15,LEN(O15)+2,40)</f>
        <v>Fraile Villanueva</v>
      </c>
      <c r="O15" t="str">
        <f>TRIM(LEFT(G15,FIND(" ",G15)))</f>
        <v>Iñaki</v>
      </c>
    </row>
    <row r="16" spans="1:18" ht="15" thickBot="1" x14ac:dyDescent="0.35">
      <c r="A16" s="2">
        <v>10768614</v>
      </c>
      <c r="B16" s="2" t="s">
        <v>44</v>
      </c>
      <c r="C16" s="3">
        <v>38665</v>
      </c>
      <c r="D16" s="4">
        <v>0</v>
      </c>
      <c r="F16">
        <v>10768614</v>
      </c>
      <c r="G16" t="s">
        <v>44</v>
      </c>
      <c r="H16" s="5">
        <v>38665</v>
      </c>
      <c r="I16">
        <v>0</v>
      </c>
      <c r="N16" t="str">
        <f>MID(G16,LEN(O16)+2,40)</f>
        <v>Gallego Julian</v>
      </c>
      <c r="O16" t="str">
        <f>TRIM(LEFT(G16,FIND(" ",G16)))</f>
        <v>Angel</v>
      </c>
    </row>
    <row r="17" spans="1:15" ht="15" thickBot="1" x14ac:dyDescent="0.35">
      <c r="A17" s="2">
        <v>10771120</v>
      </c>
      <c r="B17" s="2" t="s">
        <v>30</v>
      </c>
      <c r="C17" s="3">
        <v>32885</v>
      </c>
      <c r="D17" s="4">
        <v>0</v>
      </c>
      <c r="F17">
        <v>10771120</v>
      </c>
      <c r="G17" t="s">
        <v>30</v>
      </c>
      <c r="H17" s="5">
        <v>32885</v>
      </c>
      <c r="I17">
        <v>0</v>
      </c>
      <c r="N17" t="str">
        <f>MID(G17,LEN(O17)+2,40)</f>
        <v>Garcia Barreras</v>
      </c>
      <c r="O17" t="str">
        <f>TRIM(LEFT(G17,FIND(" ",G17)))</f>
        <v>Carlos</v>
      </c>
    </row>
    <row r="18" spans="1:15" ht="15" thickBot="1" x14ac:dyDescent="0.35">
      <c r="A18" s="2">
        <v>7456397</v>
      </c>
      <c r="B18" s="2" t="s">
        <v>61</v>
      </c>
      <c r="C18" s="3">
        <v>32965</v>
      </c>
      <c r="D18" s="4">
        <v>0</v>
      </c>
      <c r="F18">
        <v>7456397</v>
      </c>
      <c r="G18" t="s">
        <v>61</v>
      </c>
      <c r="H18" s="5">
        <v>32965</v>
      </c>
      <c r="I18">
        <v>0</v>
      </c>
      <c r="N18" t="str">
        <f>MID(G18,LEN(O18)+2,40)</f>
        <v>García Rollón</v>
      </c>
      <c r="O18" t="str">
        <f>TRIM(LEFT(G18,FIND(" ",G18)))</f>
        <v>David</v>
      </c>
    </row>
    <row r="19" spans="1:15" ht="15" thickBot="1" x14ac:dyDescent="0.35">
      <c r="A19" s="2">
        <v>10766478</v>
      </c>
      <c r="B19" s="2" t="s">
        <v>63</v>
      </c>
      <c r="C19" s="3">
        <v>30913</v>
      </c>
      <c r="D19" s="4">
        <v>0</v>
      </c>
      <c r="F19">
        <v>10766478</v>
      </c>
      <c r="G19" t="s">
        <v>63</v>
      </c>
      <c r="H19" s="5">
        <v>30913</v>
      </c>
      <c r="I19">
        <v>0</v>
      </c>
      <c r="N19" t="str">
        <f>MID(G19,LEN(O19)+2,40)</f>
        <v>Gómez Navarro</v>
      </c>
      <c r="O19" t="str">
        <f>TRIM(LEFT(G19,FIND(" ",G19)))</f>
        <v>Manuel</v>
      </c>
    </row>
    <row r="20" spans="1:15" ht="15" thickBot="1" x14ac:dyDescent="0.35">
      <c r="A20" s="2">
        <v>10772409</v>
      </c>
      <c r="B20" s="2" t="s">
        <v>29</v>
      </c>
      <c r="C20" s="3">
        <v>28693</v>
      </c>
      <c r="D20" s="4">
        <v>0</v>
      </c>
      <c r="F20">
        <v>10772409</v>
      </c>
      <c r="G20" t="s">
        <v>29</v>
      </c>
      <c r="H20" s="5">
        <v>28693</v>
      </c>
      <c r="I20">
        <v>0</v>
      </c>
      <c r="N20" t="str">
        <f>MID(G20,LEN(O20)+2,40)</f>
        <v>Gómez Pujalte</v>
      </c>
      <c r="O20" t="str">
        <f>TRIM(LEFT(G20,FIND(" ",G20)))</f>
        <v>César</v>
      </c>
    </row>
    <row r="21" spans="1:15" ht="15" thickBot="1" x14ac:dyDescent="0.35">
      <c r="A21" s="2">
        <v>10777483</v>
      </c>
      <c r="B21" s="2" t="s">
        <v>41</v>
      </c>
      <c r="C21" s="3">
        <v>27583</v>
      </c>
      <c r="D21" s="4">
        <v>0</v>
      </c>
      <c r="F21">
        <v>10777483</v>
      </c>
      <c r="G21" t="s">
        <v>41</v>
      </c>
      <c r="H21" s="5">
        <v>27583</v>
      </c>
      <c r="I21">
        <v>0</v>
      </c>
      <c r="N21" t="str">
        <f>MID(G21,LEN(O21)+2,40)</f>
        <v>González Arribas</v>
      </c>
      <c r="O21" t="s">
        <v>86</v>
      </c>
    </row>
    <row r="22" spans="1:15" ht="15" thickBot="1" x14ac:dyDescent="0.35">
      <c r="A22" s="2">
        <v>10770768</v>
      </c>
      <c r="B22" s="2" t="s">
        <v>54</v>
      </c>
      <c r="C22" s="3">
        <v>32319</v>
      </c>
      <c r="D22" s="4">
        <v>0</v>
      </c>
      <c r="F22">
        <v>10770768</v>
      </c>
      <c r="G22" t="s">
        <v>54</v>
      </c>
      <c r="H22" s="5">
        <v>32319</v>
      </c>
      <c r="I22">
        <v>0</v>
      </c>
      <c r="N22" t="str">
        <f>MID(G22,LEN(O22)+2,40)</f>
        <v>González Blanco</v>
      </c>
      <c r="O22" t="str">
        <f>TRIM(LEFT(G22,FIND(" ",G22)))</f>
        <v>Andrés</v>
      </c>
    </row>
    <row r="23" spans="1:15" ht="15" thickBot="1" x14ac:dyDescent="0.35">
      <c r="A23" s="2">
        <v>10440238</v>
      </c>
      <c r="B23" s="2" t="s">
        <v>34</v>
      </c>
      <c r="C23" s="3">
        <v>39078</v>
      </c>
      <c r="D23" s="4">
        <v>0</v>
      </c>
      <c r="F23">
        <v>10440238</v>
      </c>
      <c r="G23" t="s">
        <v>34</v>
      </c>
      <c r="H23" s="5">
        <v>39078</v>
      </c>
      <c r="I23">
        <v>0</v>
      </c>
      <c r="N23" t="str">
        <f>MID(G23,LEN(O23)+2,40)</f>
        <v>Granados Jimenez</v>
      </c>
      <c r="O23" t="str">
        <f>TRIM(LEFT(G23,FIND(" ",G23)))</f>
        <v>Hugo</v>
      </c>
    </row>
    <row r="24" spans="1:15" ht="15" thickBot="1" x14ac:dyDescent="0.35">
      <c r="A24" s="2">
        <v>10768375</v>
      </c>
      <c r="B24" s="2" t="s">
        <v>33</v>
      </c>
      <c r="C24" s="3">
        <v>27669</v>
      </c>
      <c r="D24" s="4">
        <v>0</v>
      </c>
      <c r="F24">
        <v>10768375</v>
      </c>
      <c r="G24" t="s">
        <v>33</v>
      </c>
      <c r="H24" s="5">
        <v>27669</v>
      </c>
      <c r="I24">
        <v>0</v>
      </c>
      <c r="N24" t="str">
        <f>MID(G24,LEN(O24)+2,40)</f>
        <v>Granados Sanchez</v>
      </c>
      <c r="O24" t="s">
        <v>88</v>
      </c>
    </row>
    <row r="25" spans="1:15" ht="15" thickBot="1" x14ac:dyDescent="0.35">
      <c r="A25" s="2">
        <v>10777631</v>
      </c>
      <c r="B25" s="2" t="s">
        <v>38</v>
      </c>
      <c r="C25" s="3">
        <v>32547</v>
      </c>
      <c r="D25" s="4">
        <v>0</v>
      </c>
      <c r="F25">
        <v>10777631</v>
      </c>
      <c r="G25" t="s">
        <v>38</v>
      </c>
      <c r="H25" s="5">
        <v>32547</v>
      </c>
      <c r="I25">
        <v>0</v>
      </c>
      <c r="N25" t="str">
        <f>MID(G25,LEN(O25)+2,40)</f>
        <v>Gutiérrez Diego</v>
      </c>
      <c r="O25" t="str">
        <f>TRIM(LEFT(G25,FIND(" ",G25)))</f>
        <v>Jorge</v>
      </c>
    </row>
    <row r="26" spans="1:15" ht="15" thickBot="1" x14ac:dyDescent="0.35">
      <c r="A26" s="2">
        <v>10485268</v>
      </c>
      <c r="B26" s="2" t="s">
        <v>60</v>
      </c>
      <c r="C26" s="3">
        <v>32833</v>
      </c>
      <c r="D26" s="4">
        <v>0</v>
      </c>
      <c r="F26">
        <v>10485268</v>
      </c>
      <c r="G26" t="s">
        <v>60</v>
      </c>
      <c r="H26" s="5">
        <v>32833</v>
      </c>
      <c r="I26">
        <v>0</v>
      </c>
      <c r="N26" t="str">
        <f>MID(G26,LEN(O26)+2,40)</f>
        <v>Ibañez Rodriguez</v>
      </c>
      <c r="O26" t="s">
        <v>90</v>
      </c>
    </row>
    <row r="27" spans="1:15" ht="15" thickBot="1" x14ac:dyDescent="0.35">
      <c r="A27" s="2">
        <v>10777821</v>
      </c>
      <c r="B27" s="2" t="s">
        <v>51</v>
      </c>
      <c r="C27" s="3">
        <v>32977</v>
      </c>
      <c r="D27" s="4">
        <v>0</v>
      </c>
      <c r="F27">
        <v>10777821</v>
      </c>
      <c r="G27" t="s">
        <v>51</v>
      </c>
      <c r="H27" s="5">
        <v>32977</v>
      </c>
      <c r="I27">
        <v>0</v>
      </c>
      <c r="N27" t="str">
        <f>MID(G27,LEN(O27)+2,40)</f>
        <v>Joglar Bravo</v>
      </c>
      <c r="O27" t="str">
        <f>TRIM(LEFT(G27,FIND(" ",G27)))</f>
        <v>Adrián</v>
      </c>
    </row>
    <row r="28" spans="1:15" ht="15" thickBot="1" x14ac:dyDescent="0.35">
      <c r="A28" s="2">
        <v>7404007</v>
      </c>
      <c r="B28" s="2" t="s">
        <v>22</v>
      </c>
      <c r="C28" s="3">
        <v>34605</v>
      </c>
      <c r="D28" s="4">
        <v>0</v>
      </c>
      <c r="F28">
        <v>7404007</v>
      </c>
      <c r="G28" t="s">
        <v>22</v>
      </c>
      <c r="H28" s="5">
        <v>34605</v>
      </c>
      <c r="I28">
        <v>0</v>
      </c>
      <c r="N28" t="str">
        <f>MID(G28,LEN(O28)+2,40)</f>
        <v>Lopez Gomez</v>
      </c>
      <c r="O28" t="str">
        <f>TRIM(LEFT(G28,FIND(" ",G28)))</f>
        <v>Miguel</v>
      </c>
    </row>
    <row r="29" spans="1:15" ht="15" thickBot="1" x14ac:dyDescent="0.35">
      <c r="A29" s="2">
        <v>10737734</v>
      </c>
      <c r="B29" s="2" t="s">
        <v>35</v>
      </c>
      <c r="C29" s="3">
        <v>27596</v>
      </c>
      <c r="D29" s="4">
        <v>0</v>
      </c>
      <c r="F29">
        <v>10737734</v>
      </c>
      <c r="G29" t="s">
        <v>35</v>
      </c>
      <c r="H29" s="5">
        <v>27596</v>
      </c>
      <c r="I29">
        <v>0</v>
      </c>
      <c r="N29" t="str">
        <f>MID(G29,LEN(O29)+2,40)</f>
        <v>Marin Alia Rebate</v>
      </c>
      <c r="O29" t="str">
        <f>TRIM(LEFT(G29,FIND(" ",G29)))</f>
        <v>Jacobo</v>
      </c>
    </row>
    <row r="30" spans="1:15" ht="15" thickBot="1" x14ac:dyDescent="0.35">
      <c r="A30" s="2">
        <v>10768474</v>
      </c>
      <c r="B30" s="2" t="s">
        <v>42</v>
      </c>
      <c r="C30" s="3">
        <v>28329</v>
      </c>
      <c r="D30" s="4">
        <v>0</v>
      </c>
      <c r="F30">
        <v>10768474</v>
      </c>
      <c r="G30" t="s">
        <v>42</v>
      </c>
      <c r="H30" s="5">
        <v>28329</v>
      </c>
      <c r="I30">
        <v>0</v>
      </c>
      <c r="N30" t="str">
        <f>MID(G30,LEN(O30)+2,40)</f>
        <v>Martínez Gallego</v>
      </c>
      <c r="O30" t="str">
        <f>TRIM(LEFT(G30,FIND(" ",G30)))</f>
        <v>Sergio</v>
      </c>
    </row>
    <row r="31" spans="1:15" ht="15" thickBot="1" x14ac:dyDescent="0.35">
      <c r="A31" s="2">
        <v>10765355</v>
      </c>
      <c r="B31" s="2" t="s">
        <v>37</v>
      </c>
      <c r="C31" s="3">
        <v>31619</v>
      </c>
      <c r="D31" s="4">
        <v>0</v>
      </c>
      <c r="F31">
        <v>10765355</v>
      </c>
      <c r="G31" t="s">
        <v>37</v>
      </c>
      <c r="H31" s="5">
        <v>31619</v>
      </c>
      <c r="I31">
        <v>0</v>
      </c>
      <c r="N31" t="str">
        <f>MID(G31,LEN(O31)+2,40)</f>
        <v>Medina Díaz</v>
      </c>
      <c r="O31" t="str">
        <f>TRIM(LEFT(G31,FIND(" ",G31)))</f>
        <v>Rubén</v>
      </c>
    </row>
    <row r="32" spans="1:15" ht="15" thickBot="1" x14ac:dyDescent="0.35">
      <c r="A32" s="2">
        <v>10169135</v>
      </c>
      <c r="B32" s="2" t="s">
        <v>55</v>
      </c>
      <c r="C32" s="3">
        <v>29633</v>
      </c>
      <c r="D32" s="4">
        <v>0</v>
      </c>
      <c r="F32">
        <v>10169135</v>
      </c>
      <c r="G32" t="s">
        <v>55</v>
      </c>
      <c r="H32" s="5">
        <v>29633</v>
      </c>
      <c r="I32">
        <v>0</v>
      </c>
      <c r="N32" t="str">
        <f>MID(G32,LEN(O32)+2,40)</f>
        <v>Montejo Gonzalez</v>
      </c>
      <c r="O32" t="str">
        <f>TRIM(LEFT(G32,FIND(" ",G32)))</f>
        <v>Francisco</v>
      </c>
    </row>
    <row r="33" spans="1:15" ht="15" thickBot="1" x14ac:dyDescent="0.35">
      <c r="A33" s="2">
        <v>10768482</v>
      </c>
      <c r="B33" s="2" t="s">
        <v>40</v>
      </c>
      <c r="C33" s="3">
        <v>29511</v>
      </c>
      <c r="D33" s="4">
        <v>0</v>
      </c>
      <c r="F33">
        <v>10768482</v>
      </c>
      <c r="G33" t="s">
        <v>40</v>
      </c>
      <c r="H33" s="5">
        <v>29511</v>
      </c>
      <c r="I33">
        <v>0</v>
      </c>
      <c r="N33" t="str">
        <f>MID(G33,LEN(O33)+2,40)</f>
        <v>Moreno Aguilar</v>
      </c>
      <c r="O33" t="str">
        <f>TRIM(LEFT(G33,FIND(" ",G33)))</f>
        <v>Jesus</v>
      </c>
    </row>
    <row r="34" spans="1:15" ht="15" thickBot="1" x14ac:dyDescent="0.35">
      <c r="A34" s="2">
        <v>10770809</v>
      </c>
      <c r="B34" s="2" t="s">
        <v>27</v>
      </c>
      <c r="C34" s="3">
        <v>32535</v>
      </c>
      <c r="D34" s="4">
        <v>0</v>
      </c>
      <c r="F34">
        <v>10770809</v>
      </c>
      <c r="G34" t="s">
        <v>27</v>
      </c>
      <c r="H34" s="5">
        <v>32535</v>
      </c>
      <c r="I34">
        <v>0</v>
      </c>
      <c r="N34" t="str">
        <f>MID(G34,LEN(O34)+2,40)</f>
        <v>Morillas Poyato</v>
      </c>
      <c r="O34" t="str">
        <f>TRIM(LEFT(G34,FIND(" ",G34)))</f>
        <v>Diego</v>
      </c>
    </row>
    <row r="35" spans="1:15" ht="15" thickBot="1" x14ac:dyDescent="0.35">
      <c r="A35" s="2">
        <v>9659246</v>
      </c>
      <c r="B35" s="2" t="s">
        <v>66</v>
      </c>
      <c r="C35" s="3">
        <v>36767</v>
      </c>
      <c r="D35" s="4">
        <v>0</v>
      </c>
      <c r="F35">
        <v>9659246</v>
      </c>
      <c r="G35" t="s">
        <v>66</v>
      </c>
      <c r="H35" s="5">
        <v>36767</v>
      </c>
      <c r="I35">
        <v>0</v>
      </c>
      <c r="N35" t="str">
        <f>MID(G35,LEN(O35)+2,40)</f>
        <v>Muñoz Maroto</v>
      </c>
      <c r="O35" t="str">
        <f>TRIM(LEFT(G35,FIND(" ",G35)))</f>
        <v>Manuel</v>
      </c>
    </row>
    <row r="36" spans="1:15" ht="15" thickBot="1" x14ac:dyDescent="0.35">
      <c r="A36" s="2">
        <v>9431412</v>
      </c>
      <c r="B36" s="2" t="s">
        <v>21</v>
      </c>
      <c r="C36" s="3">
        <v>34001</v>
      </c>
      <c r="D36" s="4">
        <v>0</v>
      </c>
      <c r="F36">
        <v>9431412</v>
      </c>
      <c r="G36" t="s">
        <v>21</v>
      </c>
      <c r="H36" s="5">
        <v>34001</v>
      </c>
      <c r="I36">
        <v>0</v>
      </c>
      <c r="N36" t="str">
        <f>MID(G36,LEN(O36)+2,40)</f>
        <v>Narbona Mazuela</v>
      </c>
      <c r="O36" t="s">
        <v>85</v>
      </c>
    </row>
    <row r="37" spans="1:15" ht="15" thickBot="1" x14ac:dyDescent="0.35">
      <c r="A37" s="2">
        <v>9754385</v>
      </c>
      <c r="B37" s="2" t="s">
        <v>23</v>
      </c>
      <c r="C37" s="3">
        <v>33678</v>
      </c>
      <c r="D37" s="4">
        <v>0</v>
      </c>
      <c r="F37">
        <v>9754385</v>
      </c>
      <c r="G37" t="s">
        <v>23</v>
      </c>
      <c r="H37" s="5">
        <v>33678</v>
      </c>
      <c r="I37">
        <v>0</v>
      </c>
      <c r="N37" t="str">
        <f>MID(G37,LEN(O37)+2,40)</f>
        <v>Navas Diaz</v>
      </c>
      <c r="O37" t="str">
        <f>TRIM(LEFT(G37,FIND(" ",G37)))</f>
        <v>Borja</v>
      </c>
    </row>
    <row r="38" spans="1:15" ht="15" thickBot="1" x14ac:dyDescent="0.35">
      <c r="A38" s="2">
        <v>10605866</v>
      </c>
      <c r="B38" s="2" t="s">
        <v>59</v>
      </c>
      <c r="C38" s="3">
        <v>30220</v>
      </c>
      <c r="D38" s="4">
        <v>0</v>
      </c>
      <c r="F38">
        <v>10605866</v>
      </c>
      <c r="G38" t="s">
        <v>59</v>
      </c>
      <c r="H38" s="5">
        <v>30220</v>
      </c>
      <c r="I38">
        <v>0</v>
      </c>
      <c r="N38" t="str">
        <f>MID(G38,LEN(O38)+2,40)</f>
        <v>Parrilla Garcia</v>
      </c>
      <c r="O38" t="s">
        <v>89</v>
      </c>
    </row>
    <row r="39" spans="1:15" ht="15" thickBot="1" x14ac:dyDescent="0.35">
      <c r="A39" s="2">
        <v>7291165</v>
      </c>
      <c r="B39" s="2" t="s">
        <v>39</v>
      </c>
      <c r="C39" s="3">
        <v>32612</v>
      </c>
      <c r="D39" s="4">
        <v>0</v>
      </c>
      <c r="F39">
        <v>7291165</v>
      </c>
      <c r="G39" t="s">
        <v>39</v>
      </c>
      <c r="H39" s="5">
        <v>32612</v>
      </c>
      <c r="I39">
        <v>0</v>
      </c>
      <c r="N39" t="str">
        <f>MID(G39,LEN(O39)+2,40)</f>
        <v>Parrilla Pulido</v>
      </c>
      <c r="O39" t="str">
        <f>TRIM(LEFT(G39,FIND(" ",G39)))</f>
        <v>Emilio</v>
      </c>
    </row>
    <row r="40" spans="1:15" ht="15" thickBot="1" x14ac:dyDescent="0.35">
      <c r="A40" s="2">
        <v>10768961</v>
      </c>
      <c r="B40" s="2" t="s">
        <v>64</v>
      </c>
      <c r="C40" s="3">
        <v>29946</v>
      </c>
      <c r="D40" s="4">
        <v>0</v>
      </c>
      <c r="F40">
        <v>10768961</v>
      </c>
      <c r="G40" t="s">
        <v>64</v>
      </c>
      <c r="H40" s="5">
        <v>29946</v>
      </c>
      <c r="I40">
        <v>0</v>
      </c>
      <c r="N40" t="str">
        <f>MID(G40,LEN(O40)+2,40)</f>
        <v>Prieto Perez</v>
      </c>
      <c r="O40" t="str">
        <f>TRIM(LEFT(G40,FIND(" ",G40)))</f>
        <v>Alvaro</v>
      </c>
    </row>
    <row r="41" spans="1:15" ht="15" thickBot="1" x14ac:dyDescent="0.35">
      <c r="A41" s="2">
        <v>10783042</v>
      </c>
      <c r="B41" s="2" t="s">
        <v>58</v>
      </c>
      <c r="C41" s="3">
        <v>36732</v>
      </c>
      <c r="D41" s="4">
        <v>0</v>
      </c>
      <c r="F41">
        <v>10783042</v>
      </c>
      <c r="G41" t="s">
        <v>58</v>
      </c>
      <c r="H41" s="5">
        <v>36732</v>
      </c>
      <c r="I41">
        <v>0</v>
      </c>
      <c r="N41" t="str">
        <f>MID(G41,LEN(O41)+2,40)</f>
        <v>Reimúndez</v>
      </c>
      <c r="O41" t="str">
        <f>TRIM(LEFT(G41,FIND(" ",G41)))</f>
        <v>Javier</v>
      </c>
    </row>
    <row r="42" spans="1:15" ht="15" thickBot="1" x14ac:dyDescent="0.35">
      <c r="A42" s="2">
        <v>10547703</v>
      </c>
      <c r="B42" s="2" t="s">
        <v>20</v>
      </c>
      <c r="C42" s="3">
        <v>39688</v>
      </c>
      <c r="D42" s="4">
        <v>241</v>
      </c>
      <c r="F42">
        <v>10547703</v>
      </c>
      <c r="G42" t="s">
        <v>20</v>
      </c>
      <c r="H42" s="5">
        <v>39688</v>
      </c>
      <c r="I42">
        <v>241</v>
      </c>
      <c r="K42" t="e">
        <f>TRIM(LEFT(G42,FIND("-",G42)-1))</f>
        <v>#VALUE!</v>
      </c>
      <c r="L42" t="e">
        <f>TRIM(MID(G42,LEN(K42)+3,40))</f>
        <v>#VALUE!</v>
      </c>
      <c r="N42" t="str">
        <f>MID(G42,LEN(O42)+2,40)</f>
        <v>Revuelta Santamaria</v>
      </c>
      <c r="O42" t="str">
        <f>TRIM(LEFT(G42,FIND(" ",G42)))</f>
        <v>Eduardo</v>
      </c>
    </row>
    <row r="43" spans="1:15" ht="15" thickBot="1" x14ac:dyDescent="0.35">
      <c r="A43" s="2">
        <v>16307804</v>
      </c>
      <c r="B43" s="2" t="s">
        <v>50</v>
      </c>
      <c r="C43" s="3">
        <v>34202</v>
      </c>
      <c r="D43" s="4">
        <v>0</v>
      </c>
      <c r="F43">
        <v>16307804</v>
      </c>
      <c r="G43" t="s">
        <v>50</v>
      </c>
      <c r="H43" s="5">
        <v>34202</v>
      </c>
      <c r="I43">
        <v>0</v>
      </c>
      <c r="N43" t="str">
        <f>MID(G43,LEN(O43)+2,40)</f>
        <v>Rodrigo Hurtado Lorenzo</v>
      </c>
      <c r="O43" t="str">
        <f>TRIM(LEFT(G43,FIND(" ",G43)))</f>
        <v>Miguel</v>
      </c>
    </row>
    <row r="44" spans="1:15" ht="15" thickBot="1" x14ac:dyDescent="0.35">
      <c r="A44" s="2">
        <v>10763903</v>
      </c>
      <c r="B44" s="2" t="s">
        <v>25</v>
      </c>
      <c r="C44" s="3">
        <v>35104</v>
      </c>
      <c r="D44" s="4">
        <v>0</v>
      </c>
      <c r="F44">
        <v>10763903</v>
      </c>
      <c r="G44" t="s">
        <v>25</v>
      </c>
      <c r="H44" s="5">
        <v>35104</v>
      </c>
      <c r="I44">
        <v>0</v>
      </c>
      <c r="N44" t="str">
        <f>MID(G44,LEN(O44)+2,40)</f>
        <v>Rodriguez-Palacan Garcia</v>
      </c>
      <c r="O44" t="str">
        <f>TRIM(LEFT(G44,FIND(" ",G44)))</f>
        <v>Andres</v>
      </c>
    </row>
    <row r="45" spans="1:15" ht="15" thickBot="1" x14ac:dyDescent="0.35">
      <c r="A45" s="2">
        <v>10778655</v>
      </c>
      <c r="B45" s="2" t="s">
        <v>52</v>
      </c>
      <c r="C45" s="3">
        <v>30679</v>
      </c>
      <c r="D45" s="4">
        <v>0</v>
      </c>
      <c r="F45">
        <v>10778655</v>
      </c>
      <c r="G45" t="s">
        <v>52</v>
      </c>
      <c r="H45" s="5">
        <v>30679</v>
      </c>
      <c r="I45">
        <v>0</v>
      </c>
      <c r="N45" t="str">
        <f>MID(G45,LEN(O45)+2,40)</f>
        <v>Rosagro Escámez</v>
      </c>
      <c r="O45" t="str">
        <f>TRIM(LEFT(G45,FIND(" ",G45)))</f>
        <v>Alfonso</v>
      </c>
    </row>
    <row r="46" spans="1:15" ht="15" thickBot="1" x14ac:dyDescent="0.35">
      <c r="A46" s="2">
        <v>10777491</v>
      </c>
      <c r="B46" s="2" t="s">
        <v>43</v>
      </c>
      <c r="C46" s="3">
        <v>28767</v>
      </c>
      <c r="D46" s="4">
        <v>0</v>
      </c>
      <c r="F46">
        <v>10777491</v>
      </c>
      <c r="G46" t="s">
        <v>43</v>
      </c>
      <c r="H46" s="5">
        <v>28767</v>
      </c>
      <c r="I46">
        <v>0</v>
      </c>
      <c r="N46" t="str">
        <f>MID(G46,LEN(O46)+2,40)</f>
        <v>Santiago Gonzalez Berjano</v>
      </c>
      <c r="O46" t="str">
        <f>TRIM(LEFT(G46,FIND(" ",G46)))</f>
        <v>Tristán</v>
      </c>
    </row>
    <row r="47" spans="1:15" ht="15" thickBot="1" x14ac:dyDescent="0.35">
      <c r="A47" s="2">
        <v>10771378</v>
      </c>
      <c r="B47" s="2" t="s">
        <v>57</v>
      </c>
      <c r="C47" s="3">
        <v>38559</v>
      </c>
      <c r="D47" s="4">
        <v>0</v>
      </c>
      <c r="F47">
        <v>10771378</v>
      </c>
      <c r="G47" t="s">
        <v>57</v>
      </c>
      <c r="H47" s="5">
        <v>38559</v>
      </c>
      <c r="I47">
        <v>0</v>
      </c>
      <c r="N47" t="str">
        <f>MID(G47,LEN(O47)+2,40)</f>
        <v>Satrústegui Coca</v>
      </c>
      <c r="O47" t="str">
        <f>TRIM(LEFT(G47,FIND(" ",G47)))</f>
        <v>Mario</v>
      </c>
    </row>
    <row r="48" spans="1:15" x14ac:dyDescent="0.3">
      <c r="A48" s="2">
        <v>10536532</v>
      </c>
      <c r="B48" s="2" t="s">
        <v>47</v>
      </c>
      <c r="C48" s="3">
        <v>40588</v>
      </c>
      <c r="D48" s="4">
        <v>0</v>
      </c>
      <c r="F48">
        <v>10536532</v>
      </c>
      <c r="G48" t="s">
        <v>47</v>
      </c>
      <c r="H48" s="5">
        <v>40588</v>
      </c>
      <c r="I48">
        <v>0</v>
      </c>
      <c r="N48" t="str">
        <f>MID(G48,LEN(O48)+2,40)</f>
        <v>Viñuela Villalba</v>
      </c>
      <c r="O48" t="str">
        <f>TRIM(LEFT(G48,FIND(" ",G48)))</f>
        <v>Miguel</v>
      </c>
    </row>
  </sheetData>
  <autoFilter ref="A1:R1">
    <sortState ref="A2:R48">
      <sortCondition ref="N1"/>
    </sortState>
  </autoFilter>
  <hyperlinks>
    <hyperlink ref="A42" r:id="rId1" display="https://competicion.ftm.es/app/jugador/historial/10547703/3507/torneos.mensual/2"/>
    <hyperlink ref="B42" r:id="rId2" display="https://competicion.ftm.es/app/jugador/historial/10547703/3507/torneos.mensual/2"/>
    <hyperlink ref="A36" r:id="rId3" display="https://competicion.ftm.es/app/jugador/historial/09431412/3507/torneos.mensual/2"/>
    <hyperlink ref="B36" r:id="rId4" display="https://competicion.ftm.es/app/jugador/historial/09431412/3507/torneos.mensual/2"/>
    <hyperlink ref="A28" r:id="rId5" display="https://competicion.ftm.es/app/jugador/historial/07404007/3507/torneos.mensual/2"/>
    <hyperlink ref="B28" r:id="rId6" display="https://competicion.ftm.es/app/jugador/historial/07404007/3507/torneos.mensual/2"/>
    <hyperlink ref="A37" r:id="rId7" display="https://competicion.ftm.es/app/jugador/historial/09754385/3507/torneos.mensual/2"/>
    <hyperlink ref="B37" r:id="rId8" display="https://competicion.ftm.es/app/jugador/historial/09754385/3507/torneos.mensual/2"/>
    <hyperlink ref="A8" r:id="rId9" display="https://competicion.ftm.es/app/jugador/historial/10770742/3507/torneos.mensual/2"/>
    <hyperlink ref="B8" r:id="rId10" display="https://competicion.ftm.es/app/jugador/historial/10770742/3507/torneos.mensual/2"/>
    <hyperlink ref="A44" r:id="rId11" display="https://competicion.ftm.es/app/jugador/historial/10763903/3507/torneos.mensual/2"/>
    <hyperlink ref="B44" r:id="rId12" display="https://competicion.ftm.es/app/jugador/historial/10763903/3507/torneos.mensual/2"/>
    <hyperlink ref="A3" r:id="rId13" display="https://competicion.ftm.es/app/jugador/historial/10763937/3507/torneos.mensual/2"/>
    <hyperlink ref="B3" r:id="rId14" display="https://competicion.ftm.es/app/jugador/historial/10763937/3507/torneos.mensual/2"/>
    <hyperlink ref="A34" r:id="rId15" display="https://competicion.ftm.es/app/jugador/historial/10770809/3507/torneos.mensual/2"/>
    <hyperlink ref="B34" r:id="rId16" display="https://competicion.ftm.es/app/jugador/historial/10770809/3507/torneos.mensual/2"/>
    <hyperlink ref="A12" r:id="rId17" display="https://competicion.ftm.es/app/jugador/historial/10767153/3507/torneos.mensual/2"/>
    <hyperlink ref="B12" r:id="rId18" display="https://competicion.ftm.es/app/jugador/historial/10767153/3507/torneos.mensual/2"/>
    <hyperlink ref="A20" r:id="rId19" display="https://competicion.ftm.es/app/jugador/historial/10772409/3507/torneos.mensual/2"/>
    <hyperlink ref="B20" r:id="rId20" display="https://competicion.ftm.es/app/jugador/historial/10772409/3507/torneos.mensual/2"/>
    <hyperlink ref="A17" r:id="rId21" display="https://competicion.ftm.es/app/jugador/historial/10771120/3507/torneos.mensual/2"/>
    <hyperlink ref="B17" r:id="rId22" display="https://competicion.ftm.es/app/jugador/historial/10771120/3507/torneos.mensual/2"/>
    <hyperlink ref="A14" r:id="rId23" display="https://competicion.ftm.es/app/jugador/historial/10770627/3507/torneos.mensual/2"/>
    <hyperlink ref="B14" r:id="rId24" display="https://competicion.ftm.es/app/jugador/historial/10770627/3507/torneos.mensual/2"/>
    <hyperlink ref="A6" r:id="rId25" display="https://competicion.ftm.es/app/jugador/historial/13005526/3507/torneos.mensual/2"/>
    <hyperlink ref="B6" r:id="rId26" display="https://competicion.ftm.es/app/jugador/historial/13005526/3507/torneos.mensual/2"/>
    <hyperlink ref="A24" r:id="rId27" display="https://competicion.ftm.es/app/jugador/historial/10768375/3507/torneos.mensual/2"/>
    <hyperlink ref="B24" r:id="rId28" display="https://competicion.ftm.es/app/jugador/historial/10768375/3507/torneos.mensual/2"/>
    <hyperlink ref="A23" r:id="rId29" display="https://competicion.ftm.es/app/jugador/historial/10440238/3507/torneos.mensual/2"/>
    <hyperlink ref="B23" r:id="rId30" display="https://competicion.ftm.es/app/jugador/historial/10440238/3507/torneos.mensual/2"/>
    <hyperlink ref="A29" r:id="rId31" display="https://competicion.ftm.es/app/jugador/historial/10737734/3507/torneos.mensual/2"/>
    <hyperlink ref="B29" r:id="rId32" display="https://competicion.ftm.es/app/jugador/historial/10737734/3507/torneos.mensual/2"/>
    <hyperlink ref="A13" r:id="rId33" display="https://competicion.ftm.es/app/jugador/historial/16307820/3507/torneos.mensual/2"/>
    <hyperlink ref="B13" r:id="rId34" display="https://competicion.ftm.es/app/jugador/historial/16307820/3507/torneos.mensual/2"/>
    <hyperlink ref="A31" r:id="rId35" display="https://competicion.ftm.es/app/jugador/historial/10765355/3507/torneos.mensual/2"/>
    <hyperlink ref="B31" r:id="rId36" display="https://competicion.ftm.es/app/jugador/historial/10765355/3507/torneos.mensual/2"/>
    <hyperlink ref="A25" r:id="rId37" display="https://competicion.ftm.es/app/jugador/historial/10777631/3507/torneos.mensual/2"/>
    <hyperlink ref="B25" r:id="rId38" display="https://competicion.ftm.es/app/jugador/historial/10777631/3507/torneos.mensual/2"/>
    <hyperlink ref="A39" r:id="rId39" display="https://competicion.ftm.es/app/jugador/historial/07291165/3507/torneos.mensual/2"/>
    <hyperlink ref="B39" r:id="rId40" display="https://competicion.ftm.es/app/jugador/historial/07291165/3507/torneos.mensual/2"/>
    <hyperlink ref="A33" r:id="rId41" display="https://competicion.ftm.es/app/jugador/historial/10768482/3507/torneos.mensual/2"/>
    <hyperlink ref="B33" r:id="rId42" display="https://competicion.ftm.es/app/jugador/historial/10768482/3507/torneos.mensual/2"/>
    <hyperlink ref="A21" r:id="rId43" display="https://competicion.ftm.es/app/jugador/historial/10777483/3507/torneos.mensual/2"/>
    <hyperlink ref="B21" r:id="rId44" display="https://competicion.ftm.es/app/jugador/historial/10777483/3507/torneos.mensual/2"/>
    <hyperlink ref="A30" r:id="rId45" display="https://competicion.ftm.es/app/jugador/historial/10768474/3507/torneos.mensual/2"/>
    <hyperlink ref="B30" r:id="rId46" display="https://competicion.ftm.es/app/jugador/historial/10768474/3507/torneos.mensual/2"/>
    <hyperlink ref="A46" r:id="rId47" display="https://competicion.ftm.es/app/jugador/historial/10777491/3507/torneos.mensual/2"/>
    <hyperlink ref="B46" r:id="rId48" display="https://competicion.ftm.es/app/jugador/historial/10777491/3507/torneos.mensual/2"/>
    <hyperlink ref="A16" r:id="rId49" display="https://competicion.ftm.es/app/jugador/historial/10768614/3507/torneos.mensual/2"/>
    <hyperlink ref="B16" r:id="rId50" display="https://competicion.ftm.es/app/jugador/historial/10768614/3507/torneos.mensual/2"/>
    <hyperlink ref="A9" r:id="rId51" display="https://competicion.ftm.es/app/jugador/historial/10110146/3507/torneos.mensual/2"/>
    <hyperlink ref="B9" r:id="rId52" display="https://competicion.ftm.es/app/jugador/historial/10110146/3507/torneos.mensual/2"/>
    <hyperlink ref="A2" r:id="rId53" display="https://competicion.ftm.es/app/jugador/historial/10778481/3507/torneos.mensual/2"/>
    <hyperlink ref="B2" r:id="rId54" display="https://competicion.ftm.es/app/jugador/historial/10778481/3507/torneos.mensual/2"/>
    <hyperlink ref="A48" r:id="rId55" display="https://competicion.ftm.es/app/jugador/historial/10536532/3507/torneos.mensual/2"/>
    <hyperlink ref="B48" r:id="rId56" display="https://competicion.ftm.es/app/jugador/historial/10536532/3507/torneos.mensual/2"/>
    <hyperlink ref="A5" r:id="rId57" display="https://competicion.ftm.es/app/jugador/historial/10134930/3507/torneos.mensual/2"/>
    <hyperlink ref="B5" r:id="rId58" display="https://competicion.ftm.es/app/jugador/historial/10134930/3507/torneos.mensual/2"/>
    <hyperlink ref="A10" r:id="rId59" display="https://competicion.ftm.es/app/jugador/historial/10602250/3507/torneos.mensual/2"/>
    <hyperlink ref="B10" r:id="rId60" display="https://competicion.ftm.es/app/jugador/historial/10602250/3507/torneos.mensual/2"/>
    <hyperlink ref="A43" r:id="rId61" display="https://competicion.ftm.es/app/jugador/historial/16307804/3507/torneos.mensual/2"/>
    <hyperlink ref="B43" r:id="rId62" display="https://competicion.ftm.es/app/jugador/historial/16307804/3507/torneos.mensual/2"/>
    <hyperlink ref="A27" r:id="rId63" display="https://competicion.ftm.es/app/jugador/historial/10777821/3507/torneos.mensual/2"/>
    <hyperlink ref="B27" r:id="rId64" display="https://competicion.ftm.es/app/jugador/historial/10777821/3507/torneos.mensual/2"/>
    <hyperlink ref="A45" r:id="rId65" display="https://competicion.ftm.es/app/jugador/historial/10778655/3507/torneos.mensual/2"/>
    <hyperlink ref="B45" r:id="rId66" display="https://competicion.ftm.es/app/jugador/historial/10778655/3507/torneos.mensual/2"/>
    <hyperlink ref="A11" r:id="rId67" display="https://competicion.ftm.es/app/jugador/historial/14043335/3507/torneos.mensual/2"/>
    <hyperlink ref="B11" r:id="rId68" display="https://competicion.ftm.es/app/jugador/historial/14043335/3507/torneos.mensual/2"/>
    <hyperlink ref="A22" r:id="rId69" display="https://competicion.ftm.es/app/jugador/historial/10770768/3507/torneos.mensual/2"/>
    <hyperlink ref="B22" r:id="rId70" display="https://competicion.ftm.es/app/jugador/historial/10770768/3507/torneos.mensual/2"/>
    <hyperlink ref="A32" r:id="rId71" display="https://competicion.ftm.es/app/jugador/historial/10169135/3507/torneos.mensual/2"/>
    <hyperlink ref="B32" r:id="rId72" display="https://competicion.ftm.es/app/jugador/historial/10169135/3507/torneos.mensual/2"/>
    <hyperlink ref="A4" r:id="rId73" display="https://competicion.ftm.es/app/jugador/historial/10774778/3507/torneos.mensual/2"/>
    <hyperlink ref="B4" r:id="rId74" display="https://competicion.ftm.es/app/jugador/historial/10774778/3507/torneos.mensual/2"/>
    <hyperlink ref="A47" r:id="rId75" display="https://competicion.ftm.es/app/jugador/historial/10771378/3507/torneos.mensual/2"/>
    <hyperlink ref="B47" r:id="rId76" display="https://competicion.ftm.es/app/jugador/historial/10771378/3507/torneos.mensual/2"/>
    <hyperlink ref="A41" r:id="rId77" display="https://competicion.ftm.es/app/jugador/historial/10783042/3507/torneos.mensual/2"/>
    <hyperlink ref="B41" r:id="rId78" display="https://competicion.ftm.es/app/jugador/historial/10783042/3507/torneos.mensual/2"/>
    <hyperlink ref="A38" r:id="rId79" display="https://competicion.ftm.es/app/jugador/historial/10605866/3507/torneos.mensual/2"/>
    <hyperlink ref="B38" r:id="rId80" display="https://competicion.ftm.es/app/jugador/historial/10605866/3507/torneos.mensual/2"/>
    <hyperlink ref="A26" r:id="rId81" display="https://competicion.ftm.es/app/jugador/historial/10485268/3507/torneos.mensual/2"/>
    <hyperlink ref="B26" r:id="rId82" display="https://competicion.ftm.es/app/jugador/historial/10485268/3507/torneos.mensual/2"/>
    <hyperlink ref="A18" r:id="rId83" display="https://competicion.ftm.es/app/jugador/historial/07456397/3507/torneos.mensual/2"/>
    <hyperlink ref="B18" r:id="rId84" display="https://competicion.ftm.es/app/jugador/historial/07456397/3507/torneos.mensual/2"/>
    <hyperlink ref="A15" r:id="rId85" display="https://competicion.ftm.es/app/jugador/historial/10623024/3507/torneos.mensual/2"/>
    <hyperlink ref="B15" r:id="rId86" display="https://competicion.ftm.es/app/jugador/historial/10623024/3507/torneos.mensual/2"/>
    <hyperlink ref="A19" r:id="rId87" display="https://competicion.ftm.es/app/jugador/historial/10766478/3507/torneos.mensual/2"/>
    <hyperlink ref="B19" r:id="rId88" display="https://competicion.ftm.es/app/jugador/historial/10766478/3507/torneos.mensual/2"/>
    <hyperlink ref="A40" r:id="rId89" display="https://competicion.ftm.es/app/jugador/historial/10768961/3507/torneos.mensual/2"/>
    <hyperlink ref="B40" r:id="rId90" display="https://competicion.ftm.es/app/jugador/historial/10768961/3507/torneos.mensual/2"/>
    <hyperlink ref="A7" r:id="rId91" display="https://competicion.ftm.es/app/jugador/historial/07179733/3507/torneos.mensual/2"/>
    <hyperlink ref="B7" r:id="rId92" display="https://competicion.ftm.es/app/jugador/historial/07179733/3507/torneos.mensual/2"/>
    <hyperlink ref="A35" r:id="rId93" display="https://competicion.ftm.es/app/jugador/historial/09659246/3507/torneos.mensual/2"/>
    <hyperlink ref="B35" r:id="rId94" display="https://competicion.ftm.es/app/jugador/historial/09659246/3507/torneos.mensual/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Sheet1</vt:lpstr>
      <vt:lpstr>+50 D M</vt:lpstr>
      <vt:lpstr>+60 D M</vt:lpstr>
      <vt:lpstr>+60 I M</vt:lpstr>
      <vt:lpstr>+50 I M</vt:lpstr>
      <vt:lpstr>ABS I F</vt:lpstr>
      <vt:lpstr>ABS I 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triJuankar .</dc:creator>
  <cp:lastModifiedBy>Juankar .</cp:lastModifiedBy>
  <dcterms:created xsi:type="dcterms:W3CDTF">2024-05-09T18:22:55Z</dcterms:created>
  <dcterms:modified xsi:type="dcterms:W3CDTF">2024-11-13T22:36:43Z</dcterms:modified>
</cp:coreProperties>
</file>