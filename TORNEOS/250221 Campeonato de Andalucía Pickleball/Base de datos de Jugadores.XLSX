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i unidad\TORNEOS\250221 Campeonato de Andalucía Pickleball\"/>
    </mc:Choice>
  </mc:AlternateContent>
  <bookViews>
    <workbookView minimized="1" xWindow="0" yWindow="0" windowWidth="28800" windowHeight="12300" activeTab="3"/>
  </bookViews>
  <sheets>
    <sheet name="Sheet1" sheetId="1" r:id="rId1"/>
    <sheet name="Cotejar" sheetId="5" r:id="rId2"/>
    <sheet name="Master Final Madrid 2024" sheetId="3" r:id="rId3"/>
    <sheet name="CTO.ANDALUCIA 2025" sheetId="7" r:id="rId4"/>
    <sheet name="FORMULAS" sheetId="4" r:id="rId5"/>
    <sheet name="Ranking" sheetId="6" r:id="rId6"/>
  </sheets>
  <definedNames>
    <definedName name="_xlnm._FilterDatabase" localSheetId="1" hidden="1">Cotejar!$A$1:$G$1</definedName>
    <definedName name="_xlnm._FilterDatabase" localSheetId="3" hidden="1">'CTO.ANDALUCIA 2025'!$A$1:$AA$1</definedName>
    <definedName name="_xlnm._FilterDatabase" localSheetId="5" hidden="1">Ranking!$A$1:$S$1</definedName>
    <definedName name="_xlnm._FilterDatabase" localSheetId="0" hidden="1">Sheet1!$A$1:$AA$1</definedName>
  </definedNames>
  <calcPr calcId="162913"/>
</workbook>
</file>

<file path=xl/calcChain.xml><?xml version="1.0" encoding="utf-8"?>
<calcChain xmlns="http://schemas.openxmlformats.org/spreadsheetml/2006/main">
  <c r="B40" i="4" l="1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AA56" i="1" l="1"/>
  <c r="AA56" i="4" s="1"/>
  <c r="AA82" i="1"/>
  <c r="AA82" i="4" s="1"/>
  <c r="AA26" i="1"/>
  <c r="AA30" i="1"/>
  <c r="AA17" i="1"/>
  <c r="AA29" i="1"/>
  <c r="AA90" i="1"/>
  <c r="AA90" i="4" s="1"/>
  <c r="AA48" i="1"/>
  <c r="AA48" i="4" s="1"/>
  <c r="AA69" i="1"/>
  <c r="AA69" i="4" s="1"/>
  <c r="AA31" i="1"/>
  <c r="AA45" i="1"/>
  <c r="AA45" i="4" s="1"/>
  <c r="AA25" i="1"/>
  <c r="AA86" i="1"/>
  <c r="AA86" i="4" s="1"/>
  <c r="B56" i="1"/>
  <c r="B82" i="1"/>
  <c r="B26" i="1"/>
  <c r="B30" i="1"/>
  <c r="B17" i="1"/>
  <c r="B29" i="1"/>
  <c r="B90" i="1"/>
  <c r="B48" i="1"/>
  <c r="B69" i="1"/>
  <c r="B31" i="1"/>
  <c r="B45" i="1"/>
  <c r="B25" i="1"/>
  <c r="B86" i="1"/>
  <c r="AA14" i="1"/>
  <c r="AA22" i="1"/>
  <c r="AA38" i="1"/>
  <c r="AA39" i="1"/>
  <c r="AA41" i="1"/>
  <c r="AA41" i="4" s="1"/>
  <c r="AA54" i="1"/>
  <c r="AA54" i="4" s="1"/>
  <c r="AA58" i="1"/>
  <c r="AA58" i="4" s="1"/>
  <c r="AA64" i="1"/>
  <c r="AA64" i="4" s="1"/>
  <c r="AA67" i="1"/>
  <c r="AA67" i="4" s="1"/>
  <c r="AA77" i="1"/>
  <c r="AA77" i="4" s="1"/>
  <c r="AA84" i="1"/>
  <c r="AA84" i="4" s="1"/>
  <c r="AA89" i="1"/>
  <c r="AA89" i="4" s="1"/>
  <c r="AA97" i="1"/>
  <c r="AA97" i="4" s="1"/>
  <c r="AA3" i="1"/>
  <c r="B3" i="1"/>
  <c r="B6" i="1"/>
  <c r="AA6" i="1"/>
  <c r="B7" i="1"/>
  <c r="AA7" i="1"/>
  <c r="B11" i="1"/>
  <c r="AA11" i="1"/>
  <c r="B12" i="1"/>
  <c r="AA12" i="1"/>
  <c r="B14" i="1"/>
  <c r="B23" i="1"/>
  <c r="AA23" i="1"/>
  <c r="B22" i="1"/>
  <c r="B27" i="1"/>
  <c r="AA27" i="1"/>
  <c r="B34" i="1"/>
  <c r="AA34" i="1"/>
  <c r="B37" i="1"/>
  <c r="AA37" i="1"/>
  <c r="B38" i="1"/>
  <c r="B39" i="1"/>
  <c r="B41" i="1"/>
  <c r="B47" i="1"/>
  <c r="AA47" i="1"/>
  <c r="AA47" i="4" s="1"/>
  <c r="B49" i="1"/>
  <c r="AA49" i="1"/>
  <c r="AA49" i="4" s="1"/>
  <c r="B51" i="1"/>
  <c r="AA51" i="1"/>
  <c r="AA51" i="4" s="1"/>
  <c r="B54" i="1"/>
  <c r="B57" i="1"/>
  <c r="AA57" i="1"/>
  <c r="AA57" i="4" s="1"/>
  <c r="B58" i="1"/>
  <c r="B60" i="1"/>
  <c r="AA60" i="1"/>
  <c r="AA60" i="4" s="1"/>
  <c r="B61" i="1"/>
  <c r="AA61" i="1"/>
  <c r="AA61" i="4" s="1"/>
  <c r="B62" i="1"/>
  <c r="AA62" i="1"/>
  <c r="AA62" i="4" s="1"/>
  <c r="B64" i="1"/>
  <c r="B65" i="1"/>
  <c r="AA65" i="1"/>
  <c r="AA65" i="4" s="1"/>
  <c r="B67" i="1"/>
  <c r="B70" i="1"/>
  <c r="AA70" i="1"/>
  <c r="AA70" i="4" s="1"/>
  <c r="B71" i="1"/>
  <c r="AA71" i="1"/>
  <c r="AA71" i="4" s="1"/>
  <c r="B72" i="1"/>
  <c r="AA72" i="1"/>
  <c r="AA72" i="4" s="1"/>
  <c r="B77" i="1"/>
  <c r="B78" i="1"/>
  <c r="AA78" i="1"/>
  <c r="AA78" i="4" s="1"/>
  <c r="B84" i="1"/>
  <c r="B85" i="1"/>
  <c r="AA85" i="1"/>
  <c r="AA85" i="4" s="1"/>
  <c r="B87" i="1"/>
  <c r="AA87" i="1"/>
  <c r="AA87" i="4" s="1"/>
  <c r="B88" i="1"/>
  <c r="AA88" i="1"/>
  <c r="AA88" i="4" s="1"/>
  <c r="B89" i="1"/>
  <c r="B92" i="1"/>
  <c r="AA92" i="1"/>
  <c r="AA92" i="4" s="1"/>
  <c r="B97" i="1"/>
  <c r="B98" i="1"/>
  <c r="AA98" i="1"/>
  <c r="AA98" i="4" s="1"/>
  <c r="B100" i="1"/>
  <c r="AA100" i="1"/>
  <c r="AA100" i="4" s="1"/>
  <c r="G39" i="5"/>
  <c r="G4" i="5"/>
  <c r="G17" i="5"/>
  <c r="G40" i="5"/>
  <c r="G41" i="5"/>
  <c r="G14" i="5"/>
  <c r="G18" i="5"/>
  <c r="G42" i="5"/>
  <c r="G43" i="5"/>
  <c r="G44" i="5"/>
  <c r="G12" i="5"/>
  <c r="G30" i="5"/>
  <c r="G33" i="5"/>
  <c r="G3" i="5"/>
  <c r="G13" i="5"/>
  <c r="G45" i="5"/>
  <c r="G46" i="5"/>
  <c r="G31" i="5"/>
  <c r="G47" i="5"/>
  <c r="G5" i="5"/>
  <c r="G21" i="5"/>
  <c r="G23" i="5"/>
  <c r="G48" i="5"/>
  <c r="G38" i="5"/>
  <c r="G16" i="5"/>
  <c r="G49" i="5"/>
  <c r="G50" i="5"/>
  <c r="G51" i="5"/>
  <c r="G24" i="5"/>
  <c r="G52" i="5"/>
  <c r="G35" i="5"/>
  <c r="G53" i="5"/>
  <c r="G54" i="5"/>
  <c r="G55" i="5"/>
  <c r="G2" i="5"/>
  <c r="G11" i="5"/>
  <c r="G56" i="5"/>
  <c r="G26" i="5"/>
  <c r="G57" i="5"/>
  <c r="G58" i="5"/>
  <c r="G22" i="5"/>
  <c r="G59" i="5"/>
  <c r="G60" i="5"/>
  <c r="G61" i="5"/>
  <c r="G37" i="5"/>
  <c r="G62" i="5"/>
  <c r="G63" i="5"/>
  <c r="G27" i="5"/>
  <c r="G64" i="5"/>
  <c r="G19" i="5"/>
  <c r="G65" i="5"/>
  <c r="G66" i="5"/>
  <c r="G67" i="5"/>
  <c r="G10" i="5"/>
  <c r="G29" i="5"/>
  <c r="G68" i="5"/>
  <c r="G69" i="5"/>
  <c r="G8" i="5"/>
  <c r="G25" i="5"/>
  <c r="G32" i="5"/>
  <c r="G28" i="5"/>
  <c r="G70" i="5"/>
  <c r="G71" i="5"/>
  <c r="G72" i="5"/>
  <c r="G73" i="5"/>
  <c r="G74" i="5"/>
  <c r="G20" i="5"/>
  <c r="G75" i="5"/>
  <c r="G9" i="5"/>
  <c r="G15" i="5"/>
  <c r="G7" i="5"/>
  <c r="G6" i="5"/>
  <c r="G76" i="5"/>
  <c r="G77" i="5"/>
  <c r="G36" i="5"/>
  <c r="G78" i="5"/>
  <c r="G79" i="5"/>
  <c r="G34" i="5"/>
  <c r="AA4" i="1" l="1"/>
  <c r="B35" i="1"/>
  <c r="AA35" i="1"/>
  <c r="B42" i="1"/>
  <c r="AA42" i="1"/>
  <c r="AA42" i="4" s="1"/>
  <c r="B50" i="1"/>
  <c r="AA50" i="1"/>
  <c r="AA50" i="4" s="1"/>
  <c r="B44" i="1"/>
  <c r="AA44" i="1"/>
  <c r="AA44" i="4" s="1"/>
  <c r="B73" i="1"/>
  <c r="AA73" i="1"/>
  <c r="AA73" i="4" s="1"/>
  <c r="B94" i="1"/>
  <c r="AA94" i="1"/>
  <c r="AA94" i="4" s="1"/>
  <c r="B79" i="1"/>
  <c r="AA79" i="1"/>
  <c r="AA79" i="4" s="1"/>
  <c r="B75" i="1"/>
  <c r="AA75" i="1"/>
  <c r="AA75" i="4" s="1"/>
  <c r="C10" i="4"/>
  <c r="D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C11" i="4"/>
  <c r="D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C12" i="4"/>
  <c r="D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C13" i="4"/>
  <c r="D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C14" i="4"/>
  <c r="D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C15" i="4"/>
  <c r="D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C16" i="4"/>
  <c r="D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C17" i="4"/>
  <c r="D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C18" i="4"/>
  <c r="D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C19" i="4"/>
  <c r="D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C20" i="4"/>
  <c r="D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C21" i="4"/>
  <c r="D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C22" i="4"/>
  <c r="D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C23" i="4"/>
  <c r="D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C24" i="4"/>
  <c r="D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C25" i="4"/>
  <c r="D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C26" i="4"/>
  <c r="D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C27" i="4"/>
  <c r="D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C28" i="4"/>
  <c r="D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C29" i="4"/>
  <c r="D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C30" i="4"/>
  <c r="D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C31" i="4"/>
  <c r="D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C32" i="4"/>
  <c r="D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C33" i="4"/>
  <c r="D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C34" i="4"/>
  <c r="D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C35" i="4"/>
  <c r="D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C36" i="4"/>
  <c r="D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C37" i="4"/>
  <c r="D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C38" i="4"/>
  <c r="D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C39" i="4"/>
  <c r="D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AA8" i="1"/>
  <c r="AA13" i="1"/>
  <c r="AA40" i="1"/>
  <c r="AA96" i="1"/>
  <c r="AA96" i="4" s="1"/>
  <c r="AA59" i="1"/>
  <c r="AA59" i="4" s="1"/>
  <c r="AA66" i="1"/>
  <c r="AA66" i="4" s="1"/>
  <c r="AA5" i="1"/>
  <c r="AA91" i="1"/>
  <c r="AA91" i="4" s="1"/>
  <c r="AA83" i="1"/>
  <c r="AA83" i="4" s="1"/>
  <c r="AA76" i="1"/>
  <c r="AA76" i="4" s="1"/>
  <c r="AA46" i="1"/>
  <c r="AA52" i="1"/>
  <c r="AA19" i="1"/>
  <c r="AA22" i="4" s="1"/>
  <c r="AA15" i="1"/>
  <c r="AA34" i="4" s="1"/>
  <c r="AA95" i="1"/>
  <c r="AA38" i="4" l="1"/>
  <c r="AA95" i="4"/>
  <c r="AA35" i="4"/>
  <c r="AA52" i="4"/>
  <c r="AA26" i="4"/>
  <c r="AA46" i="4"/>
  <c r="AA29" i="4"/>
  <c r="AA40" i="4"/>
  <c r="AA23" i="4"/>
  <c r="AA27" i="4"/>
  <c r="R9" i="4"/>
  <c r="Q9" i="4"/>
  <c r="P9" i="4"/>
  <c r="O9" i="4"/>
  <c r="N9" i="4"/>
  <c r="M9" i="4"/>
  <c r="L9" i="4"/>
  <c r="K9" i="4"/>
  <c r="J9" i="4"/>
  <c r="I9" i="4"/>
  <c r="H9" i="4"/>
  <c r="G9" i="4"/>
  <c r="F9" i="4"/>
  <c r="D9" i="4"/>
  <c r="C9" i="4"/>
  <c r="R8" i="4"/>
  <c r="Q8" i="4"/>
  <c r="P8" i="4"/>
  <c r="O8" i="4"/>
  <c r="N8" i="4"/>
  <c r="M8" i="4"/>
  <c r="L8" i="4"/>
  <c r="K8" i="4"/>
  <c r="J8" i="4"/>
  <c r="I8" i="4"/>
  <c r="H8" i="4"/>
  <c r="G8" i="4"/>
  <c r="F8" i="4"/>
  <c r="D8" i="4"/>
  <c r="C8" i="4"/>
  <c r="R7" i="4"/>
  <c r="Q7" i="4"/>
  <c r="P7" i="4"/>
  <c r="O7" i="4"/>
  <c r="N7" i="4"/>
  <c r="M7" i="4"/>
  <c r="L7" i="4"/>
  <c r="K7" i="4"/>
  <c r="J7" i="4"/>
  <c r="I7" i="4"/>
  <c r="H7" i="4"/>
  <c r="G7" i="4"/>
  <c r="F7" i="4"/>
  <c r="D7" i="4"/>
  <c r="C7" i="4"/>
  <c r="R6" i="4"/>
  <c r="Q6" i="4"/>
  <c r="P6" i="4"/>
  <c r="O6" i="4"/>
  <c r="N6" i="4"/>
  <c r="M6" i="4"/>
  <c r="L6" i="4"/>
  <c r="K6" i="4"/>
  <c r="J6" i="4"/>
  <c r="I6" i="4"/>
  <c r="H6" i="4"/>
  <c r="G6" i="4"/>
  <c r="F6" i="4"/>
  <c r="D6" i="4"/>
  <c r="C6" i="4"/>
  <c r="R5" i="4"/>
  <c r="Q5" i="4"/>
  <c r="P5" i="4"/>
  <c r="O5" i="4"/>
  <c r="N5" i="4"/>
  <c r="M5" i="4"/>
  <c r="L5" i="4"/>
  <c r="K5" i="4"/>
  <c r="J5" i="4"/>
  <c r="I5" i="4"/>
  <c r="H5" i="4"/>
  <c r="G5" i="4"/>
  <c r="F5" i="4"/>
  <c r="D5" i="4"/>
  <c r="C5" i="4"/>
  <c r="R4" i="4"/>
  <c r="Q4" i="4"/>
  <c r="P4" i="4"/>
  <c r="O4" i="4"/>
  <c r="N4" i="4"/>
  <c r="M4" i="4"/>
  <c r="L4" i="4"/>
  <c r="K4" i="4"/>
  <c r="J4" i="4"/>
  <c r="I4" i="4"/>
  <c r="H4" i="4"/>
  <c r="G4" i="4"/>
  <c r="F4" i="4"/>
  <c r="D4" i="4"/>
  <c r="C4" i="4"/>
  <c r="R3" i="4"/>
  <c r="Q3" i="4"/>
  <c r="P3" i="4"/>
  <c r="O3" i="4"/>
  <c r="N3" i="4"/>
  <c r="M3" i="4"/>
  <c r="L3" i="4"/>
  <c r="K3" i="4"/>
  <c r="J3" i="4"/>
  <c r="I3" i="4"/>
  <c r="H3" i="4"/>
  <c r="G3" i="4"/>
  <c r="F3" i="4"/>
  <c r="D3" i="4"/>
  <c r="R2" i="4"/>
  <c r="Q2" i="4"/>
  <c r="P2" i="4"/>
  <c r="O2" i="4"/>
  <c r="N2" i="4"/>
  <c r="M2" i="4"/>
  <c r="L2" i="4"/>
  <c r="K2" i="4"/>
  <c r="J2" i="4"/>
  <c r="I2" i="4"/>
  <c r="H2" i="4"/>
  <c r="G2" i="4"/>
  <c r="F2" i="4"/>
  <c r="D2" i="4"/>
  <c r="C2" i="4"/>
  <c r="AA21" i="1"/>
  <c r="AA13" i="4" s="1"/>
  <c r="AA18" i="1"/>
  <c r="AA15" i="4" s="1"/>
  <c r="AA33" i="1"/>
  <c r="AA24" i="1"/>
  <c r="AA24" i="4" s="1"/>
  <c r="AA32" i="1"/>
  <c r="AA32" i="4" s="1"/>
  <c r="AA14" i="4"/>
  <c r="AA16" i="1"/>
  <c r="AA68" i="1"/>
  <c r="AA68" i="4" s="1"/>
  <c r="AA81" i="1"/>
  <c r="AA81" i="4" s="1"/>
  <c r="AA25" i="4"/>
  <c r="AA53" i="1"/>
  <c r="AA53" i="4" s="1"/>
  <c r="AA63" i="1"/>
  <c r="AA63" i="4" s="1"/>
  <c r="AA80" i="1"/>
  <c r="AA80" i="4" s="1"/>
  <c r="AA10" i="1"/>
  <c r="AA10" i="4" s="1"/>
  <c r="AA99" i="1"/>
  <c r="AA99" i="4" s="1"/>
  <c r="AA2" i="1"/>
  <c r="AA9" i="1"/>
  <c r="AA43" i="1"/>
  <c r="AA43" i="4" s="1"/>
  <c r="AA28" i="1"/>
  <c r="AA39" i="4" s="1"/>
  <c r="AA55" i="1"/>
  <c r="AA36" i="1"/>
  <c r="AA20" i="1"/>
  <c r="AA20" i="4" s="1"/>
  <c r="AA74" i="1"/>
  <c r="AA93" i="1"/>
  <c r="AA11" i="4" l="1"/>
  <c r="AA93" i="4"/>
  <c r="AA19" i="4"/>
  <c r="AA55" i="4"/>
  <c r="AA16" i="4"/>
  <c r="AA17" i="4"/>
  <c r="AA74" i="4"/>
  <c r="AA21" i="4"/>
  <c r="AA18" i="4"/>
  <c r="AA9" i="4"/>
  <c r="AA12" i="4"/>
  <c r="AA33" i="4"/>
  <c r="AA36" i="4"/>
  <c r="AA31" i="4"/>
  <c r="AA30" i="4"/>
  <c r="AA37" i="4"/>
  <c r="AA28" i="4"/>
  <c r="AA8" i="4"/>
  <c r="AA3" i="4"/>
  <c r="AA4" i="4"/>
  <c r="AA7" i="4"/>
  <c r="AA2" i="4"/>
  <c r="AA6" i="4"/>
  <c r="AA5" i="4"/>
  <c r="E22" i="4"/>
  <c r="E38" i="4"/>
  <c r="E29" i="4"/>
  <c r="B19" i="1"/>
  <c r="B22" i="4" s="1"/>
  <c r="B95" i="1"/>
  <c r="B38" i="4" s="1"/>
  <c r="B68" i="1"/>
  <c r="B40" i="1"/>
  <c r="B29" i="4" s="1"/>
  <c r="E12" i="4"/>
  <c r="B81" i="1"/>
  <c r="B12" i="4" s="1"/>
  <c r="B10" i="1"/>
  <c r="B2" i="1"/>
  <c r="E14" i="4"/>
  <c r="B9" i="1"/>
  <c r="B14" i="4"/>
  <c r="E18" i="4"/>
  <c r="B80" i="1"/>
  <c r="B83" i="1"/>
  <c r="B18" i="4" s="1"/>
  <c r="E39" i="4"/>
  <c r="E19" i="4"/>
  <c r="E17" i="4"/>
  <c r="E20" i="4"/>
  <c r="E26" i="4"/>
  <c r="E34" i="4"/>
  <c r="E13" i="4"/>
  <c r="E15" i="4"/>
  <c r="E16" i="4"/>
  <c r="E25" i="4"/>
  <c r="E11" i="4"/>
  <c r="B43" i="1"/>
  <c r="B28" i="1"/>
  <c r="B39" i="4" s="1"/>
  <c r="B55" i="1"/>
  <c r="B19" i="4" s="1"/>
  <c r="B36" i="1"/>
  <c r="B20" i="1"/>
  <c r="B74" i="1"/>
  <c r="B17" i="4" s="1"/>
  <c r="B13" i="1"/>
  <c r="B96" i="1"/>
  <c r="B59" i="1"/>
  <c r="B66" i="1"/>
  <c r="B20" i="4" s="1"/>
  <c r="B5" i="1"/>
  <c r="B91" i="1"/>
  <c r="B76" i="1"/>
  <c r="B46" i="1"/>
  <c r="B26" i="4" s="1"/>
  <c r="B52" i="1"/>
  <c r="B15" i="1"/>
  <c r="B34" i="4" s="1"/>
  <c r="B21" i="1"/>
  <c r="B13" i="4" s="1"/>
  <c r="B18" i="1"/>
  <c r="B15" i="4" s="1"/>
  <c r="B33" i="1"/>
  <c r="B16" i="4" s="1"/>
  <c r="B24" i="1"/>
  <c r="B32" i="1"/>
  <c r="B16" i="1"/>
  <c r="B25" i="4"/>
  <c r="B53" i="1"/>
  <c r="B63" i="1"/>
  <c r="B99" i="1"/>
  <c r="B93" i="1"/>
  <c r="B11" i="4" s="1"/>
  <c r="B7" i="4" l="1"/>
  <c r="E7" i="4"/>
  <c r="B31" i="4"/>
  <c r="E24" i="4"/>
  <c r="E35" i="4"/>
  <c r="E36" i="4"/>
  <c r="E30" i="4"/>
  <c r="E33" i="4"/>
  <c r="B35" i="4"/>
  <c r="B30" i="4"/>
  <c r="B37" i="4"/>
  <c r="E28" i="4"/>
  <c r="E23" i="4"/>
  <c r="E21" i="4"/>
  <c r="E27" i="4"/>
  <c r="E10" i="4"/>
  <c r="E32" i="4"/>
  <c r="E31" i="4"/>
  <c r="E37" i="4"/>
  <c r="B36" i="4"/>
  <c r="B28" i="4"/>
  <c r="B21" i="4"/>
  <c r="B27" i="4"/>
  <c r="B23" i="4"/>
  <c r="B32" i="4"/>
  <c r="B10" i="4"/>
  <c r="B24" i="4"/>
  <c r="B33" i="4"/>
  <c r="E6" i="4"/>
  <c r="B2" i="4"/>
  <c r="E4" i="4"/>
  <c r="E5" i="4"/>
  <c r="B6" i="4"/>
  <c r="B4" i="4"/>
  <c r="B9" i="4"/>
  <c r="B5" i="4"/>
  <c r="E2" i="4"/>
  <c r="B8" i="4"/>
  <c r="E9" i="4"/>
  <c r="E8" i="4"/>
  <c r="B8" i="1" l="1"/>
  <c r="E3" i="4"/>
  <c r="C3" i="4"/>
  <c r="B4" i="1"/>
  <c r="B3" i="4" s="1"/>
</calcChain>
</file>

<file path=xl/sharedStrings.xml><?xml version="1.0" encoding="utf-8"?>
<sst xmlns="http://schemas.openxmlformats.org/spreadsheetml/2006/main" count="4491" uniqueCount="796">
  <si>
    <t>Nº.ID</t>
  </si>
  <si>
    <t>Nombre</t>
  </si>
  <si>
    <t>2ºNombre</t>
  </si>
  <si>
    <t>Dirección</t>
  </si>
  <si>
    <t>Dirección2</t>
  </si>
  <si>
    <t>Dirección3</t>
  </si>
  <si>
    <t>CP</t>
  </si>
  <si>
    <t>Ciudad</t>
  </si>
  <si>
    <t>CCAA</t>
  </si>
  <si>
    <t>País</t>
  </si>
  <si>
    <t>Tfn Casa</t>
  </si>
  <si>
    <t>Tfn. trabajo:</t>
  </si>
  <si>
    <t>Móvil</t>
  </si>
  <si>
    <t>Email</t>
  </si>
  <si>
    <t>Género</t>
  </si>
  <si>
    <t>F.Nac</t>
  </si>
  <si>
    <t>Club</t>
  </si>
  <si>
    <t>Admitidos</t>
  </si>
  <si>
    <t/>
  </si>
  <si>
    <t>M</t>
  </si>
  <si>
    <t>Miguel</t>
  </si>
  <si>
    <t>Carlos</t>
  </si>
  <si>
    <t>Apellido</t>
  </si>
  <si>
    <t>Cartagena</t>
  </si>
  <si>
    <t>Carlota</t>
  </si>
  <si>
    <t>Celia</t>
  </si>
  <si>
    <t>Anna</t>
  </si>
  <si>
    <t>Cardo Rodriguez</t>
  </si>
  <si>
    <t>Rocio</t>
  </si>
  <si>
    <t>Sara</t>
  </si>
  <si>
    <t>F</t>
  </si>
  <si>
    <t>Jose</t>
  </si>
  <si>
    <t>Jose Maria</t>
  </si>
  <si>
    <t>Lopez Gomez</t>
  </si>
  <si>
    <t>Mario</t>
  </si>
  <si>
    <t>Francisco</t>
  </si>
  <si>
    <t>Marcos</t>
  </si>
  <si>
    <t>David</t>
  </si>
  <si>
    <t>Sergio</t>
  </si>
  <si>
    <t>Rubén</t>
  </si>
  <si>
    <t>Jesus</t>
  </si>
  <si>
    <t>Victor</t>
  </si>
  <si>
    <t>Jaime</t>
  </si>
  <si>
    <t>Juan</t>
  </si>
  <si>
    <t>Pedro</t>
  </si>
  <si>
    <t>Daniel</t>
  </si>
  <si>
    <t>Javier</t>
  </si>
  <si>
    <t>Parrilla Garcia</t>
  </si>
  <si>
    <t>Prieto Perez</t>
  </si>
  <si>
    <t>Alvaro</t>
  </si>
  <si>
    <t>Edad</t>
  </si>
  <si>
    <t>Enrique</t>
  </si>
  <si>
    <t>Ramon</t>
  </si>
  <si>
    <t>Jesús</t>
  </si>
  <si>
    <t>Antonio</t>
  </si>
  <si>
    <t>Joan Manuel</t>
  </si>
  <si>
    <t>Linares Andrade</t>
  </si>
  <si>
    <t>Fernando</t>
  </si>
  <si>
    <t>Alejandra Herminia</t>
  </si>
  <si>
    <t>Monica</t>
  </si>
  <si>
    <t>Garcia Martin</t>
  </si>
  <si>
    <t>Beatriz</t>
  </si>
  <si>
    <t>Marta</t>
  </si>
  <si>
    <t>Luis</t>
  </si>
  <si>
    <t>Francisco Javier</t>
  </si>
  <si>
    <t>Ruiz Calvo</t>
  </si>
  <si>
    <t>Alberto</t>
  </si>
  <si>
    <t>Gonzalez</t>
  </si>
  <si>
    <t>Gustavo</t>
  </si>
  <si>
    <t>Vicente</t>
  </si>
  <si>
    <t>Álvaro</t>
  </si>
  <si>
    <t>De Marcos Del Pozo</t>
  </si>
  <si>
    <t>Puebla Prada</t>
  </si>
  <si>
    <t>Ivan</t>
  </si>
  <si>
    <t>Blanco Acedo</t>
  </si>
  <si>
    <t>Araceli Belen</t>
  </si>
  <si>
    <t>Perez Lainez</t>
  </si>
  <si>
    <t>Candela</t>
  </si>
  <si>
    <t>Bilbao Areitio</t>
  </si>
  <si>
    <t>Laura</t>
  </si>
  <si>
    <t>Guerrero García</t>
  </si>
  <si>
    <t>Sánchez</t>
  </si>
  <si>
    <t>Nerea</t>
  </si>
  <si>
    <t>Lainez Jimenez</t>
  </si>
  <si>
    <t>Virginia</t>
  </si>
  <si>
    <t>Sabrina</t>
  </si>
  <si>
    <t>Cristina</t>
  </si>
  <si>
    <t>Carlos Alberto</t>
  </si>
  <si>
    <t>De Miguel Gonzalez</t>
  </si>
  <si>
    <t>Perez Soto</t>
  </si>
  <si>
    <t>Ziarreta Fernandez</t>
  </si>
  <si>
    <t>Lucas</t>
  </si>
  <si>
    <t>Patricia</t>
  </si>
  <si>
    <t>Completo</t>
  </si>
  <si>
    <t>Paiva Jardim</t>
  </si>
  <si>
    <t>Marcello</t>
  </si>
  <si>
    <t>NivelIndividual</t>
  </si>
  <si>
    <t>NivelDobles</t>
  </si>
  <si>
    <t>RatingIndividual</t>
  </si>
  <si>
    <t>RatingDobles</t>
  </si>
  <si>
    <t>MADRID</t>
  </si>
  <si>
    <t>IM</t>
  </si>
  <si>
    <t>DM</t>
  </si>
  <si>
    <t>5.0</t>
  </si>
  <si>
    <t>Illescas Cases</t>
  </si>
  <si>
    <t>Canyadell Fabregas</t>
  </si>
  <si>
    <t>Pep</t>
  </si>
  <si>
    <t>Casquero Herrero</t>
  </si>
  <si>
    <t>Marcos López</t>
  </si>
  <si>
    <t>Díaz Ibáñez</t>
  </si>
  <si>
    <t>Arias Gomar</t>
  </si>
  <si>
    <t>De Rueda De Genover</t>
  </si>
  <si>
    <t>Ignasi</t>
  </si>
  <si>
    <t>Pereira de Mattos</t>
  </si>
  <si>
    <t>Domini Elias</t>
  </si>
  <si>
    <t>Caymel Romero</t>
  </si>
  <si>
    <t>Marc</t>
  </si>
  <si>
    <t>Vega Gutierrez</t>
  </si>
  <si>
    <t>Lillo Pellies</t>
  </si>
  <si>
    <t>Horcajuelo Vicente</t>
  </si>
  <si>
    <t>Martinez Santonja</t>
  </si>
  <si>
    <t>Esteban</t>
  </si>
  <si>
    <t>CATALUÑA</t>
  </si>
  <si>
    <t>ANDALUCIA</t>
  </si>
  <si>
    <t>C. VALENCIA</t>
  </si>
  <si>
    <t>CEUTA</t>
  </si>
  <si>
    <t>Mendez Dominguez</t>
  </si>
  <si>
    <t xml:space="preserve">Derbis </t>
  </si>
  <si>
    <t>Chumillas Lidón</t>
  </si>
  <si>
    <t>Claudia</t>
  </si>
  <si>
    <t>Vazquez Ranz</t>
  </si>
  <si>
    <t>Karina</t>
  </si>
  <si>
    <t>García Álvarez</t>
  </si>
  <si>
    <t>Alicia</t>
  </si>
  <si>
    <t>Millon Soto</t>
  </si>
  <si>
    <t>Serrano Lopez</t>
  </si>
  <si>
    <t>Katherine Vanessa</t>
  </si>
  <si>
    <t>Maria</t>
  </si>
  <si>
    <t xml:space="preserve">Bitaine </t>
  </si>
  <si>
    <t>Alex</t>
  </si>
  <si>
    <t>Fierro Gonzalez</t>
  </si>
  <si>
    <t>Varo Martínez</t>
  </si>
  <si>
    <t>Vanessa</t>
  </si>
  <si>
    <t>Dominguez Luna</t>
  </si>
  <si>
    <t>Sheila</t>
  </si>
  <si>
    <t>Castells Carbonell</t>
  </si>
  <si>
    <t>Ferrer Ramon</t>
  </si>
  <si>
    <t xml:space="preserve">Hernández </t>
  </si>
  <si>
    <t>DF</t>
  </si>
  <si>
    <t>IF</t>
  </si>
  <si>
    <t>4.5</t>
  </si>
  <si>
    <t>3.5</t>
  </si>
  <si>
    <t>Cardenas Santa</t>
  </si>
  <si>
    <t>Ernesto</t>
  </si>
  <si>
    <t>Serrano Ruano</t>
  </si>
  <si>
    <t>Alexander</t>
  </si>
  <si>
    <t>Iriart Fernando</t>
  </si>
  <si>
    <t>Cuadros Joglar</t>
  </si>
  <si>
    <t>Rodriguez Requejo</t>
  </si>
  <si>
    <t>Rodriguez Serna</t>
  </si>
  <si>
    <t>Castrillo Zamora</t>
  </si>
  <si>
    <t xml:space="preserve">Jelly </t>
  </si>
  <si>
    <t>Kat</t>
  </si>
  <si>
    <t>Blanco Assanelli</t>
  </si>
  <si>
    <t>Vanesa Noelia</t>
  </si>
  <si>
    <t>García Garre</t>
  </si>
  <si>
    <t>Ana</t>
  </si>
  <si>
    <t xml:space="preserve">Olmo </t>
  </si>
  <si>
    <t>Yanes Cabrera</t>
  </si>
  <si>
    <t>Senciales del Moral</t>
  </si>
  <si>
    <t>Araceli</t>
  </si>
  <si>
    <t>Morales Herrera</t>
  </si>
  <si>
    <t>Mamen</t>
  </si>
  <si>
    <t>Capobianco Teran</t>
  </si>
  <si>
    <t>Veronica</t>
  </si>
  <si>
    <t xml:space="preserve">García </t>
  </si>
  <si>
    <t xml:space="preserve">Garcia </t>
  </si>
  <si>
    <t>Begoña</t>
  </si>
  <si>
    <t>NivelMixto</t>
  </si>
  <si>
    <t>RatingMixto</t>
  </si>
  <si>
    <t>Eneko</t>
  </si>
  <si>
    <t>Francisco Jesus</t>
  </si>
  <si>
    <t>Ferran</t>
  </si>
  <si>
    <t>Andres Alejandro</t>
  </si>
  <si>
    <t>Raquel</t>
  </si>
  <si>
    <t>Ruben</t>
  </si>
  <si>
    <t>José Maria</t>
  </si>
  <si>
    <t>Gallego Ruiz-Mateos</t>
  </si>
  <si>
    <t>Tornay Stinziano</t>
  </si>
  <si>
    <t>Baéz Fernández</t>
  </si>
  <si>
    <t>Oliver De Torres</t>
  </si>
  <si>
    <t>Novales De Diago</t>
  </si>
  <si>
    <t>Garcia Corrales</t>
  </si>
  <si>
    <t>Oliver Cruells</t>
  </si>
  <si>
    <t>Rovira Romero</t>
  </si>
  <si>
    <t xml:space="preserve">Sainz </t>
  </si>
  <si>
    <t>Cortes Barrio</t>
  </si>
  <si>
    <t>Sarabia Navajo</t>
  </si>
  <si>
    <t>Ballesteros Aguilar</t>
  </si>
  <si>
    <t>García de la Plaza Guardeño</t>
  </si>
  <si>
    <t>Alvarez Narros</t>
  </si>
  <si>
    <t>CASTILLA LEON</t>
  </si>
  <si>
    <t>DX</t>
  </si>
  <si>
    <t>Paiva Jardim, Marcello</t>
  </si>
  <si>
    <t>Marcello Paiva Jardim</t>
  </si>
  <si>
    <t>Illescas Cases, David</t>
  </si>
  <si>
    <t>David Illescas Cases</t>
  </si>
  <si>
    <t>Canyadell Fabregas, Pep</t>
  </si>
  <si>
    <t>Pep Canyadell Fabregas</t>
  </si>
  <si>
    <t>Casquero Herrero, Antonio</t>
  </si>
  <si>
    <t>Antonio Casquero Herrero</t>
  </si>
  <si>
    <t>Marcos López, Vicente</t>
  </si>
  <si>
    <t>Vicente Marcos López</t>
  </si>
  <si>
    <t>Díaz Ibáñez, Sergio</t>
  </si>
  <si>
    <t>Sergio Díaz Ibáñez</t>
  </si>
  <si>
    <t>Arias Gomar, Ramon</t>
  </si>
  <si>
    <t>Ramon Arias Gomar</t>
  </si>
  <si>
    <t>De Rueda De Genover, Ignasi</t>
  </si>
  <si>
    <t>Ignasi De Rueda De Genover</t>
  </si>
  <si>
    <t>Pereira de Mattos, Domini Elias</t>
  </si>
  <si>
    <t>Domini Elias Pereira de Mattos</t>
  </si>
  <si>
    <t>Caymel Romero, Marc</t>
  </si>
  <si>
    <t>Marc Caymel Romero</t>
  </si>
  <si>
    <t>Ruiz Calvo, Javier</t>
  </si>
  <si>
    <t>Javier Ruiz Calvo</t>
  </si>
  <si>
    <t>Vega Gutierrez, Daniel</t>
  </si>
  <si>
    <t>Daniel Vega Gutierrez</t>
  </si>
  <si>
    <t>Lillo Pellies, Sergio</t>
  </si>
  <si>
    <t>Sergio Lillo Pellies</t>
  </si>
  <si>
    <t>Horcajuelo Vicente, Alberto</t>
  </si>
  <si>
    <t>Alberto Horcajuelo Vicente</t>
  </si>
  <si>
    <t>Lopez Gomez, Miguel</t>
  </si>
  <si>
    <t>Miguel Lopez Gomez</t>
  </si>
  <si>
    <t>Martinez Santonja, Esteban</t>
  </si>
  <si>
    <t>Esteban Martinez Santonja</t>
  </si>
  <si>
    <t>Mendez Dominguez, Sabrina</t>
  </si>
  <si>
    <t>Sabrina Mendez Dominguez</t>
  </si>
  <si>
    <t>Derbis , Nerea</t>
  </si>
  <si>
    <t xml:space="preserve">Nerea Derbis </t>
  </si>
  <si>
    <t>Chumillas Lidón, Sara</t>
  </si>
  <si>
    <t>Sara Chumillas Lidón</t>
  </si>
  <si>
    <t>Cardo Rodriguez, Rocio</t>
  </si>
  <si>
    <t>Rocio Cardo Rodriguez</t>
  </si>
  <si>
    <t>Caymel Romero, Claudia</t>
  </si>
  <si>
    <t>Claudia Caymel Romero</t>
  </si>
  <si>
    <t>Vazquez Ranz, Karina</t>
  </si>
  <si>
    <t>Karina Vazquez Ranz</t>
  </si>
  <si>
    <t>García Álvarez, Alicia</t>
  </si>
  <si>
    <t>Alicia García Álvarez</t>
  </si>
  <si>
    <t>Millon Soto, Celia</t>
  </si>
  <si>
    <t>Celia Millon Soto</t>
  </si>
  <si>
    <t>Serrano Lopez, Katherine Vanessa</t>
  </si>
  <si>
    <t>Katherine Vanessa Serrano Lopez</t>
  </si>
  <si>
    <t>De Miguel Gonzalez, Maria</t>
  </si>
  <si>
    <t>Maria De Miguel Gonzalez</t>
  </si>
  <si>
    <t>Bitaine , Alex</t>
  </si>
  <si>
    <t xml:space="preserve">Alex Bitaine </t>
  </si>
  <si>
    <t>Cartagena, Carlota</t>
  </si>
  <si>
    <t>Carlota Cartagena</t>
  </si>
  <si>
    <t>Fierro Gonzalez, Monica</t>
  </si>
  <si>
    <t>Monica Fierro Gonzalez</t>
  </si>
  <si>
    <t>Varo Martínez, Vanessa</t>
  </si>
  <si>
    <t>Vanessa Varo Martínez</t>
  </si>
  <si>
    <t>Dominguez Luna, Sheila</t>
  </si>
  <si>
    <t>Sheila Dominguez Luna</t>
  </si>
  <si>
    <t>Castells Carbonell, Anna</t>
  </si>
  <si>
    <t>Anna Castells Carbonell</t>
  </si>
  <si>
    <t>Ferrer Ramon, Marta</t>
  </si>
  <si>
    <t>Marta Ferrer Ramon</t>
  </si>
  <si>
    <t>Hernández , Laura</t>
  </si>
  <si>
    <t xml:space="preserve">Laura Hernández </t>
  </si>
  <si>
    <t>Gallego Ruiz-Mateos, Javier</t>
  </si>
  <si>
    <t>Javier Gallego Ruiz-Mateos</t>
  </si>
  <si>
    <t>Prieto Perez, Álvaro</t>
  </si>
  <si>
    <t>Álvaro Prieto Perez</t>
  </si>
  <si>
    <t>Cardenas Santa, Ernesto</t>
  </si>
  <si>
    <t>Ernesto Cardenas Santa</t>
  </si>
  <si>
    <t>Perez Soto, Carlos Alberto</t>
  </si>
  <si>
    <t>Carlos Alberto Perez Soto</t>
  </si>
  <si>
    <t>Serrano Ruano, Alexander</t>
  </si>
  <si>
    <t>Alexander Serrano Ruano</t>
  </si>
  <si>
    <t>Linares Andrade, Joan Manuel</t>
  </si>
  <si>
    <t>Joan Manuel Linares Andrade</t>
  </si>
  <si>
    <t xml:space="preserve">Iriart Fernando, </t>
  </si>
  <si>
    <t xml:space="preserve"> Iriart Fernando</t>
  </si>
  <si>
    <t>Cuadros Joglar, Ivan</t>
  </si>
  <si>
    <t>Ivan Cuadros Joglar</t>
  </si>
  <si>
    <t>Rodriguez Requejo, Fernando</t>
  </si>
  <si>
    <t>Fernando Rodriguez Requejo</t>
  </si>
  <si>
    <t>Rodriguez Serna, Maria</t>
  </si>
  <si>
    <t>Maria Rodriguez Serna</t>
  </si>
  <si>
    <t>Castrillo Zamora, Patricia</t>
  </si>
  <si>
    <t>Patricia Castrillo Zamora</t>
  </si>
  <si>
    <t>Perez Lainez, Candela</t>
  </si>
  <si>
    <t>Candela Perez Lainez</t>
  </si>
  <si>
    <t>Lainez Jimenez, Virginia</t>
  </si>
  <si>
    <t>Virginia Lainez Jimenez</t>
  </si>
  <si>
    <t>Jelly , Kat</t>
  </si>
  <si>
    <t xml:space="preserve">Kat Jelly </t>
  </si>
  <si>
    <t>Blanco Assanelli, Vanesa Noelia</t>
  </si>
  <si>
    <t>Vanesa Noelia Blanco Assanelli</t>
  </si>
  <si>
    <t>García Garre, Ana</t>
  </si>
  <si>
    <t>Ana García Garre</t>
  </si>
  <si>
    <t>Olmo , Laura</t>
  </si>
  <si>
    <t xml:space="preserve">Laura Olmo </t>
  </si>
  <si>
    <t>Yanes Cabrera, Alicia</t>
  </si>
  <si>
    <t>Alicia Yanes Cabrera</t>
  </si>
  <si>
    <t>Senciales del Moral, Araceli</t>
  </si>
  <si>
    <t>Araceli Senciales del Moral</t>
  </si>
  <si>
    <t>Morales Herrera, Mamen</t>
  </si>
  <si>
    <t>Mamen Morales Herrera</t>
  </si>
  <si>
    <t>Garcia Martin, Alejandra Herminia</t>
  </si>
  <si>
    <t>Alejandra Herminia Garcia Martin</t>
  </si>
  <si>
    <t>Capobianco Teran, Veronica</t>
  </si>
  <si>
    <t>Veronica Capobianco Teran</t>
  </si>
  <si>
    <t>García , Patricia</t>
  </si>
  <si>
    <t xml:space="preserve">Patricia García </t>
  </si>
  <si>
    <t>Guerrero García, Araceli Belen</t>
  </si>
  <si>
    <t>Araceli Belen Guerrero García</t>
  </si>
  <si>
    <t>Garcia , Begoña</t>
  </si>
  <si>
    <t xml:space="preserve">Begoña Garcia </t>
  </si>
  <si>
    <t>Tornay Stinziano, Gustavo</t>
  </si>
  <si>
    <t>Gustavo Tornay Stinziano</t>
  </si>
  <si>
    <t>Baéz Fernández, Victor</t>
  </si>
  <si>
    <t>Victor Baéz Fernández</t>
  </si>
  <si>
    <t>Oliver De Torres, Jesús</t>
  </si>
  <si>
    <t>Jesús Oliver De Torres</t>
  </si>
  <si>
    <t>Novales De Diago, Eneko</t>
  </si>
  <si>
    <t>Eneko Novales De Diago</t>
  </si>
  <si>
    <t>De Marcos Del Pozo, Francisco Javier</t>
  </si>
  <si>
    <t>Francisco Javier De Marcos Del Pozo</t>
  </si>
  <si>
    <t>Garcia Corrales, Francisco Jesus</t>
  </si>
  <si>
    <t>Francisco Jesus Garcia Corrales</t>
  </si>
  <si>
    <t>Oliver Cruells, Ferran</t>
  </si>
  <si>
    <t>Ferran Oliver Cruells</t>
  </si>
  <si>
    <t>Rovira Romero, Andres Alejandro</t>
  </si>
  <si>
    <t>Andres Alejandro Rovira Romero</t>
  </si>
  <si>
    <t>Sainz , Marcos</t>
  </si>
  <si>
    <t xml:space="preserve">Marcos Sainz </t>
  </si>
  <si>
    <t>Cortes Barrio, Jose Maria</t>
  </si>
  <si>
    <t>Jose Maria Cortes Barrio</t>
  </si>
  <si>
    <t>Ziarreta Fernandez, Nerea</t>
  </si>
  <si>
    <t>Nerea Ziarreta Fernandez</t>
  </si>
  <si>
    <t>Sarabia Navajo, Raquel</t>
  </si>
  <si>
    <t>Raquel Sarabia Navajo</t>
  </si>
  <si>
    <t>Puebla Prada, Enrique</t>
  </si>
  <si>
    <t>Enrique Puebla Prada</t>
  </si>
  <si>
    <t>Ballesteros Aguilar, Ruben</t>
  </si>
  <si>
    <t>Ruben Ballesteros Aguilar</t>
  </si>
  <si>
    <t>Blanco Acedo, Francisco Javier</t>
  </si>
  <si>
    <t>Francisco Javier Blanco Acedo</t>
  </si>
  <si>
    <t>García de la Plaza Guardeño, Antonio</t>
  </si>
  <si>
    <t>Antonio García de la Plaza Guardeño</t>
  </si>
  <si>
    <t>Parrilla Garcia, José Maria</t>
  </si>
  <si>
    <t>José Maria Parrilla Garcia</t>
  </si>
  <si>
    <t>Alvarez Narros, Cristina</t>
  </si>
  <si>
    <t>Cristina Alvarez Narros</t>
  </si>
  <si>
    <t>Bilbao Areitio, Beatriz</t>
  </si>
  <si>
    <t>Beatriz Bilbao Areitio</t>
  </si>
  <si>
    <t>García</t>
  </si>
  <si>
    <t>Dóyega</t>
  </si>
  <si>
    <t>Arias</t>
  </si>
  <si>
    <t>Bernal</t>
  </si>
  <si>
    <t>Garrido</t>
  </si>
  <si>
    <t>Romero</t>
  </si>
  <si>
    <t>Ramón</t>
  </si>
  <si>
    <t>Mauro</t>
  </si>
  <si>
    <t>Siro</t>
  </si>
  <si>
    <t>Samuel</t>
  </si>
  <si>
    <t>Guillermo</t>
  </si>
  <si>
    <t>Alfredo</t>
  </si>
  <si>
    <t>Julian</t>
  </si>
  <si>
    <t>Alejandro</t>
  </si>
  <si>
    <t>Melquiades</t>
  </si>
  <si>
    <t>Carmona</t>
  </si>
  <si>
    <t>Rodríguez</t>
  </si>
  <si>
    <t>Expósito</t>
  </si>
  <si>
    <t>Campos</t>
  </si>
  <si>
    <t>Jimenez</t>
  </si>
  <si>
    <t>Skirrow</t>
  </si>
  <si>
    <t>Alvarez</t>
  </si>
  <si>
    <t>Pérez González</t>
  </si>
  <si>
    <t>Angel Manuel</t>
  </si>
  <si>
    <t>Laureiro</t>
  </si>
  <si>
    <t>Trigo</t>
  </si>
  <si>
    <t>Romano</t>
  </si>
  <si>
    <t>Lopez</t>
  </si>
  <si>
    <t>Constantino Adrian</t>
  </si>
  <si>
    <t>Pueyo</t>
  </si>
  <si>
    <t>Ramiro</t>
  </si>
  <si>
    <t>Corchero</t>
  </si>
  <si>
    <t>De Diago</t>
  </si>
  <si>
    <t>Novales</t>
  </si>
  <si>
    <t>de los Reyes</t>
  </si>
  <si>
    <t>Horcajuelo</t>
  </si>
  <si>
    <t>Gutierrez</t>
  </si>
  <si>
    <t>Vega</t>
  </si>
  <si>
    <t>Calvo</t>
  </si>
  <si>
    <t>Ruiz</t>
  </si>
  <si>
    <t>Badia</t>
  </si>
  <si>
    <t>Gomez</t>
  </si>
  <si>
    <t>Escriva</t>
  </si>
  <si>
    <t>Caymel</t>
  </si>
  <si>
    <t>lópez</t>
  </si>
  <si>
    <t>Camara</t>
  </si>
  <si>
    <t>Ibáñez</t>
  </si>
  <si>
    <t>Díaz</t>
  </si>
  <si>
    <t>Santonja</t>
  </si>
  <si>
    <t>Martinez</t>
  </si>
  <si>
    <t>Cases</t>
  </si>
  <si>
    <t>Illescas</t>
  </si>
  <si>
    <t>Jardim</t>
  </si>
  <si>
    <t>Paiva</t>
  </si>
  <si>
    <t>De Genover</t>
  </si>
  <si>
    <t>De Rueda</t>
  </si>
  <si>
    <t>Fabregas</t>
  </si>
  <si>
    <t>Canyadell</t>
  </si>
  <si>
    <t>Ranking</t>
  </si>
  <si>
    <t>Apellido2</t>
  </si>
  <si>
    <t>Apellido1</t>
  </si>
  <si>
    <t>Puntos</t>
  </si>
  <si>
    <t>Licencia</t>
  </si>
  <si>
    <t>Almazán Aguilar</t>
  </si>
  <si>
    <t>Prat Callealta</t>
  </si>
  <si>
    <t>Alvarez De La Torre</t>
  </si>
  <si>
    <t>Aparicio Velasco</t>
  </si>
  <si>
    <t>Báez Fernández</t>
  </si>
  <si>
    <t>Blanco Villegas</t>
  </si>
  <si>
    <t>Campos De Los Reyes</t>
  </si>
  <si>
    <t>Carrasco Rodriguez</t>
  </si>
  <si>
    <t>Carrion Jimenez</t>
  </si>
  <si>
    <t>Castellano Moreno</t>
  </si>
  <si>
    <t>Doyega Rodriguez</t>
  </si>
  <si>
    <t>Pereira De Mattoss</t>
  </si>
  <si>
    <t>Gamiz Ponce</t>
  </si>
  <si>
    <t>García Corrales</t>
  </si>
  <si>
    <t>García Calderón</t>
  </si>
  <si>
    <t>García Sánchez</t>
  </si>
  <si>
    <t>Gemez Mata</t>
  </si>
  <si>
    <t>Hernandez Sanchez</t>
  </si>
  <si>
    <t>Jiménez Herrera</t>
  </si>
  <si>
    <t>Llamas Díaz</t>
  </si>
  <si>
    <t>Mendoza Guillén</t>
  </si>
  <si>
    <t>Monedero Aguilar</t>
  </si>
  <si>
    <t>Morán Almenara</t>
  </si>
  <si>
    <t>Perez Marin</t>
  </si>
  <si>
    <t>Reig Castro</t>
  </si>
  <si>
    <t>Revuelta Arbolí</t>
  </si>
  <si>
    <t>Romero Frias</t>
  </si>
  <si>
    <t>Santiago Otero</t>
  </si>
  <si>
    <t>Syromolotov Netrebin</t>
  </si>
  <si>
    <t>Tirado Gonzalez</t>
  </si>
  <si>
    <t>Vidal Román</t>
  </si>
  <si>
    <t>Lic Real</t>
  </si>
  <si>
    <t>Mutua</t>
  </si>
  <si>
    <t>Apellidos</t>
  </si>
  <si>
    <t>Territorial</t>
  </si>
  <si>
    <t>Fecha</t>
  </si>
  <si>
    <t>ANDALUZA</t>
  </si>
  <si>
    <t>Alonso Gonzalez</t>
  </si>
  <si>
    <t>Aragón Guzmán</t>
  </si>
  <si>
    <t>Aranda Ramos</t>
  </si>
  <si>
    <t>Barajas López</t>
  </si>
  <si>
    <t>Batt</t>
  </si>
  <si>
    <t>Casquero Tomas</t>
  </si>
  <si>
    <t>Casquero Tomás</t>
  </si>
  <si>
    <t>De Frutos Garcia</t>
  </si>
  <si>
    <t>Garcia Alvarez</t>
  </si>
  <si>
    <t>García De La Plaza Guardeño</t>
  </si>
  <si>
    <t>Garcia Piñero</t>
  </si>
  <si>
    <t>Garcia Rivas</t>
  </si>
  <si>
    <t>García Torres</t>
  </si>
  <si>
    <t>Gomez Carrillo</t>
  </si>
  <si>
    <t>González Baena</t>
  </si>
  <si>
    <t>Gutiérrez García</t>
  </si>
  <si>
    <t>Levitsky De Miguel</t>
  </si>
  <si>
    <t>Macarro Catalan</t>
  </si>
  <si>
    <t>Marinas Ponte</t>
  </si>
  <si>
    <t>Mesejo Pereira</t>
  </si>
  <si>
    <t>Miodownik</t>
  </si>
  <si>
    <t>Montaño Montaño</t>
  </si>
  <si>
    <t>Morillo Valdes</t>
  </si>
  <si>
    <t>Otero Delgado</t>
  </si>
  <si>
    <t>Palomo Martin</t>
  </si>
  <si>
    <t>Parra Santana</t>
  </si>
  <si>
    <t>Persson</t>
  </si>
  <si>
    <t>Pintos Morales</t>
  </si>
  <si>
    <t>Romero Mejias</t>
  </si>
  <si>
    <t>Rondon Lobato</t>
  </si>
  <si>
    <t>Sánchez Civila</t>
  </si>
  <si>
    <t>Sánchez Rodríguez</t>
  </si>
  <si>
    <t>Senciales Del Moral</t>
  </si>
  <si>
    <t>Valdés Muñoz</t>
  </si>
  <si>
    <t>Viruel Sanchez De La Campa</t>
  </si>
  <si>
    <t>Víctor</t>
  </si>
  <si>
    <t>Gustavo Adolfo</t>
  </si>
  <si>
    <t>Natalie</t>
  </si>
  <si>
    <t>Victoria</t>
  </si>
  <si>
    <t>María Ángeles</t>
  </si>
  <si>
    <t>Pedro Luis</t>
  </si>
  <si>
    <t>José Luis</t>
  </si>
  <si>
    <t>Francisco Jesús</t>
  </si>
  <si>
    <t>Maria Begoña</t>
  </si>
  <si>
    <t>Manuel</t>
  </si>
  <si>
    <t>Julián</t>
  </si>
  <si>
    <t>Paula</t>
  </si>
  <si>
    <t>Modesto</t>
  </si>
  <si>
    <t>Juan Luis</t>
  </si>
  <si>
    <t>Jose Antonio</t>
  </si>
  <si>
    <t>Noemí</t>
  </si>
  <si>
    <t>Luis Miguel</t>
  </si>
  <si>
    <t>Carmen</t>
  </si>
  <si>
    <t>Francisco José</t>
  </si>
  <si>
    <t>Fatima</t>
  </si>
  <si>
    <t>Bjorn</t>
  </si>
  <si>
    <t>Óscar</t>
  </si>
  <si>
    <t>Auxi</t>
  </si>
  <si>
    <t>Inmaculada</t>
  </si>
  <si>
    <t>Jose Joaquín</t>
  </si>
  <si>
    <t>Tomas</t>
  </si>
  <si>
    <t>Yuri Santiago</t>
  </si>
  <si>
    <t>Inma</t>
  </si>
  <si>
    <t>CHECK</t>
  </si>
  <si>
    <t>Lobato</t>
  </si>
  <si>
    <t>Gabriela</t>
  </si>
  <si>
    <t>Constantino</t>
  </si>
  <si>
    <t>Malka</t>
  </si>
  <si>
    <t>S</t>
  </si>
  <si>
    <t>Sanchez</t>
  </si>
  <si>
    <t>Olmedo</t>
  </si>
  <si>
    <t>Paco</t>
  </si>
  <si>
    <t>Sandra</t>
  </si>
  <si>
    <t>Gavalda</t>
  </si>
  <si>
    <t>Centeno</t>
  </si>
  <si>
    <t>González Pérez</t>
  </si>
  <si>
    <t>Juan Pedro</t>
  </si>
  <si>
    <t>Mari Toñi</t>
  </si>
  <si>
    <t>Maria Luisa</t>
  </si>
  <si>
    <t>Fernández Duque</t>
  </si>
  <si>
    <t>Elyse</t>
  </si>
  <si>
    <t>Centeno, Sergio</t>
  </si>
  <si>
    <t>Ruiz, Sergio</t>
  </si>
  <si>
    <t>SENCIALES DEL MORAL</t>
  </si>
  <si>
    <t>ARACELI</t>
  </si>
  <si>
    <t>HERNANDEZ SANCHEZ</t>
  </si>
  <si>
    <t>SIRO</t>
  </si>
  <si>
    <t>CARRION JIMENEZ</t>
  </si>
  <si>
    <t>JOSE</t>
  </si>
  <si>
    <t>ALVAREZ DE LA TORRE</t>
  </si>
  <si>
    <t>MELQUIADES</t>
  </si>
  <si>
    <t>DOYEGA RODRIGUEZ</t>
  </si>
  <si>
    <t>ALVARO</t>
  </si>
  <si>
    <t>TIRADO GONZALEZ</t>
  </si>
  <si>
    <t>JAVIER</t>
  </si>
  <si>
    <t>BATT</t>
  </si>
  <si>
    <t>NATALIE</t>
  </si>
  <si>
    <t>LEVITSKY DE MIGUEL</t>
  </si>
  <si>
    <t>PAULA</t>
  </si>
  <si>
    <t>SYROMOLOTOV NETREBIN</t>
  </si>
  <si>
    <t>YURI SANTIAGO</t>
  </si>
  <si>
    <t>RONDON LOBATO</t>
  </si>
  <si>
    <t>GARCIA ALVAREZ</t>
  </si>
  <si>
    <t>ALICIA</t>
  </si>
  <si>
    <t>MARINAS PONTE</t>
  </si>
  <si>
    <t>JUAN LUIS</t>
  </si>
  <si>
    <t>ALONSO GONZALEZ</t>
  </si>
  <si>
    <t>GUSTAVO ADOLFO</t>
  </si>
  <si>
    <t>PRAT CALLEALTA</t>
  </si>
  <si>
    <t>GUILLERMO</t>
  </si>
  <si>
    <t>SERRANO RUANO</t>
  </si>
  <si>
    <t>ALEXANDER</t>
  </si>
  <si>
    <t>PEREIRA DE MATTOSS</t>
  </si>
  <si>
    <t>DOMINI ELIAS</t>
  </si>
  <si>
    <t>JIMÉNEZ HERRERA</t>
  </si>
  <si>
    <t>JULIÁN</t>
  </si>
  <si>
    <t>OTERO DELGADO</t>
  </si>
  <si>
    <t>SáNCHEZ RODRíGUEZ</t>
  </si>
  <si>
    <t>PEDRO LUIS</t>
  </si>
  <si>
    <t>MILLON SOTO</t>
  </si>
  <si>
    <t>CELIA</t>
  </si>
  <si>
    <t>BLANCO VILLEGAS</t>
  </si>
  <si>
    <t>SAMUEL</t>
  </si>
  <si>
    <t>GARCíA TORRES</t>
  </si>
  <si>
    <t>PATRICIA</t>
  </si>
  <si>
    <t>CASQUERO HERRERO</t>
  </si>
  <si>
    <t>ANTONIO</t>
  </si>
  <si>
    <t>BÁEZ FERNÁNDEZ</t>
  </si>
  <si>
    <t>VÍCTOR</t>
  </si>
  <si>
    <t>PINTOS MORALES</t>
  </si>
  <si>
    <t>FRANCISCO JAVIER</t>
  </si>
  <si>
    <t>MONTAÑO MONTAÑO</t>
  </si>
  <si>
    <t>MIGUEL</t>
  </si>
  <si>
    <t>CASQUERO TOMAS</t>
  </si>
  <si>
    <t>VICTORIA</t>
  </si>
  <si>
    <t>VALDÉS MUÑOZ</t>
  </si>
  <si>
    <t>INMA</t>
  </si>
  <si>
    <t>SKIRROW</t>
  </si>
  <si>
    <t>ALEX</t>
  </si>
  <si>
    <t>GARCíA CORRALES</t>
  </si>
  <si>
    <t>FRANCISCO JESúS</t>
  </si>
  <si>
    <t>BLANCO ASSANELLI</t>
  </si>
  <si>
    <t>VANESA NOELIA</t>
  </si>
  <si>
    <t>APARICIO VELASCO</t>
  </si>
  <si>
    <t>JOSE MARIA</t>
  </si>
  <si>
    <t>GARCIA PIñERO</t>
  </si>
  <si>
    <t>MARIA BEGOñA</t>
  </si>
  <si>
    <t>VARO MARTíNEZ</t>
  </si>
  <si>
    <t>VANESSA</t>
  </si>
  <si>
    <t>BALLESTEROS AGUILAR</t>
  </si>
  <si>
    <t>RUBéN</t>
  </si>
  <si>
    <t>GARCíA DE LA PLAZA GUARDEñO</t>
  </si>
  <si>
    <t>ROMERO MEJIAS</t>
  </si>
  <si>
    <t>AUXI</t>
  </si>
  <si>
    <t>OLIVER DE TORRES</t>
  </si>
  <si>
    <t>JESUS</t>
  </si>
  <si>
    <t>MORALES HERRERA</t>
  </si>
  <si>
    <t>CARMEN</t>
  </si>
  <si>
    <t>YANES CABRERA</t>
  </si>
  <si>
    <t>SANTIAGO OTERO</t>
  </si>
  <si>
    <t>TOMAS</t>
  </si>
  <si>
    <t>GALLEGO RUIZ-MATEOS</t>
  </si>
  <si>
    <t>MENDOZA GUILLéN</t>
  </si>
  <si>
    <t>JOSE ANTONIO</t>
  </si>
  <si>
    <t>GONZáLEZ BAENA</t>
  </si>
  <si>
    <t>PERSSON</t>
  </si>
  <si>
    <t>BJORN</t>
  </si>
  <si>
    <t>GAMIZ PONCE</t>
  </si>
  <si>
    <t>CARLOS</t>
  </si>
  <si>
    <t>MESEJO PEREIRA</t>
  </si>
  <si>
    <t>NOEMí</t>
  </si>
  <si>
    <t>BARAJAS LóPEZ</t>
  </si>
  <si>
    <t>GARCíA SáNCHEZ</t>
  </si>
  <si>
    <t>MAURO</t>
  </si>
  <si>
    <t>ARAGóN GUZMáN</t>
  </si>
  <si>
    <t>MARIA</t>
  </si>
  <si>
    <t>REIG CASTRO</t>
  </si>
  <si>
    <t>ÓSCAR</t>
  </si>
  <si>
    <t>LLAMAS DíAZ</t>
  </si>
  <si>
    <t>MORÁN ALMENARA</t>
  </si>
  <si>
    <t>FRANCISCO JOSÉ</t>
  </si>
  <si>
    <t>ARANDA RAMOS</t>
  </si>
  <si>
    <t>JUAN</t>
  </si>
  <si>
    <t>ROMERO FRIAS</t>
  </si>
  <si>
    <t>ENRIQUE</t>
  </si>
  <si>
    <t>PEREZ MARIN</t>
  </si>
  <si>
    <t>CAMPOS DE LOS REYES</t>
  </si>
  <si>
    <t>PARRA SANTANA</t>
  </si>
  <si>
    <t>CASTELLANO MORENO</t>
  </si>
  <si>
    <t>JESúS</t>
  </si>
  <si>
    <t>PALOMO MARTIN</t>
  </si>
  <si>
    <t>JULIAN</t>
  </si>
  <si>
    <t>MACARRO CATALAN</t>
  </si>
  <si>
    <t>MODESTO</t>
  </si>
  <si>
    <t>DE FRUTOS GARCIA</t>
  </si>
  <si>
    <t>REVUELTA ARBOLí</t>
  </si>
  <si>
    <t>ALFREDO</t>
  </si>
  <si>
    <t>CARRASCO RODRIGUEZ</t>
  </si>
  <si>
    <t>JAIME</t>
  </si>
  <si>
    <t>ALMAZáN AGUILAR</t>
  </si>
  <si>
    <t>VíCTOR</t>
  </si>
  <si>
    <t>GEMEZ MATA</t>
  </si>
  <si>
    <t>SÁNCHEZ CIVILA</t>
  </si>
  <si>
    <t>JOSE JOAQUíN</t>
  </si>
  <si>
    <t>INMACULADA</t>
  </si>
  <si>
    <t>VIRUEL SANCHEZ DE LA CAMPA</t>
  </si>
  <si>
    <t>VIDAL ROMáN</t>
  </si>
  <si>
    <t>ALEJANDRO</t>
  </si>
  <si>
    <t>MORILLO VALDES</t>
  </si>
  <si>
    <t>FATIMA</t>
  </si>
  <si>
    <t>MONEDERO AGUILAR</t>
  </si>
  <si>
    <t>LUIS MIGUEL</t>
  </si>
  <si>
    <t>GARCIA RIVAS</t>
  </si>
  <si>
    <t>MANUEL</t>
  </si>
  <si>
    <t>GOMEZ CARRILLO</t>
  </si>
  <si>
    <t>CRISTINA</t>
  </si>
  <si>
    <t>GUTIéRREZ GARCíA</t>
  </si>
  <si>
    <t>GARCíA CALDERóN</t>
  </si>
  <si>
    <t>JOSé LUIS</t>
  </si>
  <si>
    <t>CASQUERO TOMáS</t>
  </si>
  <si>
    <t>MARíA ÁNGELES</t>
  </si>
  <si>
    <t>MIODOWNIK</t>
  </si>
  <si>
    <t>DANIEL</t>
  </si>
  <si>
    <t>Ramon Arias</t>
  </si>
  <si>
    <t>Lucas Gonzalez</t>
  </si>
  <si>
    <t>Costantino</t>
  </si>
  <si>
    <t>Sarabia</t>
  </si>
  <si>
    <t>01/01/1989</t>
  </si>
  <si>
    <t>01/01/1982</t>
  </si>
  <si>
    <t>01/01/1977</t>
  </si>
  <si>
    <t>01/01/1979</t>
  </si>
  <si>
    <t>01/01/1976</t>
  </si>
  <si>
    <t>01/01/1999</t>
  </si>
  <si>
    <t>01/01/1981</t>
  </si>
  <si>
    <t>01/01/2000</t>
  </si>
  <si>
    <t>01/01/1975</t>
  </si>
  <si>
    <t>01/01/1958</t>
  </si>
  <si>
    <t>01/01/2008</t>
  </si>
  <si>
    <t>01/01/1995</t>
  </si>
  <si>
    <t>01/01/1992</t>
  </si>
  <si>
    <t>SENCIALES DEL MORAL, ARACELI</t>
  </si>
  <si>
    <t>Rodríguez, Francisco</t>
  </si>
  <si>
    <t>HERNANDEZ SANCHEZ, SIRO</t>
  </si>
  <si>
    <t>CARRION JIMENEZ, JOSE</t>
  </si>
  <si>
    <t>ALVAREZ DE LA TORRE, MELQUIADES</t>
  </si>
  <si>
    <t>DOYEGA RODRIGUEZ, ALVARO</t>
  </si>
  <si>
    <t>TIRADO GONZALEZ, JAVIER</t>
  </si>
  <si>
    <t>BATT, NATALIE</t>
  </si>
  <si>
    <t>LEVITSKY DE MIGUEL, PAULA</t>
  </si>
  <si>
    <t>SYROMOLOTOV NETREBIN, YURI SANTIAGO</t>
  </si>
  <si>
    <t>RONDON LOBATO, JOSE</t>
  </si>
  <si>
    <t>GARCIA ALVAREZ, ALICIA</t>
  </si>
  <si>
    <t>MARINAS PONTE, JUAN LUIS</t>
  </si>
  <si>
    <t>ALONSO GONZALEZ, GUSTAVO ADOLFO</t>
  </si>
  <si>
    <t>PRAT CALLEALTA, GUILLERMO</t>
  </si>
  <si>
    <t>SERRANO RUANO, ALEXANDER</t>
  </si>
  <si>
    <t>PEREIRA DE MATTOSS, DOMINI ELIAS</t>
  </si>
  <si>
    <t>JIMÉNEZ HERRERA, JULIÁN</t>
  </si>
  <si>
    <t>OTERO DELGADO, JAVIER</t>
  </si>
  <si>
    <t>SáNCHEZ RODRíGUEZ, PEDRO LUIS</t>
  </si>
  <si>
    <t>MILLON SOTO, CELIA</t>
  </si>
  <si>
    <t>BLANCO VILLEGAS, SAMUEL</t>
  </si>
  <si>
    <t>GARCíA TORRES, PATRICIA</t>
  </si>
  <si>
    <t>CASQUERO HERRERO, ANTONIO</t>
  </si>
  <si>
    <t>BÁEZ FERNÁNDEZ, VÍCTOR</t>
  </si>
  <si>
    <t>PINTOS MORALES, FRANCISCO JAVIER</t>
  </si>
  <si>
    <t>Garrido, Javier</t>
  </si>
  <si>
    <t>MONTAÑO MONTAÑO, MIGUEL</t>
  </si>
  <si>
    <t>CASQUERO TOMAS, VICTORIA</t>
  </si>
  <si>
    <t>VALDÉS MUÑOZ, INMA</t>
  </si>
  <si>
    <t>SKIRROW, ALEX</t>
  </si>
  <si>
    <t>GARCíA CORRALES, FRANCISCO JESúS</t>
  </si>
  <si>
    <t>BLANCO ASSANELLI, VANESA NOELIA</t>
  </si>
  <si>
    <t>APARICIO VELASCO, JOSE MARIA</t>
  </si>
  <si>
    <t>GARCIA PIñERO, MARIA BEGOñA</t>
  </si>
  <si>
    <t>Arias, Ramon Arias</t>
  </si>
  <si>
    <t>VARO MARTíNEZ, VANESSA</t>
  </si>
  <si>
    <t>BALLESTEROS AGUILAR, RUBéN</t>
  </si>
  <si>
    <t>GARCíA DE LA PLAZA GUARDEñO, ANTONIO</t>
  </si>
  <si>
    <t>ROMERO MEJIAS, AUXI</t>
  </si>
  <si>
    <t>OLIVER DE TORRES, JESUS</t>
  </si>
  <si>
    <t>MORALES HERRERA, CARMEN</t>
  </si>
  <si>
    <t>YANES CABRERA, ALICIA</t>
  </si>
  <si>
    <t>SANTIAGO OTERO, TOMAS</t>
  </si>
  <si>
    <t>GALLEGO RUIZ-MATEOS, JAVIER</t>
  </si>
  <si>
    <t>MENDOZA GUILLéN, JOSE ANTONIO</t>
  </si>
  <si>
    <t>GONZáLEZ BAENA, FRANCISCO JAVIER</t>
  </si>
  <si>
    <t>PERSSON, BJORN</t>
  </si>
  <si>
    <t>Gonzalez, Lucas Gonzalez</t>
  </si>
  <si>
    <t>Costantino, Gabriela</t>
  </si>
  <si>
    <t>GAMIZ PONCE, CARLOS</t>
  </si>
  <si>
    <t>MESEJO PEREIRA, NOEMí</t>
  </si>
  <si>
    <t>BARAJAS LóPEZ, FRANCISCO JAVIER</t>
  </si>
  <si>
    <t>GARCíA SáNCHEZ, MAURO</t>
  </si>
  <si>
    <t>ARAGóN GUZMáN, MARIA</t>
  </si>
  <si>
    <t>REIG CASTRO, ÓSCAR</t>
  </si>
  <si>
    <t>LLAMAS DíAZ, FRANCISCO JAVIER</t>
  </si>
  <si>
    <t>MORÁN ALMENARA, FRANCISCO JOSÉ</t>
  </si>
  <si>
    <t>ARANDA RAMOS, JUAN</t>
  </si>
  <si>
    <t>ROMERO FRIAS, ENRIQUE</t>
  </si>
  <si>
    <t>PEREZ MARIN, RUBéN</t>
  </si>
  <si>
    <t>CAMPOS DE LOS REYES, JESUS</t>
  </si>
  <si>
    <t>Sarabia, Carlos</t>
  </si>
  <si>
    <t>PARRA SANTANA, CELIA</t>
  </si>
  <si>
    <t>CASTELLANO MORENO, JESúS</t>
  </si>
  <si>
    <t>PALOMO MARTIN, JULIAN</t>
  </si>
  <si>
    <t>MACARRO CATALAN, MODESTO</t>
  </si>
  <si>
    <t>DE FRUTOS GARCIA, PEDRO LUIS</t>
  </si>
  <si>
    <t>REVUELTA ARBOLí, ALFREDO</t>
  </si>
  <si>
    <t>CARRASCO RODRIGUEZ, JAIME</t>
  </si>
  <si>
    <t>ALMAZáN AGUILAR, VíCTOR</t>
  </si>
  <si>
    <t>GEMEZ MATA, JUAN</t>
  </si>
  <si>
    <t>SÁNCHEZ CIVILA, JOSE JOAQUíN</t>
  </si>
  <si>
    <t>SÁNCHEZ CIVILA, INMACULADA</t>
  </si>
  <si>
    <t>VIRUEL SANCHEZ DE LA CAMPA, JUAN</t>
  </si>
  <si>
    <t>VIDAL ROMáN, ALEJANDRO</t>
  </si>
  <si>
    <t>MORILLO VALDES, FATIMA</t>
  </si>
  <si>
    <t>MONEDERO AGUILAR, LUIS MIGUEL</t>
  </si>
  <si>
    <t>GARCIA RIVAS, MANUEL</t>
  </si>
  <si>
    <t>GOMEZ CARRILLO, CRISTINA</t>
  </si>
  <si>
    <t>GUTIéRREZ GARCíA, ANTONIO</t>
  </si>
  <si>
    <t>GARCíA CALDERóN, JOSé LUIS</t>
  </si>
  <si>
    <t>CASQUERO TOMáS, MARíA ÁNGELES</t>
  </si>
  <si>
    <t>MIODOWNIK, DANIEL</t>
  </si>
  <si>
    <t>Bernal, Jesús</t>
  </si>
  <si>
    <t>Gavalda, Sandra</t>
  </si>
  <si>
    <t>Olmedo, Maria</t>
  </si>
  <si>
    <t>García, Mario</t>
  </si>
  <si>
    <t>Gomez, Maria Luisa</t>
  </si>
  <si>
    <t>Carmona, Alberto</t>
  </si>
  <si>
    <t>Sanchez, Mari Toñi</t>
  </si>
  <si>
    <t>Elyse, Malka</t>
  </si>
  <si>
    <t>Pérez González, Antonio</t>
  </si>
  <si>
    <t>Fernández Duque, Paco</t>
  </si>
  <si>
    <t>Lobato, Claudia</t>
  </si>
  <si>
    <t>Campos, Juan Pedro</t>
  </si>
  <si>
    <t>Expósito,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</si>
</sst>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2" applyNumberFormat="0" applyAlignment="0" applyProtection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14" fontId="0" fillId="0" borderId="0" xfId="0" applyNumberFormat="1"/>
    <xf numFmtId="0" fontId="3" fillId="2" borderId="2" xfId="1"/>
    <xf numFmtId="14" fontId="2" fillId="0" borderId="1" xfId="0" applyNumberFormat="1" applyFont="1" applyBorder="1"/>
    <xf numFmtId="0" fontId="1" fillId="0" borderId="0" xfId="2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/>
    </xf>
  </cellXfs>
  <cellStyles count="3">
    <cellStyle name="Cálculo" xfId="1" builtinId="22"/>
    <cellStyle name="Normal" xfId="0" builtinId="0"/>
    <cellStyle name="Normal 2" xfId="2"/>
  </cellStyles>
  <dxfs count="2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8"/>
  <sheetViews>
    <sheetView workbookViewId="0">
      <pane xSplit="4" ySplit="1" topLeftCell="E74" activePane="bottomRight" state="frozen"/>
      <selection pane="topRight" activeCell="D1" sqref="D1"/>
      <selection pane="bottomLeft" activeCell="A2" sqref="A2"/>
      <selection pane="bottomRight" activeCell="Q100" sqref="Q100"/>
    </sheetView>
  </sheetViews>
  <sheetFormatPr baseColWidth="10" defaultRowHeight="15" x14ac:dyDescent="0.25"/>
  <cols>
    <col min="1" max="1" width="9" customWidth="1"/>
    <col min="2" max="2" width="30.85546875" style="3" bestFit="1" customWidth="1"/>
    <col min="3" max="3" width="22.7109375" bestFit="1" customWidth="1"/>
    <col min="4" max="4" width="16.5703125" bestFit="1" customWidth="1"/>
    <col min="5" max="5" width="33" style="3" bestFit="1" customWidth="1"/>
    <col min="6" max="10" width="4.140625" customWidth="1"/>
    <col min="11" max="11" width="12" bestFit="1" customWidth="1"/>
    <col min="12" max="16" width="1.85546875" customWidth="1"/>
    <col min="17" max="17" width="8" customWidth="1"/>
    <col min="18" max="18" width="11" customWidth="1"/>
    <col min="19" max="21" width="9" bestFit="1" customWidth="1"/>
    <col min="22" max="22" width="7.28515625" bestFit="1" customWidth="1"/>
    <col min="23" max="25" width="9.85546875" bestFit="1" customWidth="1"/>
    <col min="26" max="26" width="10" customWidth="1"/>
  </cols>
  <sheetData>
    <row r="1" spans="1:27" x14ac:dyDescent="0.25">
      <c r="A1" s="1" t="s">
        <v>0</v>
      </c>
      <c r="B1" s="1" t="s">
        <v>93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96</v>
      </c>
      <c r="T1" s="1" t="s">
        <v>97</v>
      </c>
      <c r="U1" s="1" t="s">
        <v>178</v>
      </c>
      <c r="V1" s="1" t="s">
        <v>16</v>
      </c>
      <c r="W1" s="1" t="s">
        <v>98</v>
      </c>
      <c r="X1" s="1" t="s">
        <v>99</v>
      </c>
      <c r="Y1" s="1" t="s">
        <v>179</v>
      </c>
      <c r="Z1" s="1" t="s">
        <v>17</v>
      </c>
      <c r="AA1" s="1" t="s">
        <v>50</v>
      </c>
    </row>
    <row r="2" spans="1:27" x14ac:dyDescent="0.25">
      <c r="A2">
        <v>1178913</v>
      </c>
      <c r="B2" s="3" t="str">
        <f t="shared" ref="B2:B33" si="0">CONCATENATE(C2,", ", D2)</f>
        <v>SENCIALES DEL MORAL, ARACELI</v>
      </c>
      <c r="C2" t="s">
        <v>542</v>
      </c>
      <c r="D2" t="s">
        <v>543</v>
      </c>
      <c r="K2" t="s">
        <v>458</v>
      </c>
      <c r="Q2" t="s">
        <v>30</v>
      </c>
      <c r="R2" s="2">
        <v>26255</v>
      </c>
      <c r="AA2">
        <f t="shared" ref="AA2:AA33" ca="1" si="1">IF(ISBLANK(R2),"",((YEAR(NOW())-YEAR(R2))))</f>
        <v>54</v>
      </c>
    </row>
    <row r="3" spans="1:27" x14ac:dyDescent="0.25">
      <c r="A3">
        <v>2079300</v>
      </c>
      <c r="B3" s="3" t="str">
        <f t="shared" si="0"/>
        <v>Rodríguez, Francisco</v>
      </c>
      <c r="C3" t="s">
        <v>375</v>
      </c>
      <c r="D3" t="s">
        <v>35</v>
      </c>
      <c r="K3" t="s">
        <v>458</v>
      </c>
      <c r="Q3" t="s">
        <v>19</v>
      </c>
      <c r="R3" s="2">
        <v>27760</v>
      </c>
      <c r="AA3">
        <f t="shared" ca="1" si="1"/>
        <v>49</v>
      </c>
    </row>
    <row r="4" spans="1:27" x14ac:dyDescent="0.25">
      <c r="A4">
        <v>4304359</v>
      </c>
      <c r="B4" s="3" t="str">
        <f t="shared" si="0"/>
        <v>HERNANDEZ SANCHEZ, SIRO</v>
      </c>
      <c r="C4" t="s">
        <v>544</v>
      </c>
      <c r="D4" t="s">
        <v>545</v>
      </c>
      <c r="K4" t="s">
        <v>458</v>
      </c>
      <c r="Q4" t="s">
        <v>19</v>
      </c>
      <c r="R4" s="2">
        <v>33182</v>
      </c>
      <c r="AA4">
        <f t="shared" ca="1" si="1"/>
        <v>35</v>
      </c>
    </row>
    <row r="5" spans="1:27" x14ac:dyDescent="0.25">
      <c r="A5">
        <v>9307895</v>
      </c>
      <c r="B5" s="3" t="str">
        <f t="shared" si="0"/>
        <v>CARRION JIMENEZ, JOSE</v>
      </c>
      <c r="C5" t="s">
        <v>546</v>
      </c>
      <c r="D5" t="s">
        <v>547</v>
      </c>
      <c r="K5" t="s">
        <v>458</v>
      </c>
      <c r="Q5" t="s">
        <v>19</v>
      </c>
      <c r="R5" s="2">
        <v>33629</v>
      </c>
      <c r="AA5">
        <f t="shared" ca="1" si="1"/>
        <v>33</v>
      </c>
    </row>
    <row r="6" spans="1:27" x14ac:dyDescent="0.25">
      <c r="A6">
        <v>9386568</v>
      </c>
      <c r="B6" s="3" t="str">
        <f t="shared" si="0"/>
        <v>ALVAREZ DE LA TORRE, MELQUIADES</v>
      </c>
      <c r="C6" t="s">
        <v>548</v>
      </c>
      <c r="D6" t="s">
        <v>549</v>
      </c>
      <c r="K6" t="s">
        <v>458</v>
      </c>
      <c r="Q6" t="s">
        <v>19</v>
      </c>
      <c r="R6" s="2">
        <v>33158</v>
      </c>
      <c r="AA6">
        <f t="shared" ca="1" si="1"/>
        <v>35</v>
      </c>
    </row>
    <row r="7" spans="1:27" x14ac:dyDescent="0.25">
      <c r="A7">
        <v>9425598</v>
      </c>
      <c r="B7" s="3" t="str">
        <f t="shared" si="0"/>
        <v>DOYEGA RODRIGUEZ, ALVARO</v>
      </c>
      <c r="C7" t="s">
        <v>550</v>
      </c>
      <c r="D7" t="s">
        <v>551</v>
      </c>
      <c r="K7" t="s">
        <v>458</v>
      </c>
      <c r="Q7" t="s">
        <v>19</v>
      </c>
      <c r="R7" s="2">
        <v>34283</v>
      </c>
      <c r="AA7">
        <f t="shared" ca="1" si="1"/>
        <v>32</v>
      </c>
    </row>
    <row r="8" spans="1:27" x14ac:dyDescent="0.25">
      <c r="A8" s="6">
        <v>9474686</v>
      </c>
      <c r="B8" s="3" t="str">
        <f t="shared" si="0"/>
        <v>TIRADO GONZALEZ, JAVIER</v>
      </c>
      <c r="C8" t="s">
        <v>552</v>
      </c>
      <c r="D8" t="s">
        <v>553</v>
      </c>
      <c r="K8" t="s">
        <v>458</v>
      </c>
      <c r="Q8" t="s">
        <v>19</v>
      </c>
      <c r="R8" s="2">
        <v>35684</v>
      </c>
      <c r="AA8">
        <f t="shared" ca="1" si="1"/>
        <v>28</v>
      </c>
    </row>
    <row r="9" spans="1:27" x14ac:dyDescent="0.25">
      <c r="A9">
        <v>9483637</v>
      </c>
      <c r="B9" s="3" t="str">
        <f t="shared" si="0"/>
        <v>BATT, NATALIE</v>
      </c>
      <c r="C9" t="s">
        <v>554</v>
      </c>
      <c r="D9" t="s">
        <v>555</v>
      </c>
      <c r="K9" t="s">
        <v>458</v>
      </c>
      <c r="Q9" t="s">
        <v>30</v>
      </c>
      <c r="R9" s="2">
        <v>30761</v>
      </c>
      <c r="AA9">
        <f t="shared" ca="1" si="1"/>
        <v>41</v>
      </c>
    </row>
    <row r="10" spans="1:27" x14ac:dyDescent="0.25">
      <c r="A10">
        <v>9484320</v>
      </c>
      <c r="B10" s="3" t="str">
        <f t="shared" si="0"/>
        <v>LEVITSKY DE MIGUEL, PAULA</v>
      </c>
      <c r="C10" t="s">
        <v>556</v>
      </c>
      <c r="D10" t="s">
        <v>557</v>
      </c>
      <c r="K10" t="s">
        <v>458</v>
      </c>
      <c r="Q10" t="s">
        <v>30</v>
      </c>
      <c r="R10" s="2">
        <v>36249</v>
      </c>
      <c r="AA10">
        <f t="shared" ca="1" si="1"/>
        <v>26</v>
      </c>
    </row>
    <row r="11" spans="1:27" x14ac:dyDescent="0.25">
      <c r="A11">
        <v>9510381</v>
      </c>
      <c r="B11" s="3" t="str">
        <f t="shared" si="0"/>
        <v>SYROMOLOTOV NETREBIN, YURI SANTIAGO</v>
      </c>
      <c r="C11" t="s">
        <v>558</v>
      </c>
      <c r="D11" t="s">
        <v>559</v>
      </c>
      <c r="K11" t="s">
        <v>458</v>
      </c>
      <c r="Q11" t="s">
        <v>19</v>
      </c>
      <c r="R11" s="2">
        <v>35636</v>
      </c>
      <c r="AA11">
        <f t="shared" ca="1" si="1"/>
        <v>28</v>
      </c>
    </row>
    <row r="12" spans="1:27" x14ac:dyDescent="0.25">
      <c r="A12">
        <v>9563455</v>
      </c>
      <c r="B12" s="3" t="str">
        <f t="shared" si="0"/>
        <v>RONDON LOBATO, JOSE</v>
      </c>
      <c r="C12" t="s">
        <v>560</v>
      </c>
      <c r="D12" t="s">
        <v>547</v>
      </c>
      <c r="K12" t="s">
        <v>458</v>
      </c>
      <c r="Q12" t="s">
        <v>19</v>
      </c>
      <c r="R12" s="2">
        <v>21671</v>
      </c>
      <c r="AA12">
        <f t="shared" ca="1" si="1"/>
        <v>66</v>
      </c>
    </row>
    <row r="13" spans="1:27" x14ac:dyDescent="0.25">
      <c r="A13">
        <v>9573397</v>
      </c>
      <c r="B13" s="3" t="str">
        <f t="shared" si="0"/>
        <v>GARCIA ALVAREZ, ALICIA</v>
      </c>
      <c r="C13" t="s">
        <v>561</v>
      </c>
      <c r="D13" t="s">
        <v>562</v>
      </c>
      <c r="K13" t="s">
        <v>458</v>
      </c>
      <c r="Q13" t="s">
        <v>30</v>
      </c>
      <c r="R13" s="2">
        <v>34842</v>
      </c>
      <c r="AA13">
        <f t="shared" ca="1" si="1"/>
        <v>30</v>
      </c>
    </row>
    <row r="14" spans="1:27" x14ac:dyDescent="0.25">
      <c r="A14">
        <v>9579478</v>
      </c>
      <c r="B14" s="3" t="str">
        <f t="shared" si="0"/>
        <v>MARINAS PONTE, JUAN LUIS</v>
      </c>
      <c r="C14" t="s">
        <v>563</v>
      </c>
      <c r="D14" t="s">
        <v>564</v>
      </c>
      <c r="K14" t="s">
        <v>458</v>
      </c>
      <c r="Q14" t="s">
        <v>19</v>
      </c>
      <c r="R14" s="2">
        <v>25152</v>
      </c>
      <c r="AA14">
        <f t="shared" ca="1" si="1"/>
        <v>57</v>
      </c>
    </row>
    <row r="15" spans="1:27" x14ac:dyDescent="0.25">
      <c r="A15">
        <v>9634719</v>
      </c>
      <c r="B15" s="3" t="str">
        <f t="shared" si="0"/>
        <v>ALONSO GONZALEZ, GUSTAVO ADOLFO</v>
      </c>
      <c r="C15" t="s">
        <v>565</v>
      </c>
      <c r="D15" t="s">
        <v>566</v>
      </c>
      <c r="K15" t="s">
        <v>458</v>
      </c>
      <c r="Q15" t="s">
        <v>19</v>
      </c>
      <c r="R15" s="2">
        <v>22258</v>
      </c>
      <c r="AA15">
        <f t="shared" ca="1" si="1"/>
        <v>65</v>
      </c>
    </row>
    <row r="16" spans="1:27" x14ac:dyDescent="0.25">
      <c r="A16">
        <v>9663437</v>
      </c>
      <c r="B16" s="3" t="str">
        <f t="shared" si="0"/>
        <v>PRAT CALLEALTA, GUILLERMO</v>
      </c>
      <c r="C16" t="s">
        <v>567</v>
      </c>
      <c r="D16" t="s">
        <v>568</v>
      </c>
      <c r="K16" t="s">
        <v>458</v>
      </c>
      <c r="Q16" t="s">
        <v>19</v>
      </c>
      <c r="R16" s="2">
        <v>36447</v>
      </c>
      <c r="AA16">
        <f t="shared" ca="1" si="1"/>
        <v>26</v>
      </c>
    </row>
    <row r="17" spans="1:27" x14ac:dyDescent="0.25">
      <c r="A17" s="6">
        <v>16913578</v>
      </c>
      <c r="B17" s="3" t="str">
        <f t="shared" si="0"/>
        <v>SERRANO RUANO, ALEXANDER</v>
      </c>
      <c r="C17" t="s">
        <v>569</v>
      </c>
      <c r="D17" t="s">
        <v>570</v>
      </c>
      <c r="K17" t="s">
        <v>458</v>
      </c>
      <c r="Q17" t="s">
        <v>19</v>
      </c>
      <c r="R17" s="2">
        <v>33382</v>
      </c>
      <c r="AA17">
        <f t="shared" ca="1" si="1"/>
        <v>34</v>
      </c>
    </row>
    <row r="18" spans="1:27" x14ac:dyDescent="0.25">
      <c r="A18" s="6">
        <v>16937065</v>
      </c>
      <c r="B18" s="3" t="str">
        <f t="shared" si="0"/>
        <v>PEREIRA DE MATTOSS, DOMINI ELIAS</v>
      </c>
      <c r="C18" t="s">
        <v>571</v>
      </c>
      <c r="D18" t="s">
        <v>572</v>
      </c>
      <c r="K18" t="s">
        <v>458</v>
      </c>
      <c r="Q18" t="s">
        <v>19</v>
      </c>
      <c r="R18" s="2">
        <v>33455</v>
      </c>
      <c r="AA18">
        <f t="shared" ca="1" si="1"/>
        <v>34</v>
      </c>
    </row>
    <row r="19" spans="1:27" x14ac:dyDescent="0.25">
      <c r="A19">
        <v>16947410</v>
      </c>
      <c r="B19" s="3" t="str">
        <f t="shared" si="0"/>
        <v>JIMÉNEZ HERRERA, JULIÁN</v>
      </c>
      <c r="C19" t="s">
        <v>573</v>
      </c>
      <c r="D19" t="s">
        <v>574</v>
      </c>
      <c r="K19" t="s">
        <v>458</v>
      </c>
      <c r="Q19" t="s">
        <v>19</v>
      </c>
      <c r="R19" s="2">
        <v>27296</v>
      </c>
      <c r="AA19">
        <f t="shared" ca="1" si="1"/>
        <v>51</v>
      </c>
    </row>
    <row r="20" spans="1:27" x14ac:dyDescent="0.25">
      <c r="A20">
        <v>16947428</v>
      </c>
      <c r="B20" s="3" t="str">
        <f t="shared" si="0"/>
        <v>OTERO DELGADO, JAVIER</v>
      </c>
      <c r="C20" t="s">
        <v>575</v>
      </c>
      <c r="D20" t="s">
        <v>553</v>
      </c>
      <c r="K20" t="s">
        <v>458</v>
      </c>
      <c r="Q20" t="s">
        <v>19</v>
      </c>
      <c r="R20" s="2">
        <v>26914</v>
      </c>
      <c r="AA20">
        <f t="shared" ca="1" si="1"/>
        <v>52</v>
      </c>
    </row>
    <row r="21" spans="1:27" x14ac:dyDescent="0.25">
      <c r="A21">
        <v>16951669</v>
      </c>
      <c r="B21" s="3" t="str">
        <f t="shared" si="0"/>
        <v>SáNCHEZ RODRíGUEZ, PEDRO LUIS</v>
      </c>
      <c r="C21" t="s">
        <v>576</v>
      </c>
      <c r="D21" t="s">
        <v>577</v>
      </c>
      <c r="K21" t="s">
        <v>458</v>
      </c>
      <c r="Q21" t="s">
        <v>19</v>
      </c>
      <c r="R21" s="2">
        <v>27214</v>
      </c>
      <c r="AA21">
        <f t="shared" ca="1" si="1"/>
        <v>51</v>
      </c>
    </row>
    <row r="22" spans="1:27" x14ac:dyDescent="0.25">
      <c r="A22">
        <v>16951726</v>
      </c>
      <c r="B22" s="3" t="str">
        <f t="shared" si="0"/>
        <v>MILLON SOTO, CELIA</v>
      </c>
      <c r="C22" t="s">
        <v>578</v>
      </c>
      <c r="D22" t="s">
        <v>579</v>
      </c>
      <c r="K22" t="s">
        <v>458</v>
      </c>
      <c r="Q22" t="s">
        <v>30</v>
      </c>
      <c r="R22" s="2">
        <v>34304</v>
      </c>
      <c r="AA22">
        <f t="shared" ca="1" si="1"/>
        <v>32</v>
      </c>
    </row>
    <row r="23" spans="1:27" x14ac:dyDescent="0.25">
      <c r="A23">
        <v>16952021</v>
      </c>
      <c r="B23" s="3" t="str">
        <f t="shared" si="0"/>
        <v>BLANCO VILLEGAS, SAMUEL</v>
      </c>
      <c r="C23" t="s">
        <v>580</v>
      </c>
      <c r="D23" t="s">
        <v>581</v>
      </c>
      <c r="K23" t="s">
        <v>458</v>
      </c>
      <c r="Q23" t="s">
        <v>19</v>
      </c>
      <c r="R23" s="2">
        <v>37609</v>
      </c>
      <c r="AA23">
        <f t="shared" ca="1" si="1"/>
        <v>23</v>
      </c>
    </row>
    <row r="24" spans="1:27" x14ac:dyDescent="0.25">
      <c r="A24">
        <v>16952261</v>
      </c>
      <c r="B24" s="3" t="str">
        <f t="shared" si="0"/>
        <v>GARCíA TORRES, PATRICIA</v>
      </c>
      <c r="C24" t="s">
        <v>582</v>
      </c>
      <c r="D24" t="s">
        <v>583</v>
      </c>
      <c r="K24" t="s">
        <v>458</v>
      </c>
      <c r="Q24" t="s">
        <v>30</v>
      </c>
      <c r="R24" s="2">
        <v>32946</v>
      </c>
      <c r="AA24">
        <f t="shared" ca="1" si="1"/>
        <v>35</v>
      </c>
    </row>
    <row r="25" spans="1:27" x14ac:dyDescent="0.25">
      <c r="A25" s="6">
        <v>16952360</v>
      </c>
      <c r="B25" s="3" t="str">
        <f t="shared" si="0"/>
        <v>CASQUERO HERRERO, ANTONIO</v>
      </c>
      <c r="C25" t="s">
        <v>584</v>
      </c>
      <c r="D25" t="s">
        <v>585</v>
      </c>
      <c r="K25" t="s">
        <v>458</v>
      </c>
      <c r="Q25" t="s">
        <v>19</v>
      </c>
      <c r="R25" s="2">
        <v>30828</v>
      </c>
      <c r="AA25">
        <f t="shared" ca="1" si="1"/>
        <v>41</v>
      </c>
    </row>
    <row r="26" spans="1:27" x14ac:dyDescent="0.25">
      <c r="A26" s="6">
        <v>16952378</v>
      </c>
      <c r="B26" s="3" t="str">
        <f t="shared" si="0"/>
        <v>BÁEZ FERNÁNDEZ, VÍCTOR</v>
      </c>
      <c r="C26" t="s">
        <v>586</v>
      </c>
      <c r="D26" t="s">
        <v>587</v>
      </c>
      <c r="K26" t="s">
        <v>458</v>
      </c>
      <c r="Q26" t="s">
        <v>19</v>
      </c>
      <c r="R26" s="2">
        <v>30723</v>
      </c>
      <c r="AA26">
        <f t="shared" ca="1" si="1"/>
        <v>41</v>
      </c>
    </row>
    <row r="27" spans="1:27" x14ac:dyDescent="0.25">
      <c r="A27">
        <v>16952451</v>
      </c>
      <c r="B27" s="3" t="str">
        <f t="shared" si="0"/>
        <v>PINTOS MORALES, FRANCISCO JAVIER</v>
      </c>
      <c r="C27" t="s">
        <v>588</v>
      </c>
      <c r="D27" t="s">
        <v>589</v>
      </c>
      <c r="K27" t="s">
        <v>458</v>
      </c>
      <c r="Q27" t="s">
        <v>19</v>
      </c>
      <c r="R27" s="2">
        <v>24865</v>
      </c>
      <c r="AA27">
        <f t="shared" ca="1" si="1"/>
        <v>57</v>
      </c>
    </row>
    <row r="28" spans="1:27" x14ac:dyDescent="0.25">
      <c r="A28">
        <v>16952576</v>
      </c>
      <c r="B28" s="3" t="str">
        <f t="shared" si="0"/>
        <v>Garrido, Javier</v>
      </c>
      <c r="C28" t="s">
        <v>363</v>
      </c>
      <c r="D28" t="s">
        <v>46</v>
      </c>
      <c r="K28" t="s">
        <v>458</v>
      </c>
      <c r="Q28" t="s">
        <v>19</v>
      </c>
      <c r="R28" s="2">
        <v>36526</v>
      </c>
      <c r="AA28">
        <f t="shared" ca="1" si="1"/>
        <v>25</v>
      </c>
    </row>
    <row r="29" spans="1:27" x14ac:dyDescent="0.25">
      <c r="A29" s="6">
        <v>16952584</v>
      </c>
      <c r="B29" s="3" t="str">
        <f t="shared" si="0"/>
        <v>MONTAÑO MONTAÑO, MIGUEL</v>
      </c>
      <c r="C29" t="s">
        <v>590</v>
      </c>
      <c r="D29" t="s">
        <v>591</v>
      </c>
      <c r="K29" t="s">
        <v>458</v>
      </c>
      <c r="Q29" t="s">
        <v>19</v>
      </c>
      <c r="R29" s="2">
        <v>23352</v>
      </c>
      <c r="AA29">
        <f t="shared" ca="1" si="1"/>
        <v>62</v>
      </c>
    </row>
    <row r="30" spans="1:27" x14ac:dyDescent="0.25">
      <c r="A30" s="6">
        <v>16952716</v>
      </c>
      <c r="B30" s="3" t="str">
        <f t="shared" si="0"/>
        <v>CASQUERO TOMAS, VICTORIA</v>
      </c>
      <c r="C30" t="s">
        <v>592</v>
      </c>
      <c r="D30" t="s">
        <v>593</v>
      </c>
      <c r="K30" t="s">
        <v>458</v>
      </c>
      <c r="Q30" t="s">
        <v>30</v>
      </c>
      <c r="R30" s="2">
        <v>23323</v>
      </c>
      <c r="AA30">
        <f t="shared" ca="1" si="1"/>
        <v>62</v>
      </c>
    </row>
    <row r="31" spans="1:27" x14ac:dyDescent="0.25">
      <c r="A31" s="6">
        <v>16952807</v>
      </c>
      <c r="B31" s="3" t="str">
        <f t="shared" si="0"/>
        <v>VALDÉS MUÑOZ, INMA</v>
      </c>
      <c r="C31" t="s">
        <v>594</v>
      </c>
      <c r="D31" t="s">
        <v>595</v>
      </c>
      <c r="K31" t="s">
        <v>458</v>
      </c>
      <c r="Q31" t="s">
        <v>30</v>
      </c>
      <c r="R31" s="2">
        <v>31426</v>
      </c>
      <c r="AA31">
        <f t="shared" ca="1" si="1"/>
        <v>39</v>
      </c>
    </row>
    <row r="32" spans="1:27" x14ac:dyDescent="0.25">
      <c r="A32">
        <v>16952849</v>
      </c>
      <c r="B32" s="3" t="str">
        <f t="shared" si="0"/>
        <v>Centeno, Sergio</v>
      </c>
      <c r="C32" t="s">
        <v>533</v>
      </c>
      <c r="D32" t="s">
        <v>38</v>
      </c>
      <c r="K32" t="s">
        <v>458</v>
      </c>
      <c r="Q32" t="s">
        <v>19</v>
      </c>
      <c r="R32" s="2">
        <v>26299</v>
      </c>
      <c r="AA32">
        <f t="shared" ca="1" si="1"/>
        <v>53</v>
      </c>
    </row>
    <row r="33" spans="1:27" x14ac:dyDescent="0.25">
      <c r="A33">
        <v>16952873</v>
      </c>
      <c r="B33" s="3" t="str">
        <f t="shared" si="0"/>
        <v>SKIRROW, ALEX</v>
      </c>
      <c r="C33" t="s">
        <v>596</v>
      </c>
      <c r="D33" t="s">
        <v>597</v>
      </c>
      <c r="K33" t="s">
        <v>458</v>
      </c>
      <c r="Q33" t="s">
        <v>19</v>
      </c>
      <c r="R33" s="2">
        <v>32026</v>
      </c>
      <c r="AA33">
        <f t="shared" ca="1" si="1"/>
        <v>38</v>
      </c>
    </row>
    <row r="34" spans="1:27" x14ac:dyDescent="0.25">
      <c r="A34">
        <v>16952881</v>
      </c>
      <c r="B34" s="3" t="str">
        <f t="shared" ref="B34:B65" si="2">CONCATENATE(C34,", ", D34)</f>
        <v>GARCíA CORRALES, FRANCISCO JESúS</v>
      </c>
      <c r="C34" t="s">
        <v>598</v>
      </c>
      <c r="D34" t="s">
        <v>599</v>
      </c>
      <c r="K34" t="s">
        <v>458</v>
      </c>
      <c r="Q34" t="s">
        <v>19</v>
      </c>
      <c r="R34" s="2">
        <v>35607</v>
      </c>
      <c r="AA34">
        <f t="shared" ref="AA34:AA65" ca="1" si="3">IF(ISBLANK(R34),"",((YEAR(NOW())-YEAR(R34))))</f>
        <v>28</v>
      </c>
    </row>
    <row r="35" spans="1:27" x14ac:dyDescent="0.25">
      <c r="A35">
        <v>16952906</v>
      </c>
      <c r="B35" s="3" t="str">
        <f t="shared" si="2"/>
        <v>BLANCO ASSANELLI, VANESA NOELIA</v>
      </c>
      <c r="C35" t="s">
        <v>600</v>
      </c>
      <c r="D35" t="s">
        <v>601</v>
      </c>
      <c r="K35" t="s">
        <v>458</v>
      </c>
      <c r="Q35" t="s">
        <v>30</v>
      </c>
      <c r="R35" s="2">
        <v>27996</v>
      </c>
      <c r="AA35">
        <f t="shared" ca="1" si="3"/>
        <v>49</v>
      </c>
    </row>
    <row r="36" spans="1:27" x14ac:dyDescent="0.25">
      <c r="A36">
        <v>16952914</v>
      </c>
      <c r="B36" s="3" t="str">
        <f t="shared" si="2"/>
        <v>APARICIO VELASCO, JOSE MARIA</v>
      </c>
      <c r="C36" t="s">
        <v>602</v>
      </c>
      <c r="D36" t="s">
        <v>603</v>
      </c>
      <c r="K36" t="s">
        <v>458</v>
      </c>
      <c r="Q36" t="s">
        <v>19</v>
      </c>
      <c r="R36" s="2">
        <v>27524</v>
      </c>
      <c r="AA36">
        <f t="shared" ca="1" si="3"/>
        <v>50</v>
      </c>
    </row>
    <row r="37" spans="1:27" x14ac:dyDescent="0.25">
      <c r="A37">
        <v>16952964</v>
      </c>
      <c r="B37" s="3" t="str">
        <f t="shared" si="2"/>
        <v>GARCIA PIñERO, MARIA BEGOñA</v>
      </c>
      <c r="C37" t="s">
        <v>604</v>
      </c>
      <c r="D37" t="s">
        <v>605</v>
      </c>
      <c r="K37" t="s">
        <v>458</v>
      </c>
      <c r="Q37" t="s">
        <v>30</v>
      </c>
      <c r="R37" s="2">
        <v>27820</v>
      </c>
      <c r="AA37">
        <f t="shared" ca="1" si="3"/>
        <v>49</v>
      </c>
    </row>
    <row r="38" spans="1:27" x14ac:dyDescent="0.25">
      <c r="A38">
        <v>16952980</v>
      </c>
      <c r="B38" s="3" t="str">
        <f t="shared" si="2"/>
        <v>Arias, Ramon Arias</v>
      </c>
      <c r="C38" t="s">
        <v>361</v>
      </c>
      <c r="D38" s="8" t="s">
        <v>682</v>
      </c>
      <c r="K38" t="s">
        <v>458</v>
      </c>
      <c r="Q38" t="s">
        <v>19</v>
      </c>
      <c r="R38" s="2">
        <v>37257</v>
      </c>
      <c r="AA38">
        <f t="shared" ca="1" si="3"/>
        <v>23</v>
      </c>
    </row>
    <row r="39" spans="1:27" x14ac:dyDescent="0.25">
      <c r="A39">
        <v>16953045</v>
      </c>
      <c r="B39" s="3" t="str">
        <f t="shared" si="2"/>
        <v>VARO MARTíNEZ, VANESSA</v>
      </c>
      <c r="C39" t="s">
        <v>606</v>
      </c>
      <c r="D39" t="s">
        <v>607</v>
      </c>
      <c r="K39" t="s">
        <v>458</v>
      </c>
      <c r="Q39" t="s">
        <v>30</v>
      </c>
      <c r="R39" s="2">
        <v>30970</v>
      </c>
      <c r="AA39">
        <f t="shared" ca="1" si="3"/>
        <v>41</v>
      </c>
    </row>
    <row r="40" spans="1:27" x14ac:dyDescent="0.25">
      <c r="A40">
        <v>16953053</v>
      </c>
      <c r="B40" s="3" t="str">
        <f t="shared" si="2"/>
        <v>BALLESTEROS AGUILAR, RUBéN</v>
      </c>
      <c r="C40" t="s">
        <v>608</v>
      </c>
      <c r="D40" t="s">
        <v>609</v>
      </c>
      <c r="K40" t="s">
        <v>458</v>
      </c>
      <c r="Q40" t="s">
        <v>19</v>
      </c>
      <c r="R40" s="2">
        <v>30091</v>
      </c>
      <c r="AA40">
        <f t="shared" ca="1" si="3"/>
        <v>43</v>
      </c>
    </row>
    <row r="41" spans="1:27" x14ac:dyDescent="0.25">
      <c r="A41">
        <v>16953061</v>
      </c>
      <c r="B41" s="3" t="str">
        <f t="shared" si="2"/>
        <v>GARCíA DE LA PLAZA GUARDEñO, ANTONIO</v>
      </c>
      <c r="C41" t="s">
        <v>610</v>
      </c>
      <c r="D41" t="s">
        <v>585</v>
      </c>
      <c r="K41" t="s">
        <v>458</v>
      </c>
      <c r="Q41" t="s">
        <v>19</v>
      </c>
      <c r="R41" s="2">
        <v>25647</v>
      </c>
      <c r="AA41">
        <f t="shared" ca="1" si="3"/>
        <v>55</v>
      </c>
    </row>
    <row r="42" spans="1:27" x14ac:dyDescent="0.25">
      <c r="A42" s="6">
        <v>16953201</v>
      </c>
      <c r="B42" s="3" t="str">
        <f t="shared" si="2"/>
        <v>ROMERO MEJIAS, AUXI</v>
      </c>
      <c r="C42" t="s">
        <v>611</v>
      </c>
      <c r="D42" t="s">
        <v>612</v>
      </c>
      <c r="K42" t="s">
        <v>458</v>
      </c>
      <c r="Q42" t="s">
        <v>30</v>
      </c>
      <c r="R42" s="2">
        <v>26442</v>
      </c>
      <c r="AA42">
        <f t="shared" ca="1" si="3"/>
        <v>53</v>
      </c>
    </row>
    <row r="43" spans="1:27" x14ac:dyDescent="0.25">
      <c r="A43">
        <v>16953227</v>
      </c>
      <c r="B43" s="3" t="str">
        <f t="shared" si="2"/>
        <v>OLIVER DE TORRES, JESUS</v>
      </c>
      <c r="C43" t="s">
        <v>613</v>
      </c>
      <c r="D43" t="s">
        <v>614</v>
      </c>
      <c r="K43" t="s">
        <v>458</v>
      </c>
      <c r="Q43" t="s">
        <v>19</v>
      </c>
      <c r="R43" s="2">
        <v>26824</v>
      </c>
      <c r="AA43">
        <f t="shared" ca="1" si="3"/>
        <v>52</v>
      </c>
    </row>
    <row r="44" spans="1:27" x14ac:dyDescent="0.25">
      <c r="A44" s="6">
        <v>16953235</v>
      </c>
      <c r="B44" s="3" t="str">
        <f t="shared" si="2"/>
        <v>MORALES HERRERA, CARMEN</v>
      </c>
      <c r="C44" t="s">
        <v>615</v>
      </c>
      <c r="D44" t="s">
        <v>616</v>
      </c>
      <c r="K44" t="s">
        <v>458</v>
      </c>
      <c r="Q44" t="s">
        <v>30</v>
      </c>
      <c r="R44" s="2">
        <v>28184</v>
      </c>
      <c r="AA44">
        <f t="shared" ca="1" si="3"/>
        <v>48</v>
      </c>
    </row>
    <row r="45" spans="1:27" x14ac:dyDescent="0.25">
      <c r="A45" s="6">
        <v>16953251</v>
      </c>
      <c r="B45" s="3" t="str">
        <f t="shared" si="2"/>
        <v>YANES CABRERA, ALICIA</v>
      </c>
      <c r="C45" t="s">
        <v>617</v>
      </c>
      <c r="D45" t="s">
        <v>562</v>
      </c>
      <c r="K45" t="s">
        <v>458</v>
      </c>
      <c r="Q45" t="s">
        <v>30</v>
      </c>
      <c r="R45" s="2">
        <v>25737</v>
      </c>
      <c r="AA45">
        <f t="shared" ca="1" si="3"/>
        <v>55</v>
      </c>
    </row>
    <row r="46" spans="1:27" x14ac:dyDescent="0.25">
      <c r="A46">
        <v>16953334</v>
      </c>
      <c r="B46" s="3" t="str">
        <f t="shared" si="2"/>
        <v>SANTIAGO OTERO, TOMAS</v>
      </c>
      <c r="C46" t="s">
        <v>618</v>
      </c>
      <c r="D46" t="s">
        <v>619</v>
      </c>
      <c r="K46" t="s">
        <v>458</v>
      </c>
      <c r="Q46" t="s">
        <v>19</v>
      </c>
      <c r="R46" s="2">
        <v>33812</v>
      </c>
      <c r="AA46">
        <f t="shared" ca="1" si="3"/>
        <v>33</v>
      </c>
    </row>
    <row r="47" spans="1:27" x14ac:dyDescent="0.25">
      <c r="A47">
        <v>16953342</v>
      </c>
      <c r="B47" s="3" t="str">
        <f t="shared" si="2"/>
        <v>GALLEGO RUIZ-MATEOS, JAVIER</v>
      </c>
      <c r="C47" t="s">
        <v>620</v>
      </c>
      <c r="D47" t="s">
        <v>553</v>
      </c>
      <c r="K47" t="s">
        <v>458</v>
      </c>
      <c r="Q47" t="s">
        <v>19</v>
      </c>
      <c r="R47" s="2">
        <v>34913</v>
      </c>
      <c r="AA47">
        <f t="shared" ca="1" si="3"/>
        <v>30</v>
      </c>
    </row>
    <row r="48" spans="1:27" x14ac:dyDescent="0.25">
      <c r="A48" s="6">
        <v>16953392</v>
      </c>
      <c r="B48" s="3" t="str">
        <f t="shared" si="2"/>
        <v>MENDOZA GUILLéN, JOSE ANTONIO</v>
      </c>
      <c r="C48" t="s">
        <v>621</v>
      </c>
      <c r="D48" t="s">
        <v>622</v>
      </c>
      <c r="K48" t="s">
        <v>458</v>
      </c>
      <c r="Q48" t="s">
        <v>19</v>
      </c>
      <c r="R48" s="2">
        <v>36196</v>
      </c>
      <c r="AA48">
        <f t="shared" ca="1" si="3"/>
        <v>26</v>
      </c>
    </row>
    <row r="49" spans="1:27" x14ac:dyDescent="0.25">
      <c r="A49">
        <v>16953459</v>
      </c>
      <c r="B49" s="3" t="str">
        <f t="shared" si="2"/>
        <v>GONZáLEZ BAENA, FRANCISCO JAVIER</v>
      </c>
      <c r="C49" t="s">
        <v>623</v>
      </c>
      <c r="D49" t="s">
        <v>589</v>
      </c>
      <c r="K49" t="s">
        <v>458</v>
      </c>
      <c r="Q49" t="s">
        <v>19</v>
      </c>
      <c r="R49" s="2">
        <v>26325</v>
      </c>
      <c r="AA49">
        <f t="shared" ca="1" si="3"/>
        <v>53</v>
      </c>
    </row>
    <row r="50" spans="1:27" x14ac:dyDescent="0.25">
      <c r="A50" s="6">
        <v>16953996</v>
      </c>
      <c r="B50" s="3" t="str">
        <f t="shared" si="2"/>
        <v>PERSSON, BJORN</v>
      </c>
      <c r="C50" t="s">
        <v>624</v>
      </c>
      <c r="D50" t="s">
        <v>625</v>
      </c>
      <c r="K50" t="s">
        <v>458</v>
      </c>
      <c r="Q50" t="s">
        <v>19</v>
      </c>
      <c r="R50" s="2">
        <v>20416</v>
      </c>
      <c r="AA50">
        <f t="shared" ca="1" si="3"/>
        <v>70</v>
      </c>
    </row>
    <row r="51" spans="1:27" x14ac:dyDescent="0.25">
      <c r="A51">
        <v>16954324</v>
      </c>
      <c r="B51" s="3" t="str">
        <f t="shared" si="2"/>
        <v>Gonzalez, Lucas Gonzalez</v>
      </c>
      <c r="C51" t="s">
        <v>67</v>
      </c>
      <c r="D51" s="8" t="s">
        <v>683</v>
      </c>
      <c r="K51" t="s">
        <v>458</v>
      </c>
      <c r="Q51" t="s">
        <v>19</v>
      </c>
      <c r="R51" s="2">
        <v>39448</v>
      </c>
      <c r="AA51">
        <f t="shared" ca="1" si="3"/>
        <v>17</v>
      </c>
    </row>
    <row r="52" spans="1:27" x14ac:dyDescent="0.25">
      <c r="A52">
        <v>16954332</v>
      </c>
      <c r="B52" s="3" t="str">
        <f t="shared" si="2"/>
        <v>Costantino, Gabriela</v>
      </c>
      <c r="C52" t="s">
        <v>684</v>
      </c>
      <c r="D52" t="s">
        <v>524</v>
      </c>
      <c r="K52" t="s">
        <v>458</v>
      </c>
      <c r="Q52" t="s">
        <v>19</v>
      </c>
      <c r="R52" s="2">
        <v>23377</v>
      </c>
      <c r="AA52">
        <f t="shared" ca="1" si="3"/>
        <v>61</v>
      </c>
    </row>
    <row r="53" spans="1:27" x14ac:dyDescent="0.25">
      <c r="A53">
        <v>16954382</v>
      </c>
      <c r="B53" s="3" t="str">
        <f t="shared" si="2"/>
        <v>GAMIZ PONCE, CARLOS</v>
      </c>
      <c r="C53" t="s">
        <v>626</v>
      </c>
      <c r="D53" t="s">
        <v>627</v>
      </c>
      <c r="K53" t="s">
        <v>458</v>
      </c>
      <c r="Q53" t="s">
        <v>19</v>
      </c>
      <c r="R53" s="2">
        <v>33763</v>
      </c>
      <c r="AA53">
        <f t="shared" ca="1" si="3"/>
        <v>33</v>
      </c>
    </row>
    <row r="54" spans="1:27" x14ac:dyDescent="0.25">
      <c r="A54">
        <v>16954415</v>
      </c>
      <c r="B54" s="3" t="str">
        <f t="shared" si="2"/>
        <v>MESEJO PEREIRA, NOEMí</v>
      </c>
      <c r="C54" t="s">
        <v>628</v>
      </c>
      <c r="D54" t="s">
        <v>629</v>
      </c>
      <c r="K54" t="s">
        <v>458</v>
      </c>
      <c r="Q54" t="s">
        <v>19</v>
      </c>
      <c r="R54" s="2">
        <v>30122</v>
      </c>
      <c r="AA54">
        <f t="shared" ca="1" si="3"/>
        <v>43</v>
      </c>
    </row>
    <row r="55" spans="1:27" x14ac:dyDescent="0.25">
      <c r="A55">
        <v>16954423</v>
      </c>
      <c r="B55" s="3" t="str">
        <f t="shared" si="2"/>
        <v>BARAJAS LóPEZ, FRANCISCO JAVIER</v>
      </c>
      <c r="C55" t="s">
        <v>630</v>
      </c>
      <c r="D55" t="s">
        <v>589</v>
      </c>
      <c r="K55" t="s">
        <v>458</v>
      </c>
      <c r="Q55" t="s">
        <v>19</v>
      </c>
      <c r="R55" s="2">
        <v>23679</v>
      </c>
      <c r="AA55">
        <f t="shared" ca="1" si="3"/>
        <v>61</v>
      </c>
    </row>
    <row r="56" spans="1:27" x14ac:dyDescent="0.25">
      <c r="A56" s="6">
        <v>16954449</v>
      </c>
      <c r="B56" s="3" t="str">
        <f t="shared" si="2"/>
        <v>GARCíA SáNCHEZ, MAURO</v>
      </c>
      <c r="C56" t="s">
        <v>631</v>
      </c>
      <c r="D56" t="s">
        <v>632</v>
      </c>
      <c r="K56" t="s">
        <v>458</v>
      </c>
      <c r="Q56" t="s">
        <v>19</v>
      </c>
      <c r="R56" s="2">
        <v>39355</v>
      </c>
      <c r="AA56">
        <f t="shared" ca="1" si="3"/>
        <v>18</v>
      </c>
    </row>
    <row r="57" spans="1:27" x14ac:dyDescent="0.25">
      <c r="A57">
        <v>16954473</v>
      </c>
      <c r="B57" s="3" t="str">
        <f t="shared" si="2"/>
        <v>ARAGóN GUZMáN, MARIA</v>
      </c>
      <c r="C57" t="s">
        <v>633</v>
      </c>
      <c r="D57" t="s">
        <v>634</v>
      </c>
      <c r="K57" t="s">
        <v>458</v>
      </c>
      <c r="Q57" t="s">
        <v>30</v>
      </c>
      <c r="R57" s="2">
        <v>30448</v>
      </c>
      <c r="AA57">
        <f t="shared" ca="1" si="3"/>
        <v>42</v>
      </c>
    </row>
    <row r="58" spans="1:27" x14ac:dyDescent="0.25">
      <c r="A58">
        <v>16954481</v>
      </c>
      <c r="B58" s="3" t="str">
        <f t="shared" si="2"/>
        <v>REIG CASTRO, ÓSCAR</v>
      </c>
      <c r="C58" t="s">
        <v>635</v>
      </c>
      <c r="D58" t="s">
        <v>636</v>
      </c>
      <c r="K58" t="s">
        <v>458</v>
      </c>
      <c r="Q58" t="s">
        <v>19</v>
      </c>
      <c r="R58" s="2">
        <v>37254</v>
      </c>
      <c r="AA58">
        <f t="shared" ca="1" si="3"/>
        <v>24</v>
      </c>
    </row>
    <row r="59" spans="1:27" x14ac:dyDescent="0.25">
      <c r="A59">
        <v>16954499</v>
      </c>
      <c r="B59" s="3" t="str">
        <f t="shared" si="2"/>
        <v>LLAMAS DíAZ, FRANCISCO JAVIER</v>
      </c>
      <c r="C59" t="s">
        <v>637</v>
      </c>
      <c r="D59" t="s">
        <v>589</v>
      </c>
      <c r="K59" t="s">
        <v>458</v>
      </c>
      <c r="Q59" t="s">
        <v>19</v>
      </c>
      <c r="R59" s="2">
        <v>37378</v>
      </c>
      <c r="AA59">
        <f t="shared" ca="1" si="3"/>
        <v>23</v>
      </c>
    </row>
    <row r="60" spans="1:27" x14ac:dyDescent="0.25">
      <c r="A60">
        <v>16954506</v>
      </c>
      <c r="B60" s="3" t="str">
        <f t="shared" si="2"/>
        <v>MORÁN ALMENARA, FRANCISCO JOSÉ</v>
      </c>
      <c r="C60" t="s">
        <v>638</v>
      </c>
      <c r="D60" t="s">
        <v>639</v>
      </c>
      <c r="K60" t="s">
        <v>458</v>
      </c>
      <c r="Q60" t="s">
        <v>19</v>
      </c>
      <c r="R60" s="2">
        <v>34812</v>
      </c>
      <c r="AA60">
        <f t="shared" ca="1" si="3"/>
        <v>30</v>
      </c>
    </row>
    <row r="61" spans="1:27" x14ac:dyDescent="0.25">
      <c r="A61">
        <v>16954514</v>
      </c>
      <c r="B61" s="3" t="str">
        <f t="shared" si="2"/>
        <v>ARANDA RAMOS, JUAN</v>
      </c>
      <c r="C61" t="s">
        <v>640</v>
      </c>
      <c r="D61" t="s">
        <v>641</v>
      </c>
      <c r="K61" t="s">
        <v>458</v>
      </c>
      <c r="Q61" t="s">
        <v>19</v>
      </c>
      <c r="R61" s="2">
        <v>29225</v>
      </c>
      <c r="AA61">
        <f t="shared" ca="1" si="3"/>
        <v>45</v>
      </c>
    </row>
    <row r="62" spans="1:27" x14ac:dyDescent="0.25">
      <c r="A62">
        <v>16954522</v>
      </c>
      <c r="B62" s="3" t="str">
        <f t="shared" si="2"/>
        <v>ROMERO FRIAS, ENRIQUE</v>
      </c>
      <c r="C62" t="s">
        <v>642</v>
      </c>
      <c r="D62" t="s">
        <v>643</v>
      </c>
      <c r="K62" t="s">
        <v>458</v>
      </c>
      <c r="Q62" t="s">
        <v>19</v>
      </c>
      <c r="R62" s="2">
        <v>32098</v>
      </c>
      <c r="AA62">
        <f t="shared" ca="1" si="3"/>
        <v>38</v>
      </c>
    </row>
    <row r="63" spans="1:27" x14ac:dyDescent="0.25">
      <c r="A63">
        <v>16954548</v>
      </c>
      <c r="B63" s="3" t="str">
        <f t="shared" si="2"/>
        <v>PEREZ MARIN, RUBéN</v>
      </c>
      <c r="C63" t="s">
        <v>644</v>
      </c>
      <c r="D63" t="s">
        <v>609</v>
      </c>
      <c r="K63" t="s">
        <v>458</v>
      </c>
      <c r="Q63" t="s">
        <v>19</v>
      </c>
      <c r="R63" s="2">
        <v>37196</v>
      </c>
      <c r="AA63">
        <f t="shared" ca="1" si="3"/>
        <v>24</v>
      </c>
    </row>
    <row r="64" spans="1:27" x14ac:dyDescent="0.25">
      <c r="A64">
        <v>16954556</v>
      </c>
      <c r="B64" s="3" t="str">
        <f t="shared" si="2"/>
        <v>CAMPOS DE LOS REYES, JESUS</v>
      </c>
      <c r="C64" t="s">
        <v>645</v>
      </c>
      <c r="D64" t="s">
        <v>614</v>
      </c>
      <c r="K64" t="s">
        <v>458</v>
      </c>
      <c r="Q64" t="s">
        <v>19</v>
      </c>
      <c r="R64" s="2">
        <v>37113</v>
      </c>
      <c r="AA64">
        <f t="shared" ca="1" si="3"/>
        <v>24</v>
      </c>
    </row>
    <row r="65" spans="1:27" x14ac:dyDescent="0.25">
      <c r="A65">
        <v>16954580</v>
      </c>
      <c r="B65" s="3" t="str">
        <f t="shared" si="2"/>
        <v>Sarabia, Carlos</v>
      </c>
      <c r="C65" t="s">
        <v>685</v>
      </c>
      <c r="D65" t="s">
        <v>21</v>
      </c>
      <c r="K65" t="s">
        <v>458</v>
      </c>
      <c r="Q65" t="s">
        <v>19</v>
      </c>
      <c r="R65" s="2">
        <v>32874</v>
      </c>
      <c r="AA65">
        <f t="shared" ca="1" si="3"/>
        <v>35</v>
      </c>
    </row>
    <row r="66" spans="1:27" x14ac:dyDescent="0.25">
      <c r="A66">
        <v>16954605</v>
      </c>
      <c r="B66" s="3" t="str">
        <f t="shared" ref="B66:B97" si="4">CONCATENATE(C66,", ", D66)</f>
        <v>PARRA SANTANA, CELIA</v>
      </c>
      <c r="C66" t="s">
        <v>646</v>
      </c>
      <c r="D66" t="s">
        <v>579</v>
      </c>
      <c r="K66" t="s">
        <v>458</v>
      </c>
      <c r="Q66" t="s">
        <v>30</v>
      </c>
      <c r="R66" s="2">
        <v>39906</v>
      </c>
      <c r="AA66">
        <f t="shared" ref="AA66:AA100" ca="1" si="5">IF(ISBLANK(R66),"",((YEAR(NOW())-YEAR(R66))))</f>
        <v>16</v>
      </c>
    </row>
    <row r="67" spans="1:27" x14ac:dyDescent="0.25">
      <c r="A67">
        <v>16954613</v>
      </c>
      <c r="B67" s="3" t="str">
        <f t="shared" si="4"/>
        <v>CASTELLANO MORENO, JESúS</v>
      </c>
      <c r="C67" t="s">
        <v>647</v>
      </c>
      <c r="D67" t="s">
        <v>648</v>
      </c>
      <c r="K67" t="s">
        <v>458</v>
      </c>
      <c r="Q67" t="s">
        <v>19</v>
      </c>
      <c r="R67" s="2">
        <v>30103</v>
      </c>
      <c r="AA67">
        <f t="shared" ca="1" si="5"/>
        <v>43</v>
      </c>
    </row>
    <row r="68" spans="1:27" x14ac:dyDescent="0.25">
      <c r="A68">
        <v>16954621</v>
      </c>
      <c r="B68" s="3" t="str">
        <f t="shared" si="4"/>
        <v>PALOMO MARTIN, JULIAN</v>
      </c>
      <c r="C68" t="s">
        <v>649</v>
      </c>
      <c r="D68" t="s">
        <v>650</v>
      </c>
      <c r="K68" t="s">
        <v>458</v>
      </c>
      <c r="Q68" t="s">
        <v>19</v>
      </c>
      <c r="R68" s="2">
        <v>25278</v>
      </c>
      <c r="AA68">
        <f t="shared" ca="1" si="5"/>
        <v>56</v>
      </c>
    </row>
    <row r="69" spans="1:27" x14ac:dyDescent="0.25">
      <c r="A69" s="6">
        <v>16964547</v>
      </c>
      <c r="B69" s="3" t="str">
        <f t="shared" si="4"/>
        <v>MACARRO CATALAN, MODESTO</v>
      </c>
      <c r="C69" t="s">
        <v>651</v>
      </c>
      <c r="D69" t="s">
        <v>652</v>
      </c>
      <c r="K69" t="s">
        <v>458</v>
      </c>
      <c r="Q69" t="s">
        <v>19</v>
      </c>
      <c r="R69" s="2">
        <v>21461</v>
      </c>
      <c r="AA69">
        <f t="shared" ca="1" si="5"/>
        <v>67</v>
      </c>
    </row>
    <row r="70" spans="1:27" x14ac:dyDescent="0.25">
      <c r="A70">
        <v>16964589</v>
      </c>
      <c r="B70" s="3" t="str">
        <f t="shared" si="4"/>
        <v>DE FRUTOS GARCIA, PEDRO LUIS</v>
      </c>
      <c r="C70" t="s">
        <v>653</v>
      </c>
      <c r="D70" t="s">
        <v>577</v>
      </c>
      <c r="K70" t="s">
        <v>458</v>
      </c>
      <c r="Q70" t="s">
        <v>19</v>
      </c>
      <c r="R70" s="2">
        <v>18461</v>
      </c>
      <c r="AA70">
        <f t="shared" ca="1" si="5"/>
        <v>75</v>
      </c>
    </row>
    <row r="71" spans="1:27" x14ac:dyDescent="0.25">
      <c r="A71">
        <v>16964795</v>
      </c>
      <c r="B71" s="3" t="str">
        <f t="shared" si="4"/>
        <v>REVUELTA ARBOLí, ALFREDO</v>
      </c>
      <c r="C71" t="s">
        <v>654</v>
      </c>
      <c r="D71" t="s">
        <v>655</v>
      </c>
      <c r="K71" t="s">
        <v>458</v>
      </c>
      <c r="Q71" t="s">
        <v>19</v>
      </c>
      <c r="R71" s="2">
        <v>36804</v>
      </c>
      <c r="AA71">
        <f t="shared" ca="1" si="5"/>
        <v>25</v>
      </c>
    </row>
    <row r="72" spans="1:27" x14ac:dyDescent="0.25">
      <c r="A72">
        <v>16964977</v>
      </c>
      <c r="B72" s="3" t="str">
        <f t="shared" si="4"/>
        <v>CARRASCO RODRIGUEZ, JAIME</v>
      </c>
      <c r="C72" t="s">
        <v>656</v>
      </c>
      <c r="D72" t="s">
        <v>657</v>
      </c>
      <c r="K72" t="s">
        <v>458</v>
      </c>
      <c r="Q72" t="s">
        <v>19</v>
      </c>
      <c r="R72" s="2">
        <v>37248</v>
      </c>
      <c r="AA72">
        <f t="shared" ca="1" si="5"/>
        <v>24</v>
      </c>
    </row>
    <row r="73" spans="1:27" x14ac:dyDescent="0.25">
      <c r="A73" s="6">
        <v>16965107</v>
      </c>
      <c r="B73" s="3" t="str">
        <f t="shared" si="4"/>
        <v>ALMAZáN AGUILAR, VíCTOR</v>
      </c>
      <c r="C73" t="s">
        <v>658</v>
      </c>
      <c r="D73" t="s">
        <v>659</v>
      </c>
      <c r="K73" t="s">
        <v>458</v>
      </c>
      <c r="Q73" t="s">
        <v>19</v>
      </c>
      <c r="R73" s="2">
        <v>30007</v>
      </c>
      <c r="AA73">
        <f t="shared" ca="1" si="5"/>
        <v>43</v>
      </c>
    </row>
    <row r="74" spans="1:27" x14ac:dyDescent="0.25">
      <c r="A74">
        <v>16966113</v>
      </c>
      <c r="B74" s="3" t="str">
        <f t="shared" si="4"/>
        <v>GEMEZ MATA, JUAN</v>
      </c>
      <c r="C74" t="s">
        <v>660</v>
      </c>
      <c r="D74" t="s">
        <v>641</v>
      </c>
      <c r="K74" t="s">
        <v>458</v>
      </c>
      <c r="Q74" t="s">
        <v>19</v>
      </c>
      <c r="R74" s="2">
        <v>34234</v>
      </c>
      <c r="AA74">
        <f t="shared" ca="1" si="5"/>
        <v>32</v>
      </c>
    </row>
    <row r="75" spans="1:27" x14ac:dyDescent="0.25">
      <c r="A75" s="6">
        <v>16966361</v>
      </c>
      <c r="B75" s="3" t="str">
        <f t="shared" si="4"/>
        <v>SÁNCHEZ CIVILA, JOSE JOAQUíN</v>
      </c>
      <c r="C75" t="s">
        <v>661</v>
      </c>
      <c r="D75" t="s">
        <v>662</v>
      </c>
      <c r="K75" t="s">
        <v>458</v>
      </c>
      <c r="Q75" t="s">
        <v>19</v>
      </c>
      <c r="R75" s="2">
        <v>21546</v>
      </c>
      <c r="AA75">
        <f t="shared" ca="1" si="5"/>
        <v>67</v>
      </c>
    </row>
    <row r="76" spans="1:27" x14ac:dyDescent="0.25">
      <c r="A76">
        <v>16966395</v>
      </c>
      <c r="B76" s="3" t="str">
        <f t="shared" si="4"/>
        <v>SÁNCHEZ CIVILA, INMACULADA</v>
      </c>
      <c r="C76" t="s">
        <v>661</v>
      </c>
      <c r="D76" t="s">
        <v>663</v>
      </c>
      <c r="K76" t="s">
        <v>458</v>
      </c>
      <c r="Q76" t="s">
        <v>30</v>
      </c>
      <c r="R76" s="2">
        <v>21160</v>
      </c>
      <c r="AA76">
        <f t="shared" ca="1" si="5"/>
        <v>68</v>
      </c>
    </row>
    <row r="77" spans="1:27" x14ac:dyDescent="0.25">
      <c r="A77">
        <v>16966402</v>
      </c>
      <c r="B77" s="3" t="str">
        <f t="shared" si="4"/>
        <v>VIRUEL SANCHEZ DE LA CAMPA, JUAN</v>
      </c>
      <c r="C77" t="s">
        <v>664</v>
      </c>
      <c r="D77" t="s">
        <v>641</v>
      </c>
      <c r="K77" t="s">
        <v>458</v>
      </c>
      <c r="Q77" t="s">
        <v>19</v>
      </c>
      <c r="R77" s="2">
        <v>21298</v>
      </c>
      <c r="AA77">
        <f t="shared" ca="1" si="5"/>
        <v>67</v>
      </c>
    </row>
    <row r="78" spans="1:27" x14ac:dyDescent="0.25">
      <c r="A78">
        <v>16966923</v>
      </c>
      <c r="B78" s="3" t="str">
        <f t="shared" si="4"/>
        <v>VIDAL ROMáN, ALEJANDRO</v>
      </c>
      <c r="C78" t="s">
        <v>665</v>
      </c>
      <c r="D78" t="s">
        <v>666</v>
      </c>
      <c r="K78" t="s">
        <v>458</v>
      </c>
      <c r="Q78" t="s">
        <v>19</v>
      </c>
      <c r="R78" s="2">
        <v>33737</v>
      </c>
      <c r="AA78">
        <f t="shared" ca="1" si="5"/>
        <v>33</v>
      </c>
    </row>
    <row r="79" spans="1:27" x14ac:dyDescent="0.25">
      <c r="A79" s="7">
        <v>16968143</v>
      </c>
      <c r="B79" s="3" t="str">
        <f t="shared" si="4"/>
        <v>MORILLO VALDES, FATIMA</v>
      </c>
      <c r="C79" t="s">
        <v>667</v>
      </c>
      <c r="D79" t="s">
        <v>668</v>
      </c>
      <c r="K79" t="s">
        <v>458</v>
      </c>
      <c r="Q79" t="s">
        <v>30</v>
      </c>
      <c r="R79" s="2">
        <v>27876</v>
      </c>
      <c r="AA79">
        <f t="shared" ca="1" si="5"/>
        <v>49</v>
      </c>
    </row>
    <row r="80" spans="1:27" x14ac:dyDescent="0.25">
      <c r="A80">
        <v>16968250</v>
      </c>
      <c r="B80" s="3" t="str">
        <f t="shared" si="4"/>
        <v>MONEDERO AGUILAR, LUIS MIGUEL</v>
      </c>
      <c r="C80" t="s">
        <v>669</v>
      </c>
      <c r="D80" t="s">
        <v>670</v>
      </c>
      <c r="K80" t="s">
        <v>458</v>
      </c>
      <c r="Q80" t="s">
        <v>19</v>
      </c>
      <c r="R80" s="2">
        <v>37282</v>
      </c>
      <c r="AA80">
        <f t="shared" ca="1" si="5"/>
        <v>23</v>
      </c>
    </row>
    <row r="81" spans="1:27" x14ac:dyDescent="0.25">
      <c r="A81">
        <v>16968268</v>
      </c>
      <c r="B81" s="3" t="str">
        <f t="shared" si="4"/>
        <v>GARCIA RIVAS, MANUEL</v>
      </c>
      <c r="C81" t="s">
        <v>671</v>
      </c>
      <c r="D81" t="s">
        <v>672</v>
      </c>
      <c r="K81" t="s">
        <v>458</v>
      </c>
      <c r="Q81" t="s">
        <v>19</v>
      </c>
      <c r="R81" s="2">
        <v>31086</v>
      </c>
      <c r="AA81">
        <f t="shared" ca="1" si="5"/>
        <v>40</v>
      </c>
    </row>
    <row r="82" spans="1:27" x14ac:dyDescent="0.25">
      <c r="A82" s="6">
        <v>16968276</v>
      </c>
      <c r="B82" s="3" t="str">
        <f t="shared" si="4"/>
        <v>GOMEZ CARRILLO, CRISTINA</v>
      </c>
      <c r="C82" t="s">
        <v>673</v>
      </c>
      <c r="D82" t="s">
        <v>674</v>
      </c>
      <c r="K82" t="s">
        <v>458</v>
      </c>
      <c r="Q82" t="s">
        <v>30</v>
      </c>
      <c r="R82" s="2">
        <v>32799</v>
      </c>
      <c r="AA82">
        <f t="shared" ca="1" si="5"/>
        <v>36</v>
      </c>
    </row>
    <row r="83" spans="1:27" x14ac:dyDescent="0.25">
      <c r="A83">
        <v>16968284</v>
      </c>
      <c r="B83" s="3" t="str">
        <f t="shared" si="4"/>
        <v>GUTIéRREZ GARCíA, ANTONIO</v>
      </c>
      <c r="C83" t="s">
        <v>675</v>
      </c>
      <c r="D83" t="s">
        <v>585</v>
      </c>
      <c r="K83" t="s">
        <v>458</v>
      </c>
      <c r="Q83" t="s">
        <v>19</v>
      </c>
      <c r="R83" s="2">
        <v>25965</v>
      </c>
      <c r="AA83">
        <f t="shared" ca="1" si="5"/>
        <v>54</v>
      </c>
    </row>
    <row r="84" spans="1:27" x14ac:dyDescent="0.25">
      <c r="A84">
        <v>16968292</v>
      </c>
      <c r="B84" s="3" t="str">
        <f t="shared" si="4"/>
        <v>GARCíA CALDERóN, JOSé LUIS</v>
      </c>
      <c r="C84" t="s">
        <v>676</v>
      </c>
      <c r="D84" t="s">
        <v>677</v>
      </c>
      <c r="K84" t="s">
        <v>458</v>
      </c>
      <c r="Q84" t="s">
        <v>19</v>
      </c>
      <c r="R84" s="2">
        <v>34231</v>
      </c>
      <c r="AA84">
        <f t="shared" ca="1" si="5"/>
        <v>32</v>
      </c>
    </row>
    <row r="85" spans="1:27" x14ac:dyDescent="0.25">
      <c r="A85">
        <v>16968979</v>
      </c>
      <c r="B85" s="3" t="str">
        <f t="shared" si="4"/>
        <v>CASQUERO TOMáS, MARíA ÁNGELES</v>
      </c>
      <c r="C85" t="s">
        <v>678</v>
      </c>
      <c r="D85" t="s">
        <v>679</v>
      </c>
      <c r="K85" t="s">
        <v>458</v>
      </c>
      <c r="Q85" t="s">
        <v>30</v>
      </c>
      <c r="R85" s="2">
        <v>20078</v>
      </c>
      <c r="AA85">
        <f t="shared" ca="1" si="5"/>
        <v>71</v>
      </c>
    </row>
    <row r="86" spans="1:27" x14ac:dyDescent="0.25">
      <c r="A86" s="6">
        <v>16969109</v>
      </c>
      <c r="B86" s="3" t="str">
        <f t="shared" si="4"/>
        <v>MIODOWNIK, DANIEL</v>
      </c>
      <c r="C86" t="s">
        <v>680</v>
      </c>
      <c r="D86" t="s">
        <v>681</v>
      </c>
      <c r="K86" t="s">
        <v>458</v>
      </c>
      <c r="Q86" t="s">
        <v>19</v>
      </c>
      <c r="R86" s="2">
        <v>20605</v>
      </c>
      <c r="AA86">
        <f t="shared" ca="1" si="5"/>
        <v>69</v>
      </c>
    </row>
    <row r="87" spans="1:27" x14ac:dyDescent="0.25">
      <c r="A87">
        <v>16969159</v>
      </c>
      <c r="B87" s="3" t="str">
        <f t="shared" si="4"/>
        <v>Bernal, Jesús</v>
      </c>
      <c r="C87" t="s">
        <v>362</v>
      </c>
      <c r="D87" t="s">
        <v>53</v>
      </c>
      <c r="K87" t="s">
        <v>458</v>
      </c>
      <c r="Q87" t="s">
        <v>19</v>
      </c>
      <c r="R87" s="2" t="s">
        <v>686</v>
      </c>
      <c r="AA87">
        <f t="shared" ca="1" si="5"/>
        <v>36</v>
      </c>
    </row>
    <row r="88" spans="1:27" x14ac:dyDescent="0.25">
      <c r="A88">
        <v>16969183</v>
      </c>
      <c r="B88" s="3" t="str">
        <f t="shared" si="4"/>
        <v>Gavalda, Sandra</v>
      </c>
      <c r="C88" t="s">
        <v>532</v>
      </c>
      <c r="D88" t="s">
        <v>531</v>
      </c>
      <c r="K88" t="s">
        <v>458</v>
      </c>
      <c r="Q88" t="s">
        <v>30</v>
      </c>
      <c r="R88" s="2" t="s">
        <v>687</v>
      </c>
      <c r="AA88">
        <f t="shared" ca="1" si="5"/>
        <v>43</v>
      </c>
    </row>
    <row r="89" spans="1:27" x14ac:dyDescent="0.25">
      <c r="A89">
        <v>16969191</v>
      </c>
      <c r="B89" s="3" t="str">
        <f t="shared" si="4"/>
        <v>Olmedo, Maria</v>
      </c>
      <c r="C89" t="s">
        <v>529</v>
      </c>
      <c r="D89" t="s">
        <v>137</v>
      </c>
      <c r="K89" t="s">
        <v>458</v>
      </c>
      <c r="Q89" t="s">
        <v>30</v>
      </c>
      <c r="R89" s="2" t="s">
        <v>688</v>
      </c>
      <c r="AA89">
        <f t="shared" ca="1" si="5"/>
        <v>48</v>
      </c>
    </row>
    <row r="90" spans="1:27" x14ac:dyDescent="0.25">
      <c r="A90" s="6">
        <v>16969208</v>
      </c>
      <c r="B90" s="3" t="str">
        <f t="shared" si="4"/>
        <v>García, Mario</v>
      </c>
      <c r="C90" t="s">
        <v>359</v>
      </c>
      <c r="D90" t="s">
        <v>34</v>
      </c>
      <c r="K90" t="s">
        <v>458</v>
      </c>
      <c r="Q90" t="s">
        <v>19</v>
      </c>
      <c r="R90" s="2" t="s">
        <v>689</v>
      </c>
      <c r="AA90">
        <f t="shared" ca="1" si="5"/>
        <v>46</v>
      </c>
    </row>
    <row r="91" spans="1:27" x14ac:dyDescent="0.25">
      <c r="A91">
        <v>16969232</v>
      </c>
      <c r="B91" s="3" t="str">
        <f t="shared" si="4"/>
        <v>Gomez, Maria Luisa</v>
      </c>
      <c r="C91" t="s">
        <v>400</v>
      </c>
      <c r="D91" t="s">
        <v>537</v>
      </c>
      <c r="K91" t="s">
        <v>458</v>
      </c>
      <c r="Q91" t="s">
        <v>30</v>
      </c>
      <c r="R91" s="2" t="s">
        <v>690</v>
      </c>
      <c r="AA91">
        <f t="shared" ca="1" si="5"/>
        <v>49</v>
      </c>
    </row>
    <row r="92" spans="1:27" x14ac:dyDescent="0.25">
      <c r="A92">
        <v>16969258</v>
      </c>
      <c r="B92" s="3" t="str">
        <f t="shared" si="4"/>
        <v>Carmona, Alberto</v>
      </c>
      <c r="C92" t="s">
        <v>374</v>
      </c>
      <c r="D92" t="s">
        <v>66</v>
      </c>
      <c r="K92" t="s">
        <v>458</v>
      </c>
      <c r="Q92" t="s">
        <v>19</v>
      </c>
      <c r="R92" s="2" t="s">
        <v>691</v>
      </c>
      <c r="AA92">
        <f t="shared" ca="1" si="5"/>
        <v>26</v>
      </c>
    </row>
    <row r="93" spans="1:27" x14ac:dyDescent="0.25">
      <c r="A93">
        <v>16969266</v>
      </c>
      <c r="B93" s="3" t="str">
        <f t="shared" si="4"/>
        <v>Sanchez, Mari Toñi</v>
      </c>
      <c r="C93" t="s">
        <v>528</v>
      </c>
      <c r="D93" t="s">
        <v>536</v>
      </c>
      <c r="K93" t="s">
        <v>458</v>
      </c>
      <c r="Q93" t="s">
        <v>30</v>
      </c>
      <c r="R93" s="2" t="s">
        <v>692</v>
      </c>
      <c r="AA93">
        <f t="shared" ca="1" si="5"/>
        <v>44</v>
      </c>
    </row>
    <row r="94" spans="1:27" x14ac:dyDescent="0.25">
      <c r="A94" s="7">
        <v>16969399</v>
      </c>
      <c r="B94" s="3" t="str">
        <f t="shared" si="4"/>
        <v>Elyse, Malka</v>
      </c>
      <c r="C94" t="s">
        <v>539</v>
      </c>
      <c r="D94" t="s">
        <v>526</v>
      </c>
      <c r="K94" t="s">
        <v>458</v>
      </c>
      <c r="Q94" t="s">
        <v>30</v>
      </c>
      <c r="R94" s="2" t="s">
        <v>693</v>
      </c>
      <c r="AA94">
        <f t="shared" ca="1" si="5"/>
        <v>25</v>
      </c>
    </row>
    <row r="95" spans="1:27" x14ac:dyDescent="0.25">
      <c r="A95">
        <v>16969745</v>
      </c>
      <c r="B95" s="3" t="str">
        <f t="shared" si="4"/>
        <v>Ruiz, Sergio</v>
      </c>
      <c r="C95" t="s">
        <v>398</v>
      </c>
      <c r="D95" t="s">
        <v>38</v>
      </c>
      <c r="K95" t="s">
        <v>458</v>
      </c>
      <c r="Q95" t="s">
        <v>19</v>
      </c>
      <c r="R95" s="2" t="s">
        <v>694</v>
      </c>
      <c r="AA95">
        <f t="shared" ca="1" si="5"/>
        <v>50</v>
      </c>
    </row>
    <row r="96" spans="1:27" x14ac:dyDescent="0.25">
      <c r="A96">
        <v>16969753</v>
      </c>
      <c r="B96" s="3" t="str">
        <f t="shared" si="4"/>
        <v>Pérez González, Antonio</v>
      </c>
      <c r="C96" t="s">
        <v>381</v>
      </c>
      <c r="D96" t="s">
        <v>54</v>
      </c>
      <c r="K96" t="s">
        <v>458</v>
      </c>
      <c r="Q96" t="s">
        <v>19</v>
      </c>
      <c r="R96" s="2" t="s">
        <v>691</v>
      </c>
      <c r="AA96">
        <f t="shared" ca="1" si="5"/>
        <v>26</v>
      </c>
    </row>
    <row r="97" spans="1:27" x14ac:dyDescent="0.25">
      <c r="A97">
        <v>16970403</v>
      </c>
      <c r="B97" s="3" t="str">
        <f t="shared" si="4"/>
        <v>Fernández Duque, Paco</v>
      </c>
      <c r="C97" t="s">
        <v>538</v>
      </c>
      <c r="D97" t="s">
        <v>530</v>
      </c>
      <c r="K97" t="s">
        <v>458</v>
      </c>
      <c r="Q97" t="s">
        <v>19</v>
      </c>
      <c r="R97" s="2" t="s">
        <v>695</v>
      </c>
      <c r="AA97">
        <f t="shared" ca="1" si="5"/>
        <v>67</v>
      </c>
    </row>
    <row r="98" spans="1:27" x14ac:dyDescent="0.25">
      <c r="A98">
        <v>16970411</v>
      </c>
      <c r="B98" s="3" t="str">
        <f t="shared" ref="B98:B100" si="6">CONCATENATE(C98,", ", D98)</f>
        <v>Lobato, Claudia</v>
      </c>
      <c r="C98" t="s">
        <v>523</v>
      </c>
      <c r="D98" t="s">
        <v>129</v>
      </c>
      <c r="K98" t="s">
        <v>458</v>
      </c>
      <c r="Q98" t="s">
        <v>30</v>
      </c>
      <c r="R98" s="2" t="s">
        <v>696</v>
      </c>
      <c r="AA98">
        <f t="shared" ca="1" si="5"/>
        <v>17</v>
      </c>
    </row>
    <row r="99" spans="1:27" x14ac:dyDescent="0.25">
      <c r="A99">
        <v>16970429</v>
      </c>
      <c r="B99" s="3" t="str">
        <f t="shared" si="6"/>
        <v>Campos, Juan Pedro</v>
      </c>
      <c r="C99" t="s">
        <v>377</v>
      </c>
      <c r="D99" t="s">
        <v>535</v>
      </c>
      <c r="K99" t="s">
        <v>458</v>
      </c>
      <c r="Q99" t="s">
        <v>19</v>
      </c>
      <c r="R99" s="2" t="s">
        <v>697</v>
      </c>
      <c r="AA99">
        <f t="shared" ca="1" si="5"/>
        <v>30</v>
      </c>
    </row>
    <row r="100" spans="1:27" x14ac:dyDescent="0.25">
      <c r="A100">
        <v>16970437</v>
      </c>
      <c r="B100" s="3" t="str">
        <f t="shared" si="6"/>
        <v>Expósito, Guillermo</v>
      </c>
      <c r="C100" t="s">
        <v>376</v>
      </c>
      <c r="D100" t="s">
        <v>369</v>
      </c>
      <c r="K100" t="s">
        <v>458</v>
      </c>
      <c r="Q100" t="s">
        <v>19</v>
      </c>
      <c r="R100" s="2" t="s">
        <v>698</v>
      </c>
      <c r="AA100">
        <f t="shared" ca="1" si="5"/>
        <v>33</v>
      </c>
    </row>
    <row r="101" spans="1:27" x14ac:dyDescent="0.25">
      <c r="B101"/>
      <c r="E101"/>
    </row>
    <row r="102" spans="1:27" x14ac:dyDescent="0.25">
      <c r="B102"/>
      <c r="E102"/>
    </row>
    <row r="103" spans="1:27" x14ac:dyDescent="0.25">
      <c r="B103"/>
      <c r="E103"/>
    </row>
    <row r="104" spans="1:27" x14ac:dyDescent="0.25">
      <c r="B104"/>
      <c r="E104"/>
    </row>
    <row r="105" spans="1:27" x14ac:dyDescent="0.25">
      <c r="B105"/>
      <c r="E105"/>
    </row>
    <row r="106" spans="1:27" x14ac:dyDescent="0.25">
      <c r="B106"/>
      <c r="E106"/>
    </row>
    <row r="107" spans="1:27" x14ac:dyDescent="0.25">
      <c r="B107"/>
      <c r="E107"/>
    </row>
    <row r="108" spans="1:27" x14ac:dyDescent="0.25">
      <c r="B108"/>
      <c r="E108"/>
    </row>
    <row r="109" spans="1:27" x14ac:dyDescent="0.25">
      <c r="B109"/>
      <c r="E109"/>
    </row>
    <row r="110" spans="1:27" x14ac:dyDescent="0.25">
      <c r="B110"/>
      <c r="E110"/>
    </row>
    <row r="111" spans="1:27" x14ac:dyDescent="0.25">
      <c r="B111"/>
      <c r="E111"/>
    </row>
    <row r="112" spans="1:27" x14ac:dyDescent="0.25">
      <c r="B112"/>
      <c r="E112"/>
    </row>
    <row r="113" spans="2:5" x14ac:dyDescent="0.25">
      <c r="B113"/>
      <c r="E113"/>
    </row>
    <row r="114" spans="2:5" x14ac:dyDescent="0.25">
      <c r="B114"/>
      <c r="E114"/>
    </row>
    <row r="115" spans="2:5" x14ac:dyDescent="0.25">
      <c r="B115"/>
      <c r="E115"/>
    </row>
    <row r="116" spans="2:5" x14ac:dyDescent="0.25">
      <c r="B116"/>
      <c r="E116"/>
    </row>
    <row r="117" spans="2:5" x14ac:dyDescent="0.25">
      <c r="B117"/>
      <c r="E117"/>
    </row>
    <row r="118" spans="2:5" x14ac:dyDescent="0.25">
      <c r="B118"/>
      <c r="E118"/>
    </row>
    <row r="119" spans="2:5" x14ac:dyDescent="0.25">
      <c r="B119"/>
      <c r="E119"/>
    </row>
    <row r="120" spans="2:5" x14ac:dyDescent="0.25">
      <c r="B120"/>
      <c r="E120"/>
    </row>
    <row r="121" spans="2:5" x14ac:dyDescent="0.25">
      <c r="B121"/>
      <c r="E121"/>
    </row>
    <row r="122" spans="2:5" x14ac:dyDescent="0.25">
      <c r="B122"/>
      <c r="E122"/>
    </row>
    <row r="123" spans="2:5" x14ac:dyDescent="0.25">
      <c r="B123"/>
      <c r="E123"/>
    </row>
    <row r="124" spans="2:5" x14ac:dyDescent="0.25">
      <c r="B124"/>
      <c r="E124"/>
    </row>
    <row r="125" spans="2:5" x14ac:dyDescent="0.25">
      <c r="B125"/>
      <c r="E125"/>
    </row>
    <row r="126" spans="2:5" x14ac:dyDescent="0.25">
      <c r="B126"/>
      <c r="E126"/>
    </row>
    <row r="127" spans="2:5" x14ac:dyDescent="0.25">
      <c r="B127"/>
      <c r="E127"/>
    </row>
    <row r="128" spans="2:5" x14ac:dyDescent="0.25">
      <c r="B128"/>
      <c r="E128"/>
    </row>
    <row r="129" spans="2:5" x14ac:dyDescent="0.25">
      <c r="B129"/>
      <c r="E129"/>
    </row>
    <row r="130" spans="2:5" x14ac:dyDescent="0.25">
      <c r="B130"/>
      <c r="E130"/>
    </row>
    <row r="131" spans="2:5" x14ac:dyDescent="0.25">
      <c r="B131"/>
      <c r="E131"/>
    </row>
    <row r="132" spans="2:5" x14ac:dyDescent="0.25">
      <c r="B132"/>
      <c r="E132"/>
    </row>
    <row r="133" spans="2:5" x14ac:dyDescent="0.25">
      <c r="B133"/>
      <c r="E133"/>
    </row>
    <row r="134" spans="2:5" x14ac:dyDescent="0.25">
      <c r="B134"/>
      <c r="E134"/>
    </row>
    <row r="135" spans="2:5" x14ac:dyDescent="0.25">
      <c r="B135"/>
      <c r="E135"/>
    </row>
    <row r="136" spans="2:5" x14ac:dyDescent="0.25">
      <c r="B136"/>
      <c r="E136"/>
    </row>
    <row r="137" spans="2:5" x14ac:dyDescent="0.25">
      <c r="B137"/>
      <c r="E137"/>
    </row>
    <row r="138" spans="2:5" x14ac:dyDescent="0.25">
      <c r="B138"/>
      <c r="E138"/>
    </row>
    <row r="139" spans="2:5" x14ac:dyDescent="0.25">
      <c r="B139"/>
      <c r="E139"/>
    </row>
    <row r="140" spans="2:5" x14ac:dyDescent="0.25">
      <c r="B140"/>
      <c r="E140"/>
    </row>
    <row r="141" spans="2:5" x14ac:dyDescent="0.25">
      <c r="B141"/>
      <c r="E141"/>
    </row>
    <row r="142" spans="2:5" x14ac:dyDescent="0.25">
      <c r="B142"/>
      <c r="E142"/>
    </row>
    <row r="143" spans="2:5" x14ac:dyDescent="0.25">
      <c r="B143"/>
      <c r="E143"/>
    </row>
    <row r="144" spans="2:5" x14ac:dyDescent="0.25">
      <c r="B144"/>
      <c r="E144"/>
    </row>
    <row r="145" spans="2:5" x14ac:dyDescent="0.25">
      <c r="B145"/>
      <c r="E145"/>
    </row>
    <row r="146" spans="2:5" x14ac:dyDescent="0.25">
      <c r="B146"/>
      <c r="E146"/>
    </row>
    <row r="147" spans="2:5" x14ac:dyDescent="0.25">
      <c r="B147"/>
      <c r="E147"/>
    </row>
    <row r="148" spans="2:5" x14ac:dyDescent="0.25">
      <c r="B148"/>
      <c r="E148"/>
    </row>
    <row r="149" spans="2:5" x14ac:dyDescent="0.25">
      <c r="B149"/>
      <c r="E149"/>
    </row>
    <row r="150" spans="2:5" x14ac:dyDescent="0.25">
      <c r="B150"/>
      <c r="E150"/>
    </row>
    <row r="151" spans="2:5" x14ac:dyDescent="0.25">
      <c r="B151"/>
      <c r="E151"/>
    </row>
    <row r="152" spans="2:5" x14ac:dyDescent="0.25">
      <c r="B152"/>
      <c r="E152"/>
    </row>
    <row r="153" spans="2:5" x14ac:dyDescent="0.25">
      <c r="B153"/>
      <c r="E153"/>
    </row>
    <row r="154" spans="2:5" x14ac:dyDescent="0.25">
      <c r="B154"/>
      <c r="E154"/>
    </row>
    <row r="155" spans="2:5" x14ac:dyDescent="0.25">
      <c r="B155"/>
      <c r="E155"/>
    </row>
    <row r="156" spans="2:5" x14ac:dyDescent="0.25">
      <c r="B156"/>
      <c r="E156"/>
    </row>
    <row r="157" spans="2:5" x14ac:dyDescent="0.25">
      <c r="B157"/>
      <c r="E157"/>
    </row>
    <row r="158" spans="2:5" x14ac:dyDescent="0.25">
      <c r="B158"/>
      <c r="E158"/>
    </row>
    <row r="159" spans="2:5" x14ac:dyDescent="0.25">
      <c r="B159"/>
      <c r="E159"/>
    </row>
    <row r="160" spans="2:5" x14ac:dyDescent="0.25">
      <c r="B160"/>
      <c r="E160"/>
    </row>
    <row r="161" spans="2:5" x14ac:dyDescent="0.25">
      <c r="B161"/>
      <c r="E161"/>
    </row>
    <row r="162" spans="2:5" x14ac:dyDescent="0.25">
      <c r="B162"/>
      <c r="E162"/>
    </row>
    <row r="163" spans="2:5" x14ac:dyDescent="0.25">
      <c r="B163"/>
      <c r="E163"/>
    </row>
    <row r="164" spans="2:5" x14ac:dyDescent="0.25">
      <c r="B164"/>
      <c r="E164"/>
    </row>
    <row r="165" spans="2:5" x14ac:dyDescent="0.25">
      <c r="B165"/>
      <c r="E165"/>
    </row>
    <row r="166" spans="2:5" x14ac:dyDescent="0.25">
      <c r="B166"/>
      <c r="E166"/>
    </row>
    <row r="167" spans="2:5" x14ac:dyDescent="0.25">
      <c r="B167"/>
      <c r="E167"/>
    </row>
    <row r="168" spans="2:5" x14ac:dyDescent="0.25">
      <c r="B168"/>
      <c r="E168"/>
    </row>
    <row r="169" spans="2:5" x14ac:dyDescent="0.25">
      <c r="B169"/>
      <c r="E169"/>
    </row>
    <row r="170" spans="2:5" x14ac:dyDescent="0.25">
      <c r="B170"/>
      <c r="E170"/>
    </row>
    <row r="171" spans="2:5" x14ac:dyDescent="0.25">
      <c r="B171"/>
      <c r="E171"/>
    </row>
    <row r="172" spans="2:5" x14ac:dyDescent="0.25">
      <c r="B172"/>
      <c r="E172"/>
    </row>
    <row r="173" spans="2:5" x14ac:dyDescent="0.25">
      <c r="B173"/>
      <c r="E173"/>
    </row>
    <row r="174" spans="2:5" x14ac:dyDescent="0.25">
      <c r="B174"/>
      <c r="E174"/>
    </row>
    <row r="175" spans="2:5" x14ac:dyDescent="0.25">
      <c r="B175"/>
      <c r="E175"/>
    </row>
    <row r="176" spans="2:5" x14ac:dyDescent="0.25">
      <c r="B176"/>
      <c r="E176"/>
    </row>
    <row r="177" spans="2:5" x14ac:dyDescent="0.25">
      <c r="B177"/>
      <c r="E177"/>
    </row>
    <row r="178" spans="2:5" x14ac:dyDescent="0.25">
      <c r="B178"/>
      <c r="E178"/>
    </row>
    <row r="179" spans="2:5" x14ac:dyDescent="0.25">
      <c r="B179"/>
      <c r="E179"/>
    </row>
    <row r="180" spans="2:5" x14ac:dyDescent="0.25">
      <c r="B180"/>
      <c r="E180"/>
    </row>
    <row r="181" spans="2:5" x14ac:dyDescent="0.25">
      <c r="B181"/>
      <c r="E181"/>
    </row>
    <row r="182" spans="2:5" x14ac:dyDescent="0.25">
      <c r="B182"/>
      <c r="E182"/>
    </row>
    <row r="183" spans="2:5" x14ac:dyDescent="0.25">
      <c r="B183"/>
      <c r="E183"/>
    </row>
    <row r="184" spans="2:5" x14ac:dyDescent="0.25">
      <c r="B184"/>
      <c r="E184"/>
    </row>
    <row r="185" spans="2:5" x14ac:dyDescent="0.25">
      <c r="B185"/>
      <c r="E185"/>
    </row>
    <row r="186" spans="2:5" x14ac:dyDescent="0.25">
      <c r="B186"/>
      <c r="E186"/>
    </row>
    <row r="187" spans="2:5" x14ac:dyDescent="0.25">
      <c r="B187"/>
      <c r="E187"/>
    </row>
    <row r="188" spans="2:5" x14ac:dyDescent="0.25">
      <c r="B188"/>
      <c r="E188"/>
    </row>
    <row r="189" spans="2:5" x14ac:dyDescent="0.25">
      <c r="B189"/>
      <c r="E189"/>
    </row>
    <row r="190" spans="2:5" x14ac:dyDescent="0.25">
      <c r="B190"/>
      <c r="E190"/>
    </row>
    <row r="191" spans="2:5" x14ac:dyDescent="0.25">
      <c r="B191"/>
      <c r="E191"/>
    </row>
    <row r="192" spans="2:5" x14ac:dyDescent="0.25">
      <c r="B192"/>
      <c r="E192"/>
    </row>
    <row r="193" spans="2:5" x14ac:dyDescent="0.25">
      <c r="B193"/>
      <c r="E193"/>
    </row>
    <row r="194" spans="2:5" x14ac:dyDescent="0.25">
      <c r="B194"/>
      <c r="E194"/>
    </row>
    <row r="195" spans="2:5" x14ac:dyDescent="0.25">
      <c r="B195"/>
      <c r="E195"/>
    </row>
    <row r="196" spans="2:5" x14ac:dyDescent="0.25">
      <c r="B196"/>
      <c r="E196"/>
    </row>
    <row r="197" spans="2:5" x14ac:dyDescent="0.25">
      <c r="B197"/>
      <c r="E197"/>
    </row>
    <row r="198" spans="2:5" x14ac:dyDescent="0.25">
      <c r="B198"/>
      <c r="E198"/>
    </row>
    <row r="199" spans="2:5" x14ac:dyDescent="0.25">
      <c r="B199"/>
      <c r="E199"/>
    </row>
    <row r="200" spans="2:5" x14ac:dyDescent="0.25">
      <c r="B200"/>
      <c r="E200"/>
    </row>
    <row r="201" spans="2:5" x14ac:dyDescent="0.25">
      <c r="B201"/>
      <c r="E201"/>
    </row>
    <row r="202" spans="2:5" x14ac:dyDescent="0.25">
      <c r="B202"/>
      <c r="E202"/>
    </row>
    <row r="203" spans="2:5" x14ac:dyDescent="0.25">
      <c r="B203"/>
      <c r="E203"/>
    </row>
    <row r="204" spans="2:5" x14ac:dyDescent="0.25">
      <c r="B204"/>
      <c r="E204"/>
    </row>
    <row r="205" spans="2:5" x14ac:dyDescent="0.25">
      <c r="B205"/>
      <c r="E205"/>
    </row>
    <row r="206" spans="2:5" x14ac:dyDescent="0.25">
      <c r="B206"/>
      <c r="E206"/>
    </row>
    <row r="207" spans="2:5" x14ac:dyDescent="0.25">
      <c r="B207"/>
      <c r="E207"/>
    </row>
    <row r="208" spans="2:5" x14ac:dyDescent="0.25">
      <c r="B208"/>
      <c r="E208"/>
    </row>
    <row r="209" spans="2:5" x14ac:dyDescent="0.25">
      <c r="B209"/>
      <c r="E209"/>
    </row>
    <row r="210" spans="2:5" x14ac:dyDescent="0.25">
      <c r="B210"/>
      <c r="E210"/>
    </row>
    <row r="211" spans="2:5" x14ac:dyDescent="0.25">
      <c r="B211"/>
      <c r="E211"/>
    </row>
    <row r="212" spans="2:5" x14ac:dyDescent="0.25">
      <c r="B212"/>
      <c r="E212"/>
    </row>
    <row r="213" spans="2:5" x14ac:dyDescent="0.25">
      <c r="B213"/>
      <c r="E213"/>
    </row>
    <row r="214" spans="2:5" x14ac:dyDescent="0.25">
      <c r="B214"/>
      <c r="E214"/>
    </row>
    <row r="215" spans="2:5" x14ac:dyDescent="0.25">
      <c r="B215"/>
      <c r="E215"/>
    </row>
    <row r="216" spans="2:5" x14ac:dyDescent="0.25">
      <c r="B216"/>
      <c r="E216"/>
    </row>
    <row r="217" spans="2:5" x14ac:dyDescent="0.25">
      <c r="B217"/>
      <c r="E217"/>
    </row>
    <row r="218" spans="2:5" x14ac:dyDescent="0.25">
      <c r="B218"/>
      <c r="E218"/>
    </row>
    <row r="219" spans="2:5" x14ac:dyDescent="0.25">
      <c r="B219"/>
      <c r="E219"/>
    </row>
    <row r="220" spans="2:5" x14ac:dyDescent="0.25">
      <c r="B220"/>
      <c r="E220"/>
    </row>
    <row r="221" spans="2:5" x14ac:dyDescent="0.25">
      <c r="B221"/>
      <c r="E221"/>
    </row>
    <row r="222" spans="2:5" x14ac:dyDescent="0.25">
      <c r="B222"/>
      <c r="E222"/>
    </row>
    <row r="223" spans="2:5" x14ac:dyDescent="0.25">
      <c r="B223"/>
      <c r="E223"/>
    </row>
    <row r="224" spans="2:5" x14ac:dyDescent="0.25">
      <c r="B224"/>
      <c r="E224"/>
    </row>
    <row r="225" spans="2:5" x14ac:dyDescent="0.25">
      <c r="B225"/>
      <c r="E225"/>
    </row>
    <row r="226" spans="2:5" x14ac:dyDescent="0.25">
      <c r="B226"/>
      <c r="E226"/>
    </row>
    <row r="227" spans="2:5" x14ac:dyDescent="0.25">
      <c r="B227"/>
      <c r="E227"/>
    </row>
    <row r="228" spans="2:5" x14ac:dyDescent="0.25">
      <c r="B228"/>
      <c r="E228"/>
    </row>
    <row r="229" spans="2:5" x14ac:dyDescent="0.25">
      <c r="B229"/>
      <c r="E229"/>
    </row>
    <row r="230" spans="2:5" x14ac:dyDescent="0.25">
      <c r="B230"/>
      <c r="E230"/>
    </row>
    <row r="231" spans="2:5" x14ac:dyDescent="0.25">
      <c r="B231"/>
      <c r="E231"/>
    </row>
    <row r="232" spans="2:5" x14ac:dyDescent="0.25">
      <c r="B232"/>
      <c r="E232"/>
    </row>
    <row r="233" spans="2:5" x14ac:dyDescent="0.25">
      <c r="B233"/>
      <c r="E233"/>
    </row>
    <row r="234" spans="2:5" x14ac:dyDescent="0.25">
      <c r="B234"/>
      <c r="E234"/>
    </row>
    <row r="235" spans="2:5" x14ac:dyDescent="0.25">
      <c r="B235"/>
      <c r="E235"/>
    </row>
    <row r="236" spans="2:5" x14ac:dyDescent="0.25">
      <c r="B236"/>
      <c r="E236"/>
    </row>
    <row r="237" spans="2:5" x14ac:dyDescent="0.25">
      <c r="B237"/>
      <c r="E237"/>
    </row>
    <row r="238" spans="2:5" x14ac:dyDescent="0.25">
      <c r="B238"/>
      <c r="E238"/>
    </row>
    <row r="239" spans="2:5" x14ac:dyDescent="0.25">
      <c r="B239"/>
      <c r="E239"/>
    </row>
    <row r="240" spans="2:5" x14ac:dyDescent="0.25">
      <c r="B240"/>
      <c r="E240"/>
    </row>
    <row r="241" spans="2:5" x14ac:dyDescent="0.25">
      <c r="B241"/>
      <c r="E241"/>
    </row>
    <row r="242" spans="2:5" x14ac:dyDescent="0.25">
      <c r="B242"/>
      <c r="E242"/>
    </row>
    <row r="243" spans="2:5" x14ac:dyDescent="0.25">
      <c r="B243"/>
      <c r="E243"/>
    </row>
    <row r="244" spans="2:5" x14ac:dyDescent="0.25">
      <c r="B244"/>
      <c r="E244"/>
    </row>
    <row r="245" spans="2:5" x14ac:dyDescent="0.25">
      <c r="B245"/>
      <c r="E245"/>
    </row>
    <row r="246" spans="2:5" x14ac:dyDescent="0.25">
      <c r="B246"/>
      <c r="E246"/>
    </row>
    <row r="247" spans="2:5" x14ac:dyDescent="0.25">
      <c r="B247"/>
      <c r="E247"/>
    </row>
    <row r="248" spans="2:5" x14ac:dyDescent="0.25">
      <c r="B248"/>
      <c r="E248"/>
    </row>
    <row r="249" spans="2:5" x14ac:dyDescent="0.25">
      <c r="B249"/>
      <c r="E249"/>
    </row>
    <row r="250" spans="2:5" x14ac:dyDescent="0.25">
      <c r="B250"/>
      <c r="E250"/>
    </row>
    <row r="251" spans="2:5" x14ac:dyDescent="0.25">
      <c r="B251"/>
      <c r="E251"/>
    </row>
    <row r="252" spans="2:5" x14ac:dyDescent="0.25">
      <c r="B252"/>
      <c r="E252"/>
    </row>
    <row r="253" spans="2:5" x14ac:dyDescent="0.25">
      <c r="B253"/>
      <c r="E253"/>
    </row>
    <row r="254" spans="2:5" x14ac:dyDescent="0.25">
      <c r="B254"/>
      <c r="E254"/>
    </row>
    <row r="255" spans="2:5" x14ac:dyDescent="0.25">
      <c r="B255"/>
      <c r="E255"/>
    </row>
    <row r="256" spans="2:5" x14ac:dyDescent="0.25">
      <c r="B256"/>
      <c r="E256"/>
    </row>
    <row r="257" spans="2:5" x14ac:dyDescent="0.25">
      <c r="B257"/>
      <c r="E257"/>
    </row>
    <row r="258" spans="2:5" x14ac:dyDescent="0.25">
      <c r="B258"/>
      <c r="E258"/>
    </row>
    <row r="259" spans="2:5" x14ac:dyDescent="0.25">
      <c r="B259"/>
      <c r="E259"/>
    </row>
    <row r="260" spans="2:5" x14ac:dyDescent="0.25">
      <c r="B260"/>
      <c r="E260"/>
    </row>
    <row r="261" spans="2:5" x14ac:dyDescent="0.25">
      <c r="B261"/>
      <c r="E261"/>
    </row>
    <row r="262" spans="2:5" x14ac:dyDescent="0.25">
      <c r="B262"/>
      <c r="E262"/>
    </row>
    <row r="263" spans="2:5" x14ac:dyDescent="0.25">
      <c r="B263"/>
      <c r="E263"/>
    </row>
    <row r="264" spans="2:5" x14ac:dyDescent="0.25">
      <c r="B264"/>
      <c r="E264"/>
    </row>
    <row r="265" spans="2:5" x14ac:dyDescent="0.25">
      <c r="B265"/>
      <c r="E265"/>
    </row>
    <row r="266" spans="2:5" x14ac:dyDescent="0.25">
      <c r="B266"/>
      <c r="E266"/>
    </row>
    <row r="267" spans="2:5" x14ac:dyDescent="0.25">
      <c r="B267"/>
      <c r="E267"/>
    </row>
    <row r="268" spans="2:5" x14ac:dyDescent="0.25">
      <c r="B268"/>
      <c r="E268"/>
    </row>
  </sheetData>
  <autoFilter ref="A1:AA46">
    <sortState ref="A2:AA101">
      <sortCondition ref="B1:B46"/>
    </sortState>
  </autoFilter>
  <conditionalFormatting sqref="C269:C1048576 C1:C100">
    <cfRule type="duplicateValues" dxfId="23" priority="6"/>
  </conditionalFormatting>
  <conditionalFormatting sqref="A269:A1048576 A1:A240">
    <cfRule type="duplicateValues" dxfId="22" priority="5"/>
  </conditionalFormatting>
  <conditionalFormatting sqref="B1">
    <cfRule type="duplicateValues" dxfId="21" priority="4"/>
  </conditionalFormatting>
  <conditionalFormatting sqref="E1">
    <cfRule type="duplicateValues" dxfId="20" priority="3"/>
  </conditionalFormatting>
  <conditionalFormatting sqref="A59">
    <cfRule type="duplicateValues" dxfId="1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58" workbookViewId="0">
      <selection activeCell="C20" sqref="C20"/>
    </sheetView>
  </sheetViews>
  <sheetFormatPr baseColWidth="10" defaultRowHeight="15" x14ac:dyDescent="0.25"/>
  <cols>
    <col min="1" max="2" width="9" bestFit="1" customWidth="1"/>
    <col min="3" max="3" width="29.5703125" bestFit="1" customWidth="1"/>
    <col min="4" max="4" width="17.7109375" bestFit="1" customWidth="1"/>
  </cols>
  <sheetData>
    <row r="1" spans="1:7" x14ac:dyDescent="0.25">
      <c r="A1" t="s">
        <v>453</v>
      </c>
      <c r="B1" t="s">
        <v>454</v>
      </c>
      <c r="C1" t="s">
        <v>455</v>
      </c>
      <c r="D1" t="s">
        <v>1</v>
      </c>
      <c r="E1" t="s">
        <v>456</v>
      </c>
      <c r="F1" s="2" t="s">
        <v>457</v>
      </c>
      <c r="G1" t="s">
        <v>522</v>
      </c>
    </row>
    <row r="2" spans="1:7" x14ac:dyDescent="0.25">
      <c r="A2">
        <v>4304359</v>
      </c>
      <c r="B2">
        <v>93495</v>
      </c>
      <c r="C2" t="s">
        <v>439</v>
      </c>
      <c r="D2" t="s">
        <v>367</v>
      </c>
      <c r="E2" t="s">
        <v>458</v>
      </c>
      <c r="F2" s="2">
        <v>33182</v>
      </c>
      <c r="G2">
        <f>VLOOKUP(A2,Sheet1!A:A,1,FALSE)</f>
        <v>4304359</v>
      </c>
    </row>
    <row r="3" spans="1:7" x14ac:dyDescent="0.25">
      <c r="A3">
        <v>9307895</v>
      </c>
      <c r="B3">
        <v>91357</v>
      </c>
      <c r="C3" t="s">
        <v>430</v>
      </c>
      <c r="D3" t="s">
        <v>31</v>
      </c>
      <c r="E3" t="s">
        <v>458</v>
      </c>
      <c r="F3" s="2">
        <v>33629</v>
      </c>
      <c r="G3">
        <f>VLOOKUP(A3,Sheet1!A:A,1,FALSE)</f>
        <v>9307895</v>
      </c>
    </row>
    <row r="4" spans="1:7" x14ac:dyDescent="0.25">
      <c r="A4">
        <v>9386568</v>
      </c>
      <c r="B4">
        <v>93488</v>
      </c>
      <c r="C4" t="s">
        <v>424</v>
      </c>
      <c r="D4" t="s">
        <v>373</v>
      </c>
      <c r="E4" t="s">
        <v>458</v>
      </c>
      <c r="F4" s="2">
        <v>33158</v>
      </c>
      <c r="G4">
        <f>VLOOKUP(A4,Sheet1!A:A,1,FALSE)</f>
        <v>9386568</v>
      </c>
    </row>
    <row r="5" spans="1:7" x14ac:dyDescent="0.25">
      <c r="A5">
        <v>9425598</v>
      </c>
      <c r="B5">
        <v>81230</v>
      </c>
      <c r="C5" t="s">
        <v>432</v>
      </c>
      <c r="D5" t="s">
        <v>49</v>
      </c>
      <c r="E5" t="s">
        <v>458</v>
      </c>
      <c r="F5" s="2">
        <v>34283</v>
      </c>
      <c r="G5">
        <f>VLOOKUP(A5,Sheet1!A:A,1,FALSE)</f>
        <v>9425598</v>
      </c>
    </row>
    <row r="6" spans="1:7" x14ac:dyDescent="0.25">
      <c r="A6">
        <v>9474686</v>
      </c>
      <c r="B6">
        <v>81223</v>
      </c>
      <c r="C6" t="s">
        <v>451</v>
      </c>
      <c r="D6" t="s">
        <v>46</v>
      </c>
      <c r="E6" t="s">
        <v>458</v>
      </c>
      <c r="F6" s="2">
        <v>35684</v>
      </c>
      <c r="G6">
        <f>VLOOKUP(A6,Sheet1!A:A,1,FALSE)</f>
        <v>9474686</v>
      </c>
    </row>
    <row r="7" spans="1:7" x14ac:dyDescent="0.25">
      <c r="A7">
        <v>9510381</v>
      </c>
      <c r="B7">
        <v>40551</v>
      </c>
      <c r="C7" t="s">
        <v>450</v>
      </c>
      <c r="D7" t="s">
        <v>520</v>
      </c>
      <c r="E7" t="s">
        <v>458</v>
      </c>
      <c r="F7" s="2">
        <v>35636</v>
      </c>
      <c r="G7">
        <f>VLOOKUP(A7,Sheet1!A:A,1,FALSE)</f>
        <v>9510381</v>
      </c>
    </row>
    <row r="8" spans="1:7" x14ac:dyDescent="0.25">
      <c r="A8">
        <v>9663437</v>
      </c>
      <c r="B8" s="6">
        <v>0</v>
      </c>
      <c r="C8" t="s">
        <v>423</v>
      </c>
      <c r="D8" t="s">
        <v>369</v>
      </c>
      <c r="E8" t="s">
        <v>458</v>
      </c>
      <c r="F8" s="2">
        <v>36447</v>
      </c>
      <c r="G8">
        <f>VLOOKUP(A8,Sheet1!A:A,1,FALSE)</f>
        <v>9663437</v>
      </c>
    </row>
    <row r="9" spans="1:7" x14ac:dyDescent="0.25">
      <c r="A9">
        <v>16913578</v>
      </c>
      <c r="B9">
        <v>95489</v>
      </c>
      <c r="C9" t="s">
        <v>154</v>
      </c>
      <c r="D9" t="s">
        <v>155</v>
      </c>
      <c r="E9" t="s">
        <v>458</v>
      </c>
      <c r="F9" s="2">
        <v>33382</v>
      </c>
      <c r="G9">
        <f>VLOOKUP(A9,Sheet1!A:A,1,FALSE)</f>
        <v>16913578</v>
      </c>
    </row>
    <row r="10" spans="1:7" x14ac:dyDescent="0.25">
      <c r="A10">
        <v>16937065</v>
      </c>
      <c r="B10">
        <v>94419</v>
      </c>
      <c r="C10" t="s">
        <v>433</v>
      </c>
      <c r="D10" t="s">
        <v>114</v>
      </c>
      <c r="E10" t="s">
        <v>458</v>
      </c>
      <c r="F10" s="2">
        <v>33455</v>
      </c>
      <c r="G10">
        <f>VLOOKUP(A10,Sheet1!A:A,1,FALSE)</f>
        <v>16937065</v>
      </c>
    </row>
    <row r="11" spans="1:7" x14ac:dyDescent="0.25">
      <c r="A11">
        <v>16947410</v>
      </c>
      <c r="B11">
        <v>93497</v>
      </c>
      <c r="C11" t="s">
        <v>440</v>
      </c>
      <c r="D11" t="s">
        <v>504</v>
      </c>
      <c r="E11" t="s">
        <v>458</v>
      </c>
      <c r="F11" s="2">
        <v>27296</v>
      </c>
      <c r="G11">
        <f>VLOOKUP(A11,Sheet1!A:A,1,FALSE)</f>
        <v>16947410</v>
      </c>
    </row>
    <row r="12" spans="1:7" x14ac:dyDescent="0.25">
      <c r="A12">
        <v>16952021</v>
      </c>
      <c r="B12">
        <v>91794</v>
      </c>
      <c r="C12" t="s">
        <v>427</v>
      </c>
      <c r="D12" t="s">
        <v>368</v>
      </c>
      <c r="E12" t="s">
        <v>458</v>
      </c>
      <c r="F12" s="2">
        <v>37609</v>
      </c>
      <c r="G12">
        <f>VLOOKUP(A12,Sheet1!A:A,1,FALSE)</f>
        <v>16952021</v>
      </c>
    </row>
    <row r="13" spans="1:7" x14ac:dyDescent="0.25">
      <c r="A13">
        <v>16952360</v>
      </c>
      <c r="B13">
        <v>93474</v>
      </c>
      <c r="C13" t="s">
        <v>107</v>
      </c>
      <c r="D13" t="s">
        <v>54</v>
      </c>
      <c r="E13" t="s">
        <v>458</v>
      </c>
      <c r="F13" s="2">
        <v>30828</v>
      </c>
      <c r="G13">
        <f>VLOOKUP(A13,Sheet1!A:A,1,FALSE)</f>
        <v>16952360</v>
      </c>
    </row>
    <row r="14" spans="1:7" x14ac:dyDescent="0.25">
      <c r="A14">
        <v>16952378</v>
      </c>
      <c r="B14">
        <v>93473</v>
      </c>
      <c r="C14" t="s">
        <v>426</v>
      </c>
      <c r="D14" t="s">
        <v>494</v>
      </c>
      <c r="E14" t="s">
        <v>458</v>
      </c>
      <c r="F14" s="2">
        <v>30723</v>
      </c>
      <c r="G14">
        <f>VLOOKUP(A14,Sheet1!A:A,1,FALSE)</f>
        <v>16952378</v>
      </c>
    </row>
    <row r="15" spans="1:7" x14ac:dyDescent="0.25">
      <c r="A15">
        <v>16952873</v>
      </c>
      <c r="B15" s="6">
        <v>0</v>
      </c>
      <c r="C15" t="s">
        <v>379</v>
      </c>
      <c r="D15" t="s">
        <v>139</v>
      </c>
      <c r="E15" t="s">
        <v>458</v>
      </c>
      <c r="F15" s="2">
        <v>32026</v>
      </c>
      <c r="G15">
        <f>VLOOKUP(A15,Sheet1!A:A,1,FALSE)</f>
        <v>16952873</v>
      </c>
    </row>
    <row r="16" spans="1:7" x14ac:dyDescent="0.25">
      <c r="A16">
        <v>16952881</v>
      </c>
      <c r="B16">
        <v>93434</v>
      </c>
      <c r="C16" t="s">
        <v>435</v>
      </c>
      <c r="D16" t="s">
        <v>501</v>
      </c>
      <c r="E16" t="s">
        <v>458</v>
      </c>
      <c r="F16" s="2">
        <v>35607</v>
      </c>
      <c r="G16">
        <f>VLOOKUP(A16,Sheet1!A:A,1,FALSE)</f>
        <v>16952881</v>
      </c>
    </row>
    <row r="17" spans="1:7" x14ac:dyDescent="0.25">
      <c r="A17">
        <v>16952914</v>
      </c>
      <c r="B17">
        <v>91796</v>
      </c>
      <c r="C17" t="s">
        <v>425</v>
      </c>
      <c r="D17" t="s">
        <v>32</v>
      </c>
      <c r="E17" t="s">
        <v>458</v>
      </c>
      <c r="F17" s="2">
        <v>27524</v>
      </c>
      <c r="G17">
        <f>VLOOKUP(A17,Sheet1!A:A,1,FALSE)</f>
        <v>16952914</v>
      </c>
    </row>
    <row r="18" spans="1:7" x14ac:dyDescent="0.25">
      <c r="A18">
        <v>16953053</v>
      </c>
      <c r="B18">
        <v>95117</v>
      </c>
      <c r="C18" t="s">
        <v>198</v>
      </c>
      <c r="D18" t="s">
        <v>39</v>
      </c>
      <c r="E18" t="s">
        <v>458</v>
      </c>
      <c r="F18" s="2">
        <v>30091</v>
      </c>
      <c r="G18">
        <f>VLOOKUP(A18,Sheet1!A:A,1,FALSE)</f>
        <v>16953053</v>
      </c>
    </row>
    <row r="19" spans="1:7" x14ac:dyDescent="0.25">
      <c r="A19">
        <v>16953227</v>
      </c>
      <c r="B19">
        <v>94865</v>
      </c>
      <c r="C19" t="s">
        <v>190</v>
      </c>
      <c r="D19" t="s">
        <v>40</v>
      </c>
      <c r="E19" t="s">
        <v>458</v>
      </c>
      <c r="F19" s="2">
        <v>26824</v>
      </c>
      <c r="G19">
        <f>VLOOKUP(A19,Sheet1!A:A,1,FALSE)</f>
        <v>16953227</v>
      </c>
    </row>
    <row r="20" spans="1:7" x14ac:dyDescent="0.25">
      <c r="A20">
        <v>16953334</v>
      </c>
      <c r="B20">
        <v>94692</v>
      </c>
      <c r="C20" t="s">
        <v>449</v>
      </c>
      <c r="D20" t="s">
        <v>519</v>
      </c>
      <c r="E20" t="s">
        <v>458</v>
      </c>
      <c r="F20" s="2">
        <v>33812</v>
      </c>
      <c r="G20">
        <f>VLOOKUP(A20,Sheet1!A:A,1,FALSE)</f>
        <v>16953334</v>
      </c>
    </row>
    <row r="21" spans="1:7" x14ac:dyDescent="0.25">
      <c r="A21">
        <v>16953342</v>
      </c>
      <c r="B21">
        <v>86486</v>
      </c>
      <c r="C21" t="s">
        <v>187</v>
      </c>
      <c r="D21" t="s">
        <v>46</v>
      </c>
      <c r="E21" t="s">
        <v>458</v>
      </c>
      <c r="F21" s="2">
        <v>34913</v>
      </c>
      <c r="G21">
        <f>VLOOKUP(A21,Sheet1!A:A,1,FALSE)</f>
        <v>16953342</v>
      </c>
    </row>
    <row r="22" spans="1:7" x14ac:dyDescent="0.25">
      <c r="A22">
        <v>16953392</v>
      </c>
      <c r="B22">
        <v>95458</v>
      </c>
      <c r="C22" t="s">
        <v>442</v>
      </c>
      <c r="D22" t="s">
        <v>508</v>
      </c>
      <c r="E22" t="s">
        <v>458</v>
      </c>
      <c r="F22" s="2">
        <v>36196</v>
      </c>
      <c r="G22">
        <f>VLOOKUP(A22,Sheet1!A:A,1,FALSE)</f>
        <v>16953392</v>
      </c>
    </row>
    <row r="23" spans="1:7" x14ac:dyDescent="0.25">
      <c r="A23">
        <v>16954382</v>
      </c>
      <c r="B23">
        <v>81231</v>
      </c>
      <c r="C23" t="s">
        <v>434</v>
      </c>
      <c r="D23" t="s">
        <v>21</v>
      </c>
      <c r="E23" t="s">
        <v>458</v>
      </c>
      <c r="F23" s="2">
        <v>33763</v>
      </c>
      <c r="G23">
        <f>VLOOKUP(A23,Sheet1!A:A,1,FALSE)</f>
        <v>16954382</v>
      </c>
    </row>
    <row r="24" spans="1:7" x14ac:dyDescent="0.25">
      <c r="A24">
        <v>16954449</v>
      </c>
      <c r="B24">
        <v>81161</v>
      </c>
      <c r="C24" t="s">
        <v>437</v>
      </c>
      <c r="D24" t="s">
        <v>366</v>
      </c>
      <c r="E24" t="s">
        <v>458</v>
      </c>
      <c r="F24" s="2">
        <v>39355</v>
      </c>
      <c r="G24">
        <f>VLOOKUP(A24,Sheet1!A:A,1,FALSE)</f>
        <v>16954449</v>
      </c>
    </row>
    <row r="25" spans="1:7" x14ac:dyDescent="0.25">
      <c r="A25">
        <v>16954481</v>
      </c>
      <c r="B25">
        <v>81238</v>
      </c>
      <c r="C25" t="s">
        <v>446</v>
      </c>
      <c r="D25" t="s">
        <v>515</v>
      </c>
      <c r="E25" t="s">
        <v>458</v>
      </c>
      <c r="F25" s="2">
        <v>37254</v>
      </c>
      <c r="G25">
        <f>VLOOKUP(A25,Sheet1!A:A,1,FALSE)</f>
        <v>16954481</v>
      </c>
    </row>
    <row r="26" spans="1:7" x14ac:dyDescent="0.25">
      <c r="A26">
        <v>16954499</v>
      </c>
      <c r="B26">
        <v>81217</v>
      </c>
      <c r="C26" t="s">
        <v>441</v>
      </c>
      <c r="D26" t="s">
        <v>64</v>
      </c>
      <c r="E26" t="s">
        <v>458</v>
      </c>
      <c r="F26" s="2">
        <v>37378</v>
      </c>
      <c r="G26">
        <f>VLOOKUP(A26,Sheet1!A:A,1,FALSE)</f>
        <v>16954499</v>
      </c>
    </row>
    <row r="27" spans="1:7" x14ac:dyDescent="0.25">
      <c r="A27">
        <v>16954506</v>
      </c>
      <c r="B27">
        <v>81170</v>
      </c>
      <c r="C27" t="s">
        <v>444</v>
      </c>
      <c r="D27" t="s">
        <v>512</v>
      </c>
      <c r="E27" t="s">
        <v>458</v>
      </c>
      <c r="F27" s="2">
        <v>34812</v>
      </c>
      <c r="G27">
        <f>VLOOKUP(A27,Sheet1!A:A,1,FALSE)</f>
        <v>16954506</v>
      </c>
    </row>
    <row r="28" spans="1:7" x14ac:dyDescent="0.25">
      <c r="A28">
        <v>16954522</v>
      </c>
      <c r="B28">
        <v>81239</v>
      </c>
      <c r="C28" t="s">
        <v>448</v>
      </c>
      <c r="D28" t="s">
        <v>51</v>
      </c>
      <c r="E28" t="s">
        <v>458</v>
      </c>
      <c r="F28" s="2">
        <v>32098</v>
      </c>
      <c r="G28">
        <f>VLOOKUP(A28,Sheet1!A:A,1,FALSE)</f>
        <v>16954522</v>
      </c>
    </row>
    <row r="29" spans="1:7" x14ac:dyDescent="0.25">
      <c r="A29">
        <v>16954548</v>
      </c>
      <c r="B29">
        <v>81236</v>
      </c>
      <c r="C29" t="s">
        <v>445</v>
      </c>
      <c r="D29" t="s">
        <v>39</v>
      </c>
      <c r="E29" t="s">
        <v>458</v>
      </c>
      <c r="F29" s="2">
        <v>37196</v>
      </c>
      <c r="G29">
        <f>VLOOKUP(A29,Sheet1!A:A,1,FALSE)</f>
        <v>16954548</v>
      </c>
    </row>
    <row r="30" spans="1:7" x14ac:dyDescent="0.25">
      <c r="A30">
        <v>16954556</v>
      </c>
      <c r="B30">
        <v>81160</v>
      </c>
      <c r="C30" t="s">
        <v>428</v>
      </c>
      <c r="D30" t="s">
        <v>40</v>
      </c>
      <c r="E30" t="s">
        <v>458</v>
      </c>
      <c r="F30" s="2">
        <v>37113</v>
      </c>
      <c r="G30">
        <f>VLOOKUP(A30,Sheet1!A:A,1,FALSE)</f>
        <v>16954556</v>
      </c>
    </row>
    <row r="31" spans="1:7" x14ac:dyDescent="0.25">
      <c r="A31">
        <v>16954613</v>
      </c>
      <c r="B31">
        <v>81214</v>
      </c>
      <c r="C31" t="s">
        <v>431</v>
      </c>
      <c r="D31" t="s">
        <v>53</v>
      </c>
      <c r="E31" t="s">
        <v>458</v>
      </c>
      <c r="F31" s="2">
        <v>30103</v>
      </c>
      <c r="G31">
        <f>VLOOKUP(A31,Sheet1!A:A,1,FALSE)</f>
        <v>16954613</v>
      </c>
    </row>
    <row r="32" spans="1:7" x14ac:dyDescent="0.25">
      <c r="A32">
        <v>16964795</v>
      </c>
      <c r="B32">
        <v>93437</v>
      </c>
      <c r="C32" t="s">
        <v>447</v>
      </c>
      <c r="D32" t="s">
        <v>370</v>
      </c>
      <c r="E32" t="s">
        <v>458</v>
      </c>
      <c r="F32" s="2">
        <v>36804</v>
      </c>
      <c r="G32">
        <f>VLOOKUP(A32,Sheet1!A:A,1,FALSE)</f>
        <v>16964795</v>
      </c>
    </row>
    <row r="33" spans="1:7" x14ac:dyDescent="0.25">
      <c r="A33">
        <v>16964977</v>
      </c>
      <c r="B33">
        <v>94658</v>
      </c>
      <c r="C33" t="s">
        <v>429</v>
      </c>
      <c r="D33" t="s">
        <v>42</v>
      </c>
      <c r="E33" t="s">
        <v>458</v>
      </c>
      <c r="F33" s="2">
        <v>37248</v>
      </c>
      <c r="G33">
        <f>VLOOKUP(A33,Sheet1!A:A,1,FALSE)</f>
        <v>16964977</v>
      </c>
    </row>
    <row r="34" spans="1:7" x14ac:dyDescent="0.25">
      <c r="A34">
        <v>16965107</v>
      </c>
      <c r="B34">
        <v>93939</v>
      </c>
      <c r="C34" t="s">
        <v>422</v>
      </c>
      <c r="D34" t="s">
        <v>494</v>
      </c>
      <c r="E34" t="s">
        <v>458</v>
      </c>
      <c r="F34" s="2">
        <v>30007</v>
      </c>
      <c r="G34">
        <f>VLOOKUP(A34,Sheet1!A:A,1,FALSE)</f>
        <v>16965107</v>
      </c>
    </row>
    <row r="35" spans="1:7" x14ac:dyDescent="0.25">
      <c r="A35">
        <v>16966113</v>
      </c>
      <c r="B35">
        <v>94688</v>
      </c>
      <c r="C35" t="s">
        <v>438</v>
      </c>
      <c r="D35" t="s">
        <v>43</v>
      </c>
      <c r="E35" t="s">
        <v>458</v>
      </c>
      <c r="F35" s="2">
        <v>34234</v>
      </c>
      <c r="G35">
        <f>VLOOKUP(A35,Sheet1!A:A,1,FALSE)</f>
        <v>16966113</v>
      </c>
    </row>
    <row r="36" spans="1:7" x14ac:dyDescent="0.25">
      <c r="A36">
        <v>16966923</v>
      </c>
      <c r="B36">
        <v>95120</v>
      </c>
      <c r="C36" t="s">
        <v>452</v>
      </c>
      <c r="D36" t="s">
        <v>372</v>
      </c>
      <c r="E36" t="s">
        <v>458</v>
      </c>
      <c r="F36" s="2">
        <v>33737</v>
      </c>
      <c r="G36">
        <f>VLOOKUP(A36,Sheet1!A:A,1,FALSE)</f>
        <v>16966923</v>
      </c>
    </row>
    <row r="37" spans="1:7" x14ac:dyDescent="0.25">
      <c r="A37">
        <v>16968250</v>
      </c>
      <c r="B37">
        <v>96274</v>
      </c>
      <c r="C37" t="s">
        <v>443</v>
      </c>
      <c r="D37" t="s">
        <v>510</v>
      </c>
      <c r="E37" t="s">
        <v>458</v>
      </c>
      <c r="F37" s="2">
        <v>37282</v>
      </c>
      <c r="G37">
        <f>VLOOKUP(A37,Sheet1!A:A,1,FALSE)</f>
        <v>16968250</v>
      </c>
    </row>
    <row r="38" spans="1:7" x14ac:dyDescent="0.25">
      <c r="A38">
        <v>16968292</v>
      </c>
      <c r="B38">
        <v>96300</v>
      </c>
      <c r="C38" t="s">
        <v>436</v>
      </c>
      <c r="D38" t="s">
        <v>500</v>
      </c>
      <c r="E38" t="s">
        <v>458</v>
      </c>
      <c r="F38" s="2">
        <v>34231</v>
      </c>
      <c r="G38">
        <f>VLOOKUP(A38,Sheet1!A:A,1,FALSE)</f>
        <v>16968292</v>
      </c>
    </row>
    <row r="39" spans="1:7" x14ac:dyDescent="0.25">
      <c r="A39">
        <v>9634719</v>
      </c>
      <c r="B39">
        <v>74211</v>
      </c>
      <c r="C39" t="s">
        <v>459</v>
      </c>
      <c r="D39" t="s">
        <v>495</v>
      </c>
      <c r="E39" t="s">
        <v>458</v>
      </c>
      <c r="F39" s="2">
        <v>22258</v>
      </c>
      <c r="G39">
        <f>VLOOKUP(A39,Sheet1!A:A,1,FALSE)</f>
        <v>9634719</v>
      </c>
    </row>
    <row r="40" spans="1:7" x14ac:dyDescent="0.25">
      <c r="A40">
        <v>16954473</v>
      </c>
      <c r="B40">
        <v>81228</v>
      </c>
      <c r="C40" t="s">
        <v>460</v>
      </c>
      <c r="D40" t="s">
        <v>137</v>
      </c>
      <c r="E40" t="s">
        <v>458</v>
      </c>
      <c r="F40" s="2">
        <v>30448</v>
      </c>
      <c r="G40">
        <f>VLOOKUP(A40,Sheet1!A:A,1,FALSE)</f>
        <v>16954473</v>
      </c>
    </row>
    <row r="41" spans="1:7" x14ac:dyDescent="0.25">
      <c r="A41">
        <v>16954514</v>
      </c>
      <c r="B41">
        <v>81213</v>
      </c>
      <c r="C41" t="s">
        <v>461</v>
      </c>
      <c r="D41" t="s">
        <v>43</v>
      </c>
      <c r="E41" t="s">
        <v>458</v>
      </c>
      <c r="F41" s="2">
        <v>29225</v>
      </c>
      <c r="G41">
        <f>VLOOKUP(A41,Sheet1!A:A,1,FALSE)</f>
        <v>16954514</v>
      </c>
    </row>
    <row r="42" spans="1:7" x14ac:dyDescent="0.25">
      <c r="A42">
        <v>16954423</v>
      </c>
      <c r="B42">
        <v>95153</v>
      </c>
      <c r="C42" t="s">
        <v>462</v>
      </c>
      <c r="D42" t="s">
        <v>64</v>
      </c>
      <c r="E42" t="s">
        <v>458</v>
      </c>
      <c r="F42" s="2">
        <v>23679</v>
      </c>
      <c r="G42">
        <f>VLOOKUP(A42,Sheet1!A:A,1,FALSE)</f>
        <v>16954423</v>
      </c>
    </row>
    <row r="43" spans="1:7" x14ac:dyDescent="0.25">
      <c r="A43">
        <v>9483637</v>
      </c>
      <c r="B43">
        <v>94859</v>
      </c>
      <c r="C43" t="s">
        <v>463</v>
      </c>
      <c r="D43" t="s">
        <v>496</v>
      </c>
      <c r="E43" t="s">
        <v>458</v>
      </c>
      <c r="F43" s="2">
        <v>30761</v>
      </c>
      <c r="G43">
        <f>VLOOKUP(A43,Sheet1!A:A,1,FALSE)</f>
        <v>9483637</v>
      </c>
    </row>
    <row r="44" spans="1:7" x14ac:dyDescent="0.25">
      <c r="A44">
        <v>16952906</v>
      </c>
      <c r="B44">
        <v>95455</v>
      </c>
      <c r="C44" t="s">
        <v>163</v>
      </c>
      <c r="D44" t="s">
        <v>164</v>
      </c>
      <c r="E44" t="s">
        <v>458</v>
      </c>
      <c r="F44" s="2">
        <v>27996</v>
      </c>
      <c r="G44">
        <f>VLOOKUP(A44,Sheet1!A:A,1,FALSE)</f>
        <v>16952906</v>
      </c>
    </row>
    <row r="45" spans="1:7" x14ac:dyDescent="0.25">
      <c r="A45">
        <v>16952716</v>
      </c>
      <c r="B45">
        <v>94687</v>
      </c>
      <c r="C45" t="s">
        <v>464</v>
      </c>
      <c r="D45" t="s">
        <v>497</v>
      </c>
      <c r="E45" t="s">
        <v>458</v>
      </c>
      <c r="F45" s="2">
        <v>23323</v>
      </c>
      <c r="G45">
        <f>VLOOKUP(A45,Sheet1!A:A,1,FALSE)</f>
        <v>16952716</v>
      </c>
    </row>
    <row r="46" spans="1:7" x14ac:dyDescent="0.25">
      <c r="A46">
        <v>16968979</v>
      </c>
      <c r="B46">
        <v>96285</v>
      </c>
      <c r="C46" t="s">
        <v>465</v>
      </c>
      <c r="D46" t="s">
        <v>498</v>
      </c>
      <c r="E46" t="s">
        <v>458</v>
      </c>
      <c r="F46" s="2">
        <v>20078</v>
      </c>
      <c r="G46">
        <f>VLOOKUP(A46,Sheet1!A:A,1,FALSE)</f>
        <v>16968979</v>
      </c>
    </row>
    <row r="47" spans="1:7" x14ac:dyDescent="0.25">
      <c r="A47">
        <v>16964589</v>
      </c>
      <c r="B47">
        <v>93433</v>
      </c>
      <c r="C47" t="s">
        <v>466</v>
      </c>
      <c r="D47" t="s">
        <v>499</v>
      </c>
      <c r="E47" t="s">
        <v>458</v>
      </c>
      <c r="F47" s="2">
        <v>18461</v>
      </c>
      <c r="G47">
        <f>VLOOKUP(A47,Sheet1!A:A,1,FALSE)</f>
        <v>16964589</v>
      </c>
    </row>
    <row r="48" spans="1:7" x14ac:dyDescent="0.25">
      <c r="A48">
        <v>9573397</v>
      </c>
      <c r="B48">
        <v>89227</v>
      </c>
      <c r="C48" t="s">
        <v>467</v>
      </c>
      <c r="D48" t="s">
        <v>133</v>
      </c>
      <c r="E48" t="s">
        <v>458</v>
      </c>
      <c r="F48" s="2">
        <v>34842</v>
      </c>
      <c r="G48">
        <f>VLOOKUP(A48,Sheet1!A:A,1,FALSE)</f>
        <v>9573397</v>
      </c>
    </row>
    <row r="49" spans="1:7" x14ac:dyDescent="0.25">
      <c r="A49">
        <v>16953061</v>
      </c>
      <c r="B49">
        <v>94349</v>
      </c>
      <c r="C49" t="s">
        <v>468</v>
      </c>
      <c r="D49" t="s">
        <v>54</v>
      </c>
      <c r="E49" t="s">
        <v>458</v>
      </c>
      <c r="F49" s="2">
        <v>25647</v>
      </c>
      <c r="G49">
        <f>VLOOKUP(A49,Sheet1!A:A,1,FALSE)</f>
        <v>16953061</v>
      </c>
    </row>
    <row r="50" spans="1:7" x14ac:dyDescent="0.25">
      <c r="A50">
        <v>16952964</v>
      </c>
      <c r="B50">
        <v>95457</v>
      </c>
      <c r="C50" t="s">
        <v>469</v>
      </c>
      <c r="D50" t="s">
        <v>502</v>
      </c>
      <c r="E50" t="s">
        <v>458</v>
      </c>
      <c r="F50" s="2">
        <v>27820</v>
      </c>
      <c r="G50">
        <f>VLOOKUP(A50,Sheet1!A:A,1,FALSE)</f>
        <v>16952964</v>
      </c>
    </row>
    <row r="51" spans="1:7" x14ac:dyDescent="0.25">
      <c r="A51">
        <v>16968268</v>
      </c>
      <c r="B51">
        <v>96270</v>
      </c>
      <c r="C51" t="s">
        <v>470</v>
      </c>
      <c r="D51" t="s">
        <v>503</v>
      </c>
      <c r="E51" t="s">
        <v>458</v>
      </c>
      <c r="F51" s="2">
        <v>31086</v>
      </c>
      <c r="G51">
        <f>VLOOKUP(A51,Sheet1!A:A,1,FALSE)</f>
        <v>16968268</v>
      </c>
    </row>
    <row r="52" spans="1:7" x14ac:dyDescent="0.25">
      <c r="A52">
        <v>16952261</v>
      </c>
      <c r="B52">
        <v>94086</v>
      </c>
      <c r="C52" t="s">
        <v>471</v>
      </c>
      <c r="D52" t="s">
        <v>92</v>
      </c>
      <c r="E52" t="s">
        <v>458</v>
      </c>
      <c r="F52" s="2">
        <v>32946</v>
      </c>
      <c r="G52">
        <f>VLOOKUP(A52,Sheet1!A:A,1,FALSE)</f>
        <v>16952261</v>
      </c>
    </row>
    <row r="53" spans="1:7" x14ac:dyDescent="0.25">
      <c r="A53">
        <v>16968276</v>
      </c>
      <c r="B53">
        <v>96271</v>
      </c>
      <c r="C53" t="s">
        <v>472</v>
      </c>
      <c r="D53" t="s">
        <v>86</v>
      </c>
      <c r="E53" t="s">
        <v>458</v>
      </c>
      <c r="F53" s="2">
        <v>32799</v>
      </c>
      <c r="G53">
        <f>VLOOKUP(A53,Sheet1!A:A,1,FALSE)</f>
        <v>16968276</v>
      </c>
    </row>
    <row r="54" spans="1:7" x14ac:dyDescent="0.25">
      <c r="A54">
        <v>16953459</v>
      </c>
      <c r="B54">
        <v>95492</v>
      </c>
      <c r="C54" t="s">
        <v>473</v>
      </c>
      <c r="D54" t="s">
        <v>64</v>
      </c>
      <c r="E54" t="s">
        <v>458</v>
      </c>
      <c r="F54" s="2">
        <v>26325</v>
      </c>
      <c r="G54">
        <f>VLOOKUP(A54,Sheet1!A:A,1,FALSE)</f>
        <v>16953459</v>
      </c>
    </row>
    <row r="55" spans="1:7" x14ac:dyDescent="0.25">
      <c r="A55">
        <v>16968284</v>
      </c>
      <c r="B55">
        <v>96301</v>
      </c>
      <c r="C55" t="s">
        <v>474</v>
      </c>
      <c r="D55" t="s">
        <v>54</v>
      </c>
      <c r="E55" t="s">
        <v>458</v>
      </c>
      <c r="F55" s="2">
        <v>25965</v>
      </c>
      <c r="G55">
        <f>VLOOKUP(A55,Sheet1!A:A,1,FALSE)</f>
        <v>16968284</v>
      </c>
    </row>
    <row r="56" spans="1:7" x14ac:dyDescent="0.25">
      <c r="A56">
        <v>9484320</v>
      </c>
      <c r="B56">
        <v>81234</v>
      </c>
      <c r="C56" t="s">
        <v>475</v>
      </c>
      <c r="D56" t="s">
        <v>505</v>
      </c>
      <c r="E56" t="s">
        <v>458</v>
      </c>
      <c r="F56" s="2">
        <v>36249</v>
      </c>
      <c r="G56">
        <f>VLOOKUP(A56,Sheet1!A:A,1,FALSE)</f>
        <v>9484320</v>
      </c>
    </row>
    <row r="57" spans="1:7" x14ac:dyDescent="0.25">
      <c r="A57">
        <v>16964547</v>
      </c>
      <c r="B57">
        <v>93435</v>
      </c>
      <c r="C57" t="s">
        <v>476</v>
      </c>
      <c r="D57" t="s">
        <v>506</v>
      </c>
      <c r="E57" t="s">
        <v>458</v>
      </c>
      <c r="F57" s="2">
        <v>21461</v>
      </c>
      <c r="G57">
        <f>VLOOKUP(A57,Sheet1!A:A,1,FALSE)</f>
        <v>16964547</v>
      </c>
    </row>
    <row r="58" spans="1:7" x14ac:dyDescent="0.25">
      <c r="A58">
        <v>9579478</v>
      </c>
      <c r="B58">
        <v>91060</v>
      </c>
      <c r="C58" t="s">
        <v>477</v>
      </c>
      <c r="D58" t="s">
        <v>507</v>
      </c>
      <c r="E58" t="s">
        <v>458</v>
      </c>
      <c r="F58" s="2">
        <v>25152</v>
      </c>
      <c r="G58">
        <f>VLOOKUP(A58,Sheet1!A:A,1,FALSE)</f>
        <v>9579478</v>
      </c>
    </row>
    <row r="59" spans="1:7" x14ac:dyDescent="0.25">
      <c r="A59">
        <v>16954415</v>
      </c>
      <c r="B59">
        <v>81235</v>
      </c>
      <c r="C59" t="s">
        <v>478</v>
      </c>
      <c r="D59" t="s">
        <v>509</v>
      </c>
      <c r="E59" t="s">
        <v>458</v>
      </c>
      <c r="F59" s="2">
        <v>30122</v>
      </c>
      <c r="G59">
        <f>VLOOKUP(A59,Sheet1!A:A,1,FALSE)</f>
        <v>16954415</v>
      </c>
    </row>
    <row r="60" spans="1:7" x14ac:dyDescent="0.25">
      <c r="A60">
        <v>16951726</v>
      </c>
      <c r="B60">
        <v>94087</v>
      </c>
      <c r="C60" t="s">
        <v>134</v>
      </c>
      <c r="D60" t="s">
        <v>25</v>
      </c>
      <c r="E60" t="s">
        <v>458</v>
      </c>
      <c r="F60" s="2">
        <v>34304</v>
      </c>
      <c r="G60">
        <f>VLOOKUP(A60,Sheet1!A:A,1,FALSE)</f>
        <v>16951726</v>
      </c>
    </row>
    <row r="61" spans="1:7" x14ac:dyDescent="0.25">
      <c r="A61">
        <v>16969109</v>
      </c>
      <c r="B61">
        <v>96292</v>
      </c>
      <c r="C61" t="s">
        <v>479</v>
      </c>
      <c r="D61" t="s">
        <v>45</v>
      </c>
      <c r="E61" t="s">
        <v>458</v>
      </c>
      <c r="F61" s="2">
        <v>20605</v>
      </c>
      <c r="G61">
        <f>VLOOKUP(A61,Sheet1!A:A,1,FALSE)</f>
        <v>16969109</v>
      </c>
    </row>
    <row r="62" spans="1:7" x14ac:dyDescent="0.25">
      <c r="A62">
        <v>16952584</v>
      </c>
      <c r="B62">
        <v>93952</v>
      </c>
      <c r="C62" t="s">
        <v>480</v>
      </c>
      <c r="D62" t="s">
        <v>20</v>
      </c>
      <c r="E62" t="s">
        <v>458</v>
      </c>
      <c r="F62" s="2">
        <v>23352</v>
      </c>
      <c r="G62">
        <f>VLOOKUP(A62,Sheet1!A:A,1,FALSE)</f>
        <v>16952584</v>
      </c>
    </row>
    <row r="63" spans="1:7" x14ac:dyDescent="0.25">
      <c r="A63">
        <v>16953235</v>
      </c>
      <c r="B63">
        <v>94864</v>
      </c>
      <c r="C63" t="s">
        <v>171</v>
      </c>
      <c r="D63" t="s">
        <v>511</v>
      </c>
      <c r="E63" t="s">
        <v>458</v>
      </c>
      <c r="F63" s="2">
        <v>28184</v>
      </c>
      <c r="G63">
        <f>VLOOKUP(A63,Sheet1!A:A,1,FALSE)</f>
        <v>16953235</v>
      </c>
    </row>
    <row r="64" spans="1:7" x14ac:dyDescent="0.25">
      <c r="A64">
        <v>16968143</v>
      </c>
      <c r="B64">
        <v>95494</v>
      </c>
      <c r="C64" t="s">
        <v>481</v>
      </c>
      <c r="D64" t="s">
        <v>513</v>
      </c>
      <c r="E64" t="s">
        <v>458</v>
      </c>
      <c r="F64" s="2">
        <v>27876</v>
      </c>
      <c r="G64">
        <f>VLOOKUP(A64,Sheet1!A:A,1,FALSE)</f>
        <v>16968143</v>
      </c>
    </row>
    <row r="65" spans="1:7" x14ac:dyDescent="0.25">
      <c r="A65">
        <v>16947428</v>
      </c>
      <c r="B65">
        <v>95162</v>
      </c>
      <c r="C65" t="s">
        <v>482</v>
      </c>
      <c r="D65" t="s">
        <v>46</v>
      </c>
      <c r="E65" t="s">
        <v>458</v>
      </c>
      <c r="F65" s="2">
        <v>26914</v>
      </c>
      <c r="G65">
        <f>VLOOKUP(A65,Sheet1!A:A,1,FALSE)</f>
        <v>16947428</v>
      </c>
    </row>
    <row r="66" spans="1:7" x14ac:dyDescent="0.25">
      <c r="A66">
        <v>16954621</v>
      </c>
      <c r="B66">
        <v>81220</v>
      </c>
      <c r="C66" t="s">
        <v>483</v>
      </c>
      <c r="D66" t="s">
        <v>371</v>
      </c>
      <c r="E66" t="s">
        <v>458</v>
      </c>
      <c r="F66" s="2">
        <v>25278</v>
      </c>
      <c r="G66">
        <f>VLOOKUP(A66,Sheet1!A:A,1,FALSE)</f>
        <v>16954621</v>
      </c>
    </row>
    <row r="67" spans="1:7" x14ac:dyDescent="0.25">
      <c r="A67">
        <v>16954605</v>
      </c>
      <c r="B67">
        <v>81221</v>
      </c>
      <c r="C67" t="s">
        <v>484</v>
      </c>
      <c r="D67" t="s">
        <v>25</v>
      </c>
      <c r="E67" t="s">
        <v>458</v>
      </c>
      <c r="F67" s="2">
        <v>39906</v>
      </c>
      <c r="G67">
        <f>VLOOKUP(A67,Sheet1!A:A,1,FALSE)</f>
        <v>16954605</v>
      </c>
    </row>
    <row r="68" spans="1:7" x14ac:dyDescent="0.25">
      <c r="A68">
        <v>16953996</v>
      </c>
      <c r="B68">
        <v>81166</v>
      </c>
      <c r="C68" t="s">
        <v>485</v>
      </c>
      <c r="D68" t="s">
        <v>514</v>
      </c>
      <c r="E68" t="s">
        <v>458</v>
      </c>
      <c r="F68" s="2">
        <v>20416</v>
      </c>
      <c r="G68">
        <f>VLOOKUP(A68,Sheet1!A:A,1,FALSE)</f>
        <v>16953996</v>
      </c>
    </row>
    <row r="69" spans="1:7" x14ac:dyDescent="0.25">
      <c r="A69">
        <v>16952451</v>
      </c>
      <c r="B69">
        <v>94831</v>
      </c>
      <c r="C69" t="s">
        <v>486</v>
      </c>
      <c r="D69" t="s">
        <v>64</v>
      </c>
      <c r="E69" t="s">
        <v>458</v>
      </c>
      <c r="F69" s="2">
        <v>24865</v>
      </c>
      <c r="G69">
        <f>VLOOKUP(A69,Sheet1!A:A,1,FALSE)</f>
        <v>16952451</v>
      </c>
    </row>
    <row r="70" spans="1:7" x14ac:dyDescent="0.25">
      <c r="A70">
        <v>16953201</v>
      </c>
      <c r="B70">
        <v>94890</v>
      </c>
      <c r="C70" t="s">
        <v>487</v>
      </c>
      <c r="D70" t="s">
        <v>516</v>
      </c>
      <c r="E70" t="s">
        <v>458</v>
      </c>
      <c r="F70" s="2">
        <v>26442</v>
      </c>
      <c r="G70">
        <f>VLOOKUP(A70,Sheet1!A:A,1,FALSE)</f>
        <v>16953201</v>
      </c>
    </row>
    <row r="71" spans="1:7" x14ac:dyDescent="0.25">
      <c r="A71">
        <v>9563455</v>
      </c>
      <c r="B71">
        <v>90383</v>
      </c>
      <c r="C71" t="s">
        <v>488</v>
      </c>
      <c r="D71" t="s">
        <v>31</v>
      </c>
      <c r="E71" t="s">
        <v>458</v>
      </c>
      <c r="F71" s="2">
        <v>21671</v>
      </c>
      <c r="G71">
        <f>VLOOKUP(A71,Sheet1!A:A,1,FALSE)</f>
        <v>9563455</v>
      </c>
    </row>
    <row r="72" spans="1:7" x14ac:dyDescent="0.25">
      <c r="A72">
        <v>16966395</v>
      </c>
      <c r="B72">
        <v>94832</v>
      </c>
      <c r="C72" t="s">
        <v>489</v>
      </c>
      <c r="D72" t="s">
        <v>517</v>
      </c>
      <c r="E72" t="s">
        <v>458</v>
      </c>
      <c r="F72" s="2">
        <v>21160</v>
      </c>
      <c r="G72">
        <f>VLOOKUP(A72,Sheet1!A:A,1,FALSE)</f>
        <v>16966395</v>
      </c>
    </row>
    <row r="73" spans="1:7" x14ac:dyDescent="0.25">
      <c r="A73">
        <v>16966361</v>
      </c>
      <c r="B73">
        <v>94833</v>
      </c>
      <c r="C73" t="s">
        <v>489</v>
      </c>
      <c r="D73" t="s">
        <v>518</v>
      </c>
      <c r="E73" t="s">
        <v>458</v>
      </c>
      <c r="F73" s="2">
        <v>21546</v>
      </c>
      <c r="G73">
        <f>VLOOKUP(A73,Sheet1!A:A,1,FALSE)</f>
        <v>16966361</v>
      </c>
    </row>
    <row r="74" spans="1:7" x14ac:dyDescent="0.25">
      <c r="A74">
        <v>16951669</v>
      </c>
      <c r="B74">
        <v>50512</v>
      </c>
      <c r="C74" t="s">
        <v>490</v>
      </c>
      <c r="D74" t="s">
        <v>499</v>
      </c>
      <c r="E74" t="s">
        <v>458</v>
      </c>
      <c r="F74" s="2">
        <v>27214</v>
      </c>
      <c r="G74">
        <f>VLOOKUP(A74,Sheet1!A:A,1,FALSE)</f>
        <v>16951669</v>
      </c>
    </row>
    <row r="75" spans="1:7" x14ac:dyDescent="0.25">
      <c r="A75">
        <v>1178913</v>
      </c>
      <c r="B75">
        <v>75673</v>
      </c>
      <c r="C75" t="s">
        <v>491</v>
      </c>
      <c r="D75" t="s">
        <v>170</v>
      </c>
      <c r="E75" t="s">
        <v>458</v>
      </c>
      <c r="F75" s="2">
        <v>26255</v>
      </c>
      <c r="G75">
        <f>VLOOKUP(A75,Sheet1!A:A,1,FALSE)</f>
        <v>1178913</v>
      </c>
    </row>
    <row r="76" spans="1:7" x14ac:dyDescent="0.25">
      <c r="A76">
        <v>16952807</v>
      </c>
      <c r="B76">
        <v>94693</v>
      </c>
      <c r="C76" t="s">
        <v>492</v>
      </c>
      <c r="D76" t="s">
        <v>521</v>
      </c>
      <c r="E76" t="s">
        <v>458</v>
      </c>
      <c r="F76" s="2">
        <v>31426</v>
      </c>
      <c r="G76">
        <f>VLOOKUP(A76,Sheet1!A:A,1,FALSE)</f>
        <v>16952807</v>
      </c>
    </row>
    <row r="77" spans="1:7" x14ac:dyDescent="0.25">
      <c r="A77">
        <v>16953045</v>
      </c>
      <c r="B77">
        <v>93482</v>
      </c>
      <c r="C77" t="s">
        <v>141</v>
      </c>
      <c r="D77" t="s">
        <v>142</v>
      </c>
      <c r="E77" t="s">
        <v>458</v>
      </c>
      <c r="F77" s="2">
        <v>30970</v>
      </c>
      <c r="G77">
        <f>VLOOKUP(A77,Sheet1!A:A,1,FALSE)</f>
        <v>16953045</v>
      </c>
    </row>
    <row r="78" spans="1:7" x14ac:dyDescent="0.25">
      <c r="A78">
        <v>16966402</v>
      </c>
      <c r="B78">
        <v>94834</v>
      </c>
      <c r="C78" t="s">
        <v>493</v>
      </c>
      <c r="D78" t="s">
        <v>43</v>
      </c>
      <c r="E78" t="s">
        <v>458</v>
      </c>
      <c r="F78" s="2">
        <v>21298</v>
      </c>
      <c r="G78">
        <f>VLOOKUP(A78,Sheet1!A:A,1,FALSE)</f>
        <v>16966402</v>
      </c>
    </row>
    <row r="79" spans="1:7" x14ac:dyDescent="0.25">
      <c r="A79">
        <v>16953251</v>
      </c>
      <c r="B79">
        <v>75674</v>
      </c>
      <c r="C79" t="s">
        <v>168</v>
      </c>
      <c r="D79" t="s">
        <v>133</v>
      </c>
      <c r="E79" t="s">
        <v>458</v>
      </c>
      <c r="F79" s="2">
        <v>25737</v>
      </c>
      <c r="G79">
        <f>VLOOKUP(A79,Sheet1!A:A,1,FALSE)</f>
        <v>16953251</v>
      </c>
    </row>
    <row r="80" spans="1:7" x14ac:dyDescent="0.25">
      <c r="A80">
        <v>16969753</v>
      </c>
      <c r="C80" t="s">
        <v>534</v>
      </c>
      <c r="D80" t="s">
        <v>54</v>
      </c>
      <c r="F80" s="2">
        <v>36161</v>
      </c>
    </row>
    <row r="81" spans="1:6" x14ac:dyDescent="0.25">
      <c r="C81" t="s">
        <v>523</v>
      </c>
      <c r="D81" t="s">
        <v>129</v>
      </c>
      <c r="F81" s="2">
        <v>36161</v>
      </c>
    </row>
    <row r="82" spans="1:6" x14ac:dyDescent="0.25">
      <c r="A82">
        <v>2079300</v>
      </c>
      <c r="C82" t="s">
        <v>375</v>
      </c>
      <c r="D82" t="s">
        <v>35</v>
      </c>
      <c r="F82" s="2">
        <v>36161</v>
      </c>
    </row>
    <row r="83" spans="1:6" x14ac:dyDescent="0.25">
      <c r="C83" t="s">
        <v>525</v>
      </c>
      <c r="D83" t="s">
        <v>524</v>
      </c>
      <c r="F83" s="2">
        <v>36161</v>
      </c>
    </row>
    <row r="84" spans="1:6" x14ac:dyDescent="0.25">
      <c r="C84" t="s">
        <v>376</v>
      </c>
      <c r="D84" t="s">
        <v>369</v>
      </c>
      <c r="F84" s="2">
        <v>36161</v>
      </c>
    </row>
    <row r="85" spans="1:6" x14ac:dyDescent="0.25">
      <c r="C85" t="s">
        <v>363</v>
      </c>
      <c r="D85" t="s">
        <v>46</v>
      </c>
      <c r="F85" s="2">
        <v>36161</v>
      </c>
    </row>
    <row r="86" spans="1:6" x14ac:dyDescent="0.25">
      <c r="C86" t="s">
        <v>362</v>
      </c>
      <c r="D86" t="s">
        <v>53</v>
      </c>
      <c r="F86" s="2">
        <v>32509</v>
      </c>
    </row>
    <row r="87" spans="1:6" x14ac:dyDescent="0.25">
      <c r="C87" t="s">
        <v>377</v>
      </c>
      <c r="D87" t="s">
        <v>535</v>
      </c>
      <c r="F87" s="2">
        <v>36161</v>
      </c>
    </row>
    <row r="88" spans="1:6" x14ac:dyDescent="0.25">
      <c r="A88">
        <v>16954324</v>
      </c>
      <c r="C88" t="s">
        <v>67</v>
      </c>
      <c r="D88" t="s">
        <v>91</v>
      </c>
      <c r="F88" s="2">
        <v>36161</v>
      </c>
    </row>
    <row r="89" spans="1:6" x14ac:dyDescent="0.25">
      <c r="C89" t="s">
        <v>527</v>
      </c>
      <c r="D89" t="s">
        <v>526</v>
      </c>
      <c r="F89" s="2">
        <v>36161</v>
      </c>
    </row>
    <row r="90" spans="1:6" x14ac:dyDescent="0.25">
      <c r="C90" t="s">
        <v>528</v>
      </c>
      <c r="D90" t="s">
        <v>536</v>
      </c>
      <c r="F90" s="2">
        <v>29587</v>
      </c>
    </row>
    <row r="91" spans="1:6" x14ac:dyDescent="0.25">
      <c r="C91" t="s">
        <v>400</v>
      </c>
      <c r="D91" t="s">
        <v>537</v>
      </c>
      <c r="F91" s="2">
        <v>27760</v>
      </c>
    </row>
    <row r="92" spans="1:6" x14ac:dyDescent="0.25">
      <c r="C92" t="s">
        <v>529</v>
      </c>
      <c r="D92" t="s">
        <v>137</v>
      </c>
      <c r="F92" s="2">
        <v>28126</v>
      </c>
    </row>
    <row r="93" spans="1:6" x14ac:dyDescent="0.25">
      <c r="C93" t="s">
        <v>359</v>
      </c>
      <c r="D93" t="s">
        <v>34</v>
      </c>
      <c r="F93" s="2">
        <v>28856</v>
      </c>
    </row>
    <row r="94" spans="1:6" x14ac:dyDescent="0.25">
      <c r="C94" t="s">
        <v>538</v>
      </c>
      <c r="D94" t="s">
        <v>530</v>
      </c>
      <c r="F94" s="2">
        <v>36161</v>
      </c>
    </row>
    <row r="95" spans="1:6" x14ac:dyDescent="0.25">
      <c r="A95">
        <v>16952980</v>
      </c>
      <c r="C95" t="s">
        <v>361</v>
      </c>
      <c r="D95" t="s">
        <v>365</v>
      </c>
      <c r="F95" s="2">
        <v>36161</v>
      </c>
    </row>
    <row r="96" spans="1:6" x14ac:dyDescent="0.25">
      <c r="C96" t="s">
        <v>532</v>
      </c>
      <c r="D96" t="s">
        <v>531</v>
      </c>
      <c r="F96" s="2">
        <v>29952</v>
      </c>
    </row>
    <row r="97" spans="3:6" x14ac:dyDescent="0.25">
      <c r="C97" t="s">
        <v>533</v>
      </c>
      <c r="D97" t="s">
        <v>38</v>
      </c>
      <c r="F97" s="2">
        <v>36161</v>
      </c>
    </row>
    <row r="98" spans="3:6" x14ac:dyDescent="0.25">
      <c r="C98" t="s">
        <v>398</v>
      </c>
      <c r="D98" t="s">
        <v>38</v>
      </c>
      <c r="F98" s="2">
        <v>36161</v>
      </c>
    </row>
  </sheetData>
  <autoFilter ref="A1:G1">
    <sortState ref="A2:G79">
      <sortCondition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workbookViewId="0">
      <selection activeCell="B20" sqref="B20"/>
    </sheetView>
  </sheetViews>
  <sheetFormatPr baseColWidth="10" defaultRowHeight="15" x14ac:dyDescent="0.25"/>
  <cols>
    <col min="1" max="1" width="9" bestFit="1" customWidth="1"/>
    <col min="2" max="2" width="33.85546875" bestFit="1" customWidth="1"/>
    <col min="3" max="3" width="25.42578125" bestFit="1" customWidth="1"/>
    <col min="4" max="4" width="18.28515625" bestFit="1" customWidth="1"/>
    <col min="5" max="5" width="33.28515625" bestFit="1" customWidth="1"/>
    <col min="6" max="6" width="9.28515625" bestFit="1" customWidth="1"/>
    <col min="7" max="8" width="10.28515625" bestFit="1" customWidth="1"/>
    <col min="9" max="9" width="3.28515625" bestFit="1" customWidth="1"/>
    <col min="10" max="10" width="7.140625" bestFit="1" customWidth="1"/>
    <col min="11" max="11" width="14.140625" bestFit="1" customWidth="1"/>
    <col min="12" max="12" width="4.5703125" bestFit="1" customWidth="1"/>
    <col min="13" max="13" width="8.28515625" bestFit="1" customWidth="1"/>
    <col min="14" max="14" width="11.7109375" bestFit="1" customWidth="1"/>
    <col min="15" max="15" width="6.140625" bestFit="1" customWidth="1"/>
    <col min="16" max="16" width="5.85546875" bestFit="1" customWidth="1"/>
    <col min="17" max="17" width="7.7109375" bestFit="1" customWidth="1"/>
    <col min="18" max="18" width="10.7109375" style="2" bestFit="1" customWidth="1"/>
    <col min="19" max="19" width="14.5703125" bestFit="1" customWidth="1"/>
    <col min="20" max="20" width="11.85546875" bestFit="1" customWidth="1"/>
    <col min="21" max="21" width="11" bestFit="1" customWidth="1"/>
    <col min="22" max="22" width="5" bestFit="1" customWidth="1"/>
    <col min="23" max="23" width="15.42578125" bestFit="1" customWidth="1"/>
    <col min="24" max="24" width="12.7109375" bestFit="1" customWidth="1"/>
    <col min="25" max="25" width="11.85546875" bestFit="1" customWidth="1"/>
    <col min="26" max="26" width="10.140625" bestFit="1" customWidth="1"/>
    <col min="27" max="27" width="5.28515625" bestFit="1" customWidth="1"/>
  </cols>
  <sheetData>
    <row r="1" spans="1:27" x14ac:dyDescent="0.25">
      <c r="A1" s="1" t="s">
        <v>0</v>
      </c>
      <c r="B1" s="1" t="s">
        <v>93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4" t="s">
        <v>15</v>
      </c>
      <c r="S1" s="1" t="s">
        <v>96</v>
      </c>
      <c r="T1" s="1" t="s">
        <v>97</v>
      </c>
      <c r="U1" s="1" t="s">
        <v>178</v>
      </c>
      <c r="V1" s="1" t="s">
        <v>16</v>
      </c>
      <c r="W1" s="1" t="s">
        <v>98</v>
      </c>
      <c r="X1" s="1" t="s">
        <v>99</v>
      </c>
      <c r="Y1" s="1" t="s">
        <v>179</v>
      </c>
      <c r="Z1" s="1" t="s">
        <v>17</v>
      </c>
      <c r="AA1" s="1" t="s">
        <v>50</v>
      </c>
    </row>
    <row r="2" spans="1:27" x14ac:dyDescent="0.25">
      <c r="A2">
        <v>10768466</v>
      </c>
      <c r="B2" t="s">
        <v>203</v>
      </c>
      <c r="C2" t="s">
        <v>94</v>
      </c>
      <c r="D2" t="s">
        <v>95</v>
      </c>
      <c r="E2" t="s">
        <v>204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100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19</v>
      </c>
      <c r="R2" s="2" t="s">
        <v>18</v>
      </c>
      <c r="S2" t="s">
        <v>101</v>
      </c>
      <c r="T2" t="s">
        <v>102</v>
      </c>
      <c r="U2" t="s">
        <v>202</v>
      </c>
      <c r="V2" t="s">
        <v>18</v>
      </c>
      <c r="W2" t="s">
        <v>103</v>
      </c>
      <c r="X2" t="s">
        <v>103</v>
      </c>
      <c r="Y2" t="s">
        <v>103</v>
      </c>
      <c r="Z2" t="s">
        <v>18</v>
      </c>
      <c r="AA2" t="s">
        <v>18</v>
      </c>
    </row>
    <row r="3" spans="1:27" x14ac:dyDescent="0.25">
      <c r="A3">
        <v>10767319</v>
      </c>
      <c r="B3" t="s">
        <v>205</v>
      </c>
      <c r="C3" t="s">
        <v>104</v>
      </c>
      <c r="D3" t="s">
        <v>37</v>
      </c>
      <c r="E3" t="s">
        <v>206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100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19</v>
      </c>
      <c r="R3" s="2" t="s">
        <v>18</v>
      </c>
      <c r="S3" t="s">
        <v>101</v>
      </c>
      <c r="T3" t="s">
        <v>102</v>
      </c>
      <c r="U3" t="s">
        <v>202</v>
      </c>
      <c r="V3" t="s">
        <v>18</v>
      </c>
      <c r="W3" t="s">
        <v>103</v>
      </c>
      <c r="X3" t="s">
        <v>103</v>
      </c>
      <c r="Y3" t="s">
        <v>103</v>
      </c>
      <c r="Z3" t="s">
        <v>18</v>
      </c>
      <c r="AA3" t="s">
        <v>18</v>
      </c>
    </row>
    <row r="4" spans="1:27" x14ac:dyDescent="0.25">
      <c r="A4">
        <v>6836467</v>
      </c>
      <c r="B4" t="s">
        <v>207</v>
      </c>
      <c r="C4" t="s">
        <v>105</v>
      </c>
      <c r="D4" t="s">
        <v>106</v>
      </c>
      <c r="E4" t="s">
        <v>208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122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19</v>
      </c>
      <c r="R4" s="2" t="s">
        <v>18</v>
      </c>
      <c r="S4" t="s">
        <v>101</v>
      </c>
      <c r="T4" t="s">
        <v>102</v>
      </c>
      <c r="U4" t="s">
        <v>202</v>
      </c>
      <c r="V4" t="s">
        <v>18</v>
      </c>
      <c r="W4" t="s">
        <v>103</v>
      </c>
      <c r="X4" t="s">
        <v>103</v>
      </c>
      <c r="Y4" t="s">
        <v>103</v>
      </c>
      <c r="Z4" t="s">
        <v>18</v>
      </c>
      <c r="AA4" t="s">
        <v>18</v>
      </c>
    </row>
    <row r="5" spans="1:27" x14ac:dyDescent="0.25">
      <c r="A5">
        <v>16952360</v>
      </c>
      <c r="B5" t="s">
        <v>209</v>
      </c>
      <c r="C5" t="s">
        <v>107</v>
      </c>
      <c r="D5" t="s">
        <v>54</v>
      </c>
      <c r="E5" t="s">
        <v>210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123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19</v>
      </c>
      <c r="R5" s="2" t="s">
        <v>18</v>
      </c>
      <c r="S5" t="s">
        <v>101</v>
      </c>
      <c r="T5" t="s">
        <v>102</v>
      </c>
      <c r="U5" t="s">
        <v>18</v>
      </c>
      <c r="V5" t="s">
        <v>18</v>
      </c>
      <c r="W5" t="s">
        <v>103</v>
      </c>
      <c r="X5" t="s">
        <v>103</v>
      </c>
      <c r="Y5" t="s">
        <v>18</v>
      </c>
      <c r="Z5" t="s">
        <v>18</v>
      </c>
      <c r="AA5" t="s">
        <v>18</v>
      </c>
    </row>
    <row r="6" spans="1:27" x14ac:dyDescent="0.25">
      <c r="A6">
        <v>13464954</v>
      </c>
      <c r="B6" t="s">
        <v>211</v>
      </c>
      <c r="C6" t="s">
        <v>108</v>
      </c>
      <c r="D6" t="s">
        <v>69</v>
      </c>
      <c r="E6" t="s">
        <v>212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124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19</v>
      </c>
      <c r="R6" s="2" t="s">
        <v>18</v>
      </c>
      <c r="S6" t="s">
        <v>101</v>
      </c>
      <c r="T6" t="s">
        <v>102</v>
      </c>
      <c r="U6" t="s">
        <v>202</v>
      </c>
      <c r="V6" t="s">
        <v>18</v>
      </c>
      <c r="W6" t="s">
        <v>103</v>
      </c>
      <c r="X6" t="s">
        <v>103</v>
      </c>
      <c r="Y6" t="s">
        <v>103</v>
      </c>
      <c r="Z6" t="s">
        <v>18</v>
      </c>
      <c r="AA6" t="s">
        <v>18</v>
      </c>
    </row>
    <row r="7" spans="1:27" x14ac:dyDescent="0.25">
      <c r="A7">
        <v>16307820</v>
      </c>
      <c r="B7" t="s">
        <v>213</v>
      </c>
      <c r="C7" t="s">
        <v>109</v>
      </c>
      <c r="D7" t="s">
        <v>38</v>
      </c>
      <c r="E7" t="s">
        <v>214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125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19</v>
      </c>
      <c r="R7" s="2">
        <v>34517</v>
      </c>
      <c r="S7" t="s">
        <v>101</v>
      </c>
      <c r="T7" t="s">
        <v>102</v>
      </c>
      <c r="U7" t="s">
        <v>18</v>
      </c>
      <c r="V7" t="s">
        <v>18</v>
      </c>
      <c r="W7" t="s">
        <v>103</v>
      </c>
      <c r="X7" t="s">
        <v>103</v>
      </c>
      <c r="Y7" t="s">
        <v>18</v>
      </c>
      <c r="Z7" t="s">
        <v>18</v>
      </c>
      <c r="AA7">
        <v>30</v>
      </c>
    </row>
    <row r="8" spans="1:27" x14ac:dyDescent="0.25">
      <c r="A8">
        <v>16952980</v>
      </c>
      <c r="B8" t="s">
        <v>215</v>
      </c>
      <c r="C8" t="s">
        <v>110</v>
      </c>
      <c r="D8" t="s">
        <v>52</v>
      </c>
      <c r="E8" t="s">
        <v>216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123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19</v>
      </c>
      <c r="R8" s="2" t="s">
        <v>18</v>
      </c>
      <c r="S8" t="s">
        <v>101</v>
      </c>
      <c r="T8" t="s">
        <v>102</v>
      </c>
      <c r="U8" t="s">
        <v>18</v>
      </c>
      <c r="V8" t="s">
        <v>18</v>
      </c>
      <c r="W8" t="s">
        <v>103</v>
      </c>
      <c r="X8" t="s">
        <v>103</v>
      </c>
      <c r="Y8" t="s">
        <v>18</v>
      </c>
      <c r="Z8" t="s">
        <v>18</v>
      </c>
      <c r="AA8" t="s">
        <v>18</v>
      </c>
    </row>
    <row r="9" spans="1:27" x14ac:dyDescent="0.25">
      <c r="A9">
        <v>6723903</v>
      </c>
      <c r="B9" t="s">
        <v>217</v>
      </c>
      <c r="C9" t="s">
        <v>111</v>
      </c>
      <c r="D9" t="s">
        <v>112</v>
      </c>
      <c r="E9" t="s">
        <v>218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122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19</v>
      </c>
      <c r="R9" s="2" t="s">
        <v>18</v>
      </c>
      <c r="S9" t="s">
        <v>101</v>
      </c>
      <c r="T9" t="s">
        <v>102</v>
      </c>
      <c r="U9" t="s">
        <v>202</v>
      </c>
      <c r="V9" t="s">
        <v>18</v>
      </c>
      <c r="W9" t="s">
        <v>103</v>
      </c>
      <c r="X9" t="s">
        <v>103</v>
      </c>
      <c r="Y9" t="s">
        <v>103</v>
      </c>
      <c r="Z9" t="s">
        <v>18</v>
      </c>
      <c r="AA9" t="s">
        <v>18</v>
      </c>
    </row>
    <row r="10" spans="1:27" x14ac:dyDescent="0.25">
      <c r="A10">
        <v>16937065</v>
      </c>
      <c r="B10" t="s">
        <v>219</v>
      </c>
      <c r="C10" t="s">
        <v>113</v>
      </c>
      <c r="D10" t="s">
        <v>114</v>
      </c>
      <c r="E10" t="s">
        <v>220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123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19</v>
      </c>
      <c r="R10" s="2" t="s">
        <v>18</v>
      </c>
      <c r="S10" t="s">
        <v>101</v>
      </c>
      <c r="T10" t="s">
        <v>102</v>
      </c>
      <c r="U10" t="s">
        <v>202</v>
      </c>
      <c r="V10" t="s">
        <v>18</v>
      </c>
      <c r="W10" t="s">
        <v>103</v>
      </c>
      <c r="X10" t="s">
        <v>103</v>
      </c>
      <c r="Y10" t="s">
        <v>103</v>
      </c>
      <c r="Z10" t="s">
        <v>18</v>
      </c>
      <c r="AA10" t="s">
        <v>18</v>
      </c>
    </row>
    <row r="11" spans="1:27" x14ac:dyDescent="0.25">
      <c r="A11">
        <v>11855642</v>
      </c>
      <c r="B11" t="s">
        <v>221</v>
      </c>
      <c r="C11" t="s">
        <v>115</v>
      </c>
      <c r="D11" t="s">
        <v>116</v>
      </c>
      <c r="E11" t="s">
        <v>222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122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19</v>
      </c>
      <c r="R11" s="2" t="s">
        <v>18</v>
      </c>
      <c r="S11" t="s">
        <v>101</v>
      </c>
      <c r="T11" t="s">
        <v>102</v>
      </c>
      <c r="U11" t="s">
        <v>202</v>
      </c>
      <c r="V11" t="s">
        <v>18</v>
      </c>
      <c r="W11" t="s">
        <v>103</v>
      </c>
      <c r="X11" t="s">
        <v>103</v>
      </c>
      <c r="Y11" t="s">
        <v>103</v>
      </c>
      <c r="Z11" t="s">
        <v>18</v>
      </c>
      <c r="AA11" t="s">
        <v>18</v>
      </c>
    </row>
    <row r="12" spans="1:27" x14ac:dyDescent="0.25">
      <c r="A12">
        <v>10768565</v>
      </c>
      <c r="B12" t="s">
        <v>223</v>
      </c>
      <c r="C12" t="s">
        <v>65</v>
      </c>
      <c r="D12" t="s">
        <v>46</v>
      </c>
      <c r="E12" t="s">
        <v>224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100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19</v>
      </c>
      <c r="R12" s="2">
        <v>30209</v>
      </c>
      <c r="S12" t="s">
        <v>101</v>
      </c>
      <c r="T12" t="s">
        <v>102</v>
      </c>
      <c r="U12" t="s">
        <v>202</v>
      </c>
      <c r="V12" t="s">
        <v>18</v>
      </c>
      <c r="W12" t="s">
        <v>103</v>
      </c>
      <c r="X12" t="s">
        <v>103</v>
      </c>
      <c r="Y12" t="s">
        <v>103</v>
      </c>
      <c r="Z12" t="s">
        <v>18</v>
      </c>
      <c r="AA12">
        <v>42</v>
      </c>
    </row>
    <row r="13" spans="1:27" x14ac:dyDescent="0.25">
      <c r="A13">
        <v>10768929</v>
      </c>
      <c r="B13" t="s">
        <v>225</v>
      </c>
      <c r="C13" t="s">
        <v>117</v>
      </c>
      <c r="D13" t="s">
        <v>45</v>
      </c>
      <c r="E13" t="s">
        <v>226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100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19</v>
      </c>
      <c r="R13" s="2" t="s">
        <v>18</v>
      </c>
      <c r="S13" t="s">
        <v>101</v>
      </c>
      <c r="T13" t="s">
        <v>102</v>
      </c>
      <c r="U13" t="s">
        <v>18</v>
      </c>
      <c r="V13" t="s">
        <v>18</v>
      </c>
      <c r="W13" t="s">
        <v>103</v>
      </c>
      <c r="X13" t="s">
        <v>18</v>
      </c>
      <c r="Y13" t="s">
        <v>18</v>
      </c>
      <c r="Z13" t="s">
        <v>18</v>
      </c>
      <c r="AA13" t="s">
        <v>18</v>
      </c>
    </row>
    <row r="14" spans="1:27" x14ac:dyDescent="0.25">
      <c r="A14">
        <v>13465308</v>
      </c>
      <c r="B14" t="s">
        <v>227</v>
      </c>
      <c r="C14" t="s">
        <v>118</v>
      </c>
      <c r="D14" t="s">
        <v>38</v>
      </c>
      <c r="E14" t="s">
        <v>228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124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19</v>
      </c>
      <c r="R14" s="2" t="s">
        <v>18</v>
      </c>
      <c r="S14" t="s">
        <v>101</v>
      </c>
      <c r="T14" t="s">
        <v>102</v>
      </c>
      <c r="U14" t="s">
        <v>18</v>
      </c>
      <c r="V14" t="s">
        <v>18</v>
      </c>
      <c r="W14" t="s">
        <v>103</v>
      </c>
      <c r="X14" t="s">
        <v>103</v>
      </c>
      <c r="Y14" t="s">
        <v>18</v>
      </c>
      <c r="Z14" t="s">
        <v>18</v>
      </c>
      <c r="AA14" t="s">
        <v>18</v>
      </c>
    </row>
    <row r="15" spans="1:27" x14ac:dyDescent="0.25">
      <c r="A15">
        <v>10768523</v>
      </c>
      <c r="B15" t="s">
        <v>229</v>
      </c>
      <c r="C15" t="s">
        <v>119</v>
      </c>
      <c r="D15" t="s">
        <v>66</v>
      </c>
      <c r="E15" t="s">
        <v>230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100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19</v>
      </c>
      <c r="R15" s="2" t="s">
        <v>18</v>
      </c>
      <c r="S15" t="s">
        <v>101</v>
      </c>
      <c r="T15" t="s">
        <v>102</v>
      </c>
      <c r="U15" t="s">
        <v>18</v>
      </c>
      <c r="V15" t="s">
        <v>18</v>
      </c>
      <c r="W15" t="s">
        <v>103</v>
      </c>
      <c r="X15" t="s">
        <v>103</v>
      </c>
      <c r="Y15" t="s">
        <v>18</v>
      </c>
      <c r="Z15" t="s">
        <v>18</v>
      </c>
      <c r="AA15" t="s">
        <v>18</v>
      </c>
    </row>
    <row r="16" spans="1:27" x14ac:dyDescent="0.25">
      <c r="A16">
        <v>7404007</v>
      </c>
      <c r="B16" t="s">
        <v>231</v>
      </c>
      <c r="C16" t="s">
        <v>33</v>
      </c>
      <c r="D16" t="s">
        <v>20</v>
      </c>
      <c r="E16" t="s">
        <v>232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100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19</v>
      </c>
      <c r="R16" s="2">
        <v>34605</v>
      </c>
      <c r="S16" t="s">
        <v>101</v>
      </c>
      <c r="T16" t="s">
        <v>102</v>
      </c>
      <c r="U16" t="s">
        <v>202</v>
      </c>
      <c r="V16" t="s">
        <v>18</v>
      </c>
      <c r="W16" t="s">
        <v>103</v>
      </c>
      <c r="X16" t="s">
        <v>103</v>
      </c>
      <c r="Y16" t="s">
        <v>150</v>
      </c>
      <c r="Z16" t="s">
        <v>18</v>
      </c>
      <c r="AA16">
        <v>30</v>
      </c>
    </row>
    <row r="17" spans="1:27" x14ac:dyDescent="0.25">
      <c r="A17">
        <v>3039890</v>
      </c>
      <c r="B17" t="s">
        <v>233</v>
      </c>
      <c r="C17" t="s">
        <v>120</v>
      </c>
      <c r="D17" t="s">
        <v>121</v>
      </c>
      <c r="E17" t="s">
        <v>234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124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19</v>
      </c>
      <c r="R17" s="2" t="s">
        <v>18</v>
      </c>
      <c r="S17" t="s">
        <v>101</v>
      </c>
      <c r="T17" t="s">
        <v>102</v>
      </c>
      <c r="U17" t="s">
        <v>18</v>
      </c>
      <c r="V17" t="s">
        <v>18</v>
      </c>
      <c r="W17" t="s">
        <v>103</v>
      </c>
      <c r="X17" t="s">
        <v>103</v>
      </c>
      <c r="Y17" t="s">
        <v>18</v>
      </c>
      <c r="Z17" t="s">
        <v>18</v>
      </c>
      <c r="AA17" t="s">
        <v>18</v>
      </c>
    </row>
    <row r="18" spans="1:27" x14ac:dyDescent="0.25">
      <c r="A18">
        <v>7238183</v>
      </c>
      <c r="B18" t="s">
        <v>235</v>
      </c>
      <c r="C18" t="s">
        <v>126</v>
      </c>
      <c r="D18" t="s">
        <v>85</v>
      </c>
      <c r="E18" t="s">
        <v>236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100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30</v>
      </c>
      <c r="R18" s="2" t="s">
        <v>18</v>
      </c>
      <c r="S18" t="s">
        <v>149</v>
      </c>
      <c r="T18" t="s">
        <v>148</v>
      </c>
      <c r="U18" t="s">
        <v>202</v>
      </c>
      <c r="V18" t="s">
        <v>18</v>
      </c>
      <c r="W18" t="s">
        <v>103</v>
      </c>
      <c r="X18" t="s">
        <v>103</v>
      </c>
      <c r="Y18" t="s">
        <v>103</v>
      </c>
      <c r="Z18" t="s">
        <v>18</v>
      </c>
      <c r="AA18" t="s">
        <v>18</v>
      </c>
    </row>
    <row r="19" spans="1:27" x14ac:dyDescent="0.25">
      <c r="A19">
        <v>10769042</v>
      </c>
      <c r="B19" t="s">
        <v>237</v>
      </c>
      <c r="C19" t="s">
        <v>127</v>
      </c>
      <c r="D19" t="s">
        <v>82</v>
      </c>
      <c r="E19" t="s">
        <v>238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100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30</v>
      </c>
      <c r="R19" s="2" t="s">
        <v>18</v>
      </c>
      <c r="S19" t="s">
        <v>149</v>
      </c>
      <c r="T19" t="s">
        <v>148</v>
      </c>
      <c r="U19" t="s">
        <v>202</v>
      </c>
      <c r="V19" t="s">
        <v>18</v>
      </c>
      <c r="W19" t="s">
        <v>103</v>
      </c>
      <c r="X19" t="s">
        <v>103</v>
      </c>
      <c r="Y19" t="s">
        <v>103</v>
      </c>
      <c r="Z19" t="s">
        <v>18</v>
      </c>
      <c r="AA19" t="s">
        <v>18</v>
      </c>
    </row>
    <row r="20" spans="1:27" x14ac:dyDescent="0.25">
      <c r="A20">
        <v>8318942</v>
      </c>
      <c r="B20" t="s">
        <v>239</v>
      </c>
      <c r="C20" t="s">
        <v>128</v>
      </c>
      <c r="D20" t="s">
        <v>29</v>
      </c>
      <c r="E20" t="s">
        <v>240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100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30</v>
      </c>
      <c r="R20" s="2" t="s">
        <v>18</v>
      </c>
      <c r="S20" t="s">
        <v>149</v>
      </c>
      <c r="T20" t="s">
        <v>148</v>
      </c>
      <c r="U20" t="s">
        <v>202</v>
      </c>
      <c r="V20" t="s">
        <v>18</v>
      </c>
      <c r="W20" t="s">
        <v>103</v>
      </c>
      <c r="X20" t="s">
        <v>103</v>
      </c>
      <c r="Y20" t="s">
        <v>103</v>
      </c>
      <c r="Z20" t="s">
        <v>18</v>
      </c>
      <c r="AA20" t="s">
        <v>18</v>
      </c>
    </row>
    <row r="21" spans="1:27" x14ac:dyDescent="0.25">
      <c r="A21">
        <v>10768911</v>
      </c>
      <c r="B21" t="s">
        <v>241</v>
      </c>
      <c r="C21" t="s">
        <v>27</v>
      </c>
      <c r="D21" t="s">
        <v>28</v>
      </c>
      <c r="E21" t="s">
        <v>242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100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30</v>
      </c>
      <c r="R21" s="2">
        <v>32449</v>
      </c>
      <c r="S21" t="s">
        <v>149</v>
      </c>
      <c r="T21" t="s">
        <v>148</v>
      </c>
      <c r="U21" t="s">
        <v>202</v>
      </c>
      <c r="V21" t="s">
        <v>18</v>
      </c>
      <c r="W21" t="s">
        <v>103</v>
      </c>
      <c r="X21" t="s">
        <v>103</v>
      </c>
      <c r="Y21" t="s">
        <v>103</v>
      </c>
      <c r="Z21" t="s">
        <v>18</v>
      </c>
      <c r="AA21">
        <v>36</v>
      </c>
    </row>
    <row r="22" spans="1:27" x14ac:dyDescent="0.25">
      <c r="A22">
        <v>11855501</v>
      </c>
      <c r="B22" t="s">
        <v>243</v>
      </c>
      <c r="C22" t="s">
        <v>115</v>
      </c>
      <c r="D22" t="s">
        <v>129</v>
      </c>
      <c r="E22" t="s">
        <v>244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122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30</v>
      </c>
      <c r="R22" s="2" t="s">
        <v>18</v>
      </c>
      <c r="S22" t="s">
        <v>149</v>
      </c>
      <c r="T22" t="s">
        <v>148</v>
      </c>
      <c r="U22" t="s">
        <v>202</v>
      </c>
      <c r="V22" t="s">
        <v>18</v>
      </c>
      <c r="W22" t="s">
        <v>103</v>
      </c>
      <c r="X22" t="s">
        <v>103</v>
      </c>
      <c r="Y22" t="s">
        <v>103</v>
      </c>
      <c r="Z22" t="s">
        <v>18</v>
      </c>
      <c r="AA22" t="s">
        <v>18</v>
      </c>
    </row>
    <row r="23" spans="1:27" x14ac:dyDescent="0.25">
      <c r="A23">
        <v>10768078</v>
      </c>
      <c r="B23" t="s">
        <v>245</v>
      </c>
      <c r="C23" t="s">
        <v>130</v>
      </c>
      <c r="D23" t="s">
        <v>131</v>
      </c>
      <c r="E23" t="s">
        <v>246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100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30</v>
      </c>
      <c r="R23" s="2" t="s">
        <v>18</v>
      </c>
      <c r="S23" t="s">
        <v>149</v>
      </c>
      <c r="T23" t="s">
        <v>148</v>
      </c>
      <c r="U23" t="s">
        <v>202</v>
      </c>
      <c r="V23" t="s">
        <v>18</v>
      </c>
      <c r="W23" t="s">
        <v>103</v>
      </c>
      <c r="X23" t="s">
        <v>18</v>
      </c>
      <c r="Y23" t="s">
        <v>103</v>
      </c>
      <c r="Z23" t="s">
        <v>18</v>
      </c>
      <c r="AA23" t="s">
        <v>18</v>
      </c>
    </row>
    <row r="24" spans="1:27" x14ac:dyDescent="0.25">
      <c r="A24">
        <v>9573397</v>
      </c>
      <c r="B24" t="s">
        <v>247</v>
      </c>
      <c r="C24" t="s">
        <v>132</v>
      </c>
      <c r="D24" t="s">
        <v>133</v>
      </c>
      <c r="E24" t="s">
        <v>248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123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30</v>
      </c>
      <c r="R24" s="2" t="s">
        <v>18</v>
      </c>
      <c r="S24" t="s">
        <v>149</v>
      </c>
      <c r="T24" t="s">
        <v>148</v>
      </c>
      <c r="U24" t="s">
        <v>202</v>
      </c>
      <c r="V24" t="s">
        <v>18</v>
      </c>
      <c r="W24" t="s">
        <v>150</v>
      </c>
      <c r="X24" t="s">
        <v>150</v>
      </c>
      <c r="Y24" t="s">
        <v>150</v>
      </c>
      <c r="Z24" t="s">
        <v>18</v>
      </c>
      <c r="AA24" t="s">
        <v>18</v>
      </c>
    </row>
    <row r="25" spans="1:27" x14ac:dyDescent="0.25">
      <c r="A25">
        <v>16951726</v>
      </c>
      <c r="B25" t="s">
        <v>249</v>
      </c>
      <c r="C25" t="s">
        <v>134</v>
      </c>
      <c r="D25" t="s">
        <v>25</v>
      </c>
      <c r="E25" t="s">
        <v>250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123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30</v>
      </c>
      <c r="R25" s="2" t="s">
        <v>18</v>
      </c>
      <c r="S25" t="s">
        <v>149</v>
      </c>
      <c r="T25" t="s">
        <v>148</v>
      </c>
      <c r="U25" t="s">
        <v>202</v>
      </c>
      <c r="V25" t="s">
        <v>18</v>
      </c>
      <c r="W25" t="s">
        <v>150</v>
      </c>
      <c r="X25" t="s">
        <v>150</v>
      </c>
      <c r="Y25" t="s">
        <v>150</v>
      </c>
      <c r="Z25" t="s">
        <v>18</v>
      </c>
      <c r="AA25" t="s">
        <v>18</v>
      </c>
    </row>
    <row r="26" spans="1:27" x14ac:dyDescent="0.25">
      <c r="A26">
        <v>11855163</v>
      </c>
      <c r="B26" t="s">
        <v>251</v>
      </c>
      <c r="C26" t="s">
        <v>135</v>
      </c>
      <c r="D26" t="s">
        <v>136</v>
      </c>
      <c r="E26" t="s">
        <v>252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122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30</v>
      </c>
      <c r="R26" s="2" t="s">
        <v>18</v>
      </c>
      <c r="S26" t="s">
        <v>149</v>
      </c>
      <c r="T26" t="s">
        <v>148</v>
      </c>
      <c r="U26" t="s">
        <v>202</v>
      </c>
      <c r="V26" t="s">
        <v>18</v>
      </c>
      <c r="W26" t="s">
        <v>150</v>
      </c>
      <c r="X26" t="s">
        <v>150</v>
      </c>
      <c r="Y26" t="s">
        <v>150</v>
      </c>
      <c r="Z26" t="s">
        <v>18</v>
      </c>
      <c r="AA26" t="s">
        <v>18</v>
      </c>
    </row>
    <row r="27" spans="1:27" x14ac:dyDescent="0.25">
      <c r="A27">
        <v>10768804</v>
      </c>
      <c r="B27" t="s">
        <v>253</v>
      </c>
      <c r="C27" t="s">
        <v>88</v>
      </c>
      <c r="D27" t="s">
        <v>137</v>
      </c>
      <c r="E27" t="s">
        <v>254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100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30</v>
      </c>
      <c r="R27" s="2">
        <v>31433</v>
      </c>
      <c r="S27" t="s">
        <v>149</v>
      </c>
      <c r="T27" t="s">
        <v>148</v>
      </c>
      <c r="U27" t="s">
        <v>18</v>
      </c>
      <c r="V27" t="s">
        <v>18</v>
      </c>
      <c r="W27" t="s">
        <v>150</v>
      </c>
      <c r="X27" t="s">
        <v>18</v>
      </c>
      <c r="Y27" t="s">
        <v>18</v>
      </c>
      <c r="Z27" t="s">
        <v>18</v>
      </c>
      <c r="AA27">
        <v>38</v>
      </c>
    </row>
    <row r="28" spans="1:27" x14ac:dyDescent="0.25">
      <c r="A28">
        <v>10767418</v>
      </c>
      <c r="B28" t="s">
        <v>255</v>
      </c>
      <c r="C28" t="s">
        <v>138</v>
      </c>
      <c r="D28" t="s">
        <v>139</v>
      </c>
      <c r="E28" t="s">
        <v>256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100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30</v>
      </c>
      <c r="R28" s="2" t="s">
        <v>18</v>
      </c>
      <c r="S28" t="s">
        <v>149</v>
      </c>
      <c r="T28" t="s">
        <v>148</v>
      </c>
      <c r="U28" t="s">
        <v>202</v>
      </c>
      <c r="V28" t="s">
        <v>18</v>
      </c>
      <c r="W28" t="s">
        <v>150</v>
      </c>
      <c r="X28" t="s">
        <v>150</v>
      </c>
      <c r="Y28" t="s">
        <v>150</v>
      </c>
      <c r="Z28" t="s">
        <v>18</v>
      </c>
      <c r="AA28" t="s">
        <v>18</v>
      </c>
    </row>
    <row r="29" spans="1:27" x14ac:dyDescent="0.25">
      <c r="A29">
        <v>10058320</v>
      </c>
      <c r="B29" t="s">
        <v>257</v>
      </c>
      <c r="C29" t="s">
        <v>23</v>
      </c>
      <c r="D29" t="s">
        <v>24</v>
      </c>
      <c r="E29" t="s">
        <v>258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100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30</v>
      </c>
      <c r="R29" s="2">
        <v>35899</v>
      </c>
      <c r="S29" t="s">
        <v>149</v>
      </c>
      <c r="T29" t="s">
        <v>148</v>
      </c>
      <c r="U29" t="s">
        <v>18</v>
      </c>
      <c r="V29" t="s">
        <v>18</v>
      </c>
      <c r="W29" t="s">
        <v>150</v>
      </c>
      <c r="X29" t="s">
        <v>18</v>
      </c>
      <c r="Y29" t="s">
        <v>18</v>
      </c>
      <c r="Z29" t="s">
        <v>18</v>
      </c>
      <c r="AA29">
        <v>26</v>
      </c>
    </row>
    <row r="30" spans="1:27" x14ac:dyDescent="0.25">
      <c r="A30">
        <v>10767161</v>
      </c>
      <c r="B30" t="s">
        <v>259</v>
      </c>
      <c r="C30" t="s">
        <v>140</v>
      </c>
      <c r="D30" t="s">
        <v>59</v>
      </c>
      <c r="E30" t="s">
        <v>260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100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30</v>
      </c>
      <c r="R30" s="2" t="s">
        <v>18</v>
      </c>
      <c r="S30" t="s">
        <v>18</v>
      </c>
      <c r="T30" t="s">
        <v>18</v>
      </c>
      <c r="U30" t="s">
        <v>202</v>
      </c>
      <c r="V30" t="s">
        <v>18</v>
      </c>
      <c r="W30" t="s">
        <v>18</v>
      </c>
      <c r="X30" t="s">
        <v>18</v>
      </c>
      <c r="Y30" t="s">
        <v>150</v>
      </c>
      <c r="Z30" t="s">
        <v>18</v>
      </c>
      <c r="AA30" t="s">
        <v>18</v>
      </c>
    </row>
    <row r="31" spans="1:27" x14ac:dyDescent="0.25">
      <c r="A31">
        <v>16953045</v>
      </c>
      <c r="B31" t="s">
        <v>261</v>
      </c>
      <c r="C31" t="s">
        <v>141</v>
      </c>
      <c r="D31" t="s">
        <v>142</v>
      </c>
      <c r="E31" t="s">
        <v>262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123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30</v>
      </c>
      <c r="R31" s="2" t="s">
        <v>18</v>
      </c>
      <c r="S31" t="s">
        <v>149</v>
      </c>
      <c r="T31" t="s">
        <v>148</v>
      </c>
      <c r="U31" t="s">
        <v>202</v>
      </c>
      <c r="V31" t="s">
        <v>18</v>
      </c>
      <c r="W31" t="s">
        <v>150</v>
      </c>
      <c r="X31" t="s">
        <v>150</v>
      </c>
      <c r="Y31" t="s">
        <v>150</v>
      </c>
      <c r="Z31" t="s">
        <v>18</v>
      </c>
      <c r="AA31" t="s">
        <v>18</v>
      </c>
    </row>
    <row r="32" spans="1:27" x14ac:dyDescent="0.25">
      <c r="A32">
        <v>11087344</v>
      </c>
      <c r="B32" t="s">
        <v>263</v>
      </c>
      <c r="C32" t="s">
        <v>143</v>
      </c>
      <c r="D32" t="s">
        <v>144</v>
      </c>
      <c r="E32" t="s">
        <v>264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122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30</v>
      </c>
      <c r="R32" s="2" t="s">
        <v>18</v>
      </c>
      <c r="S32" t="s">
        <v>149</v>
      </c>
      <c r="T32" t="s">
        <v>18</v>
      </c>
      <c r="U32" t="s">
        <v>18</v>
      </c>
      <c r="V32" t="s">
        <v>18</v>
      </c>
      <c r="W32" t="s">
        <v>151</v>
      </c>
      <c r="X32" t="s">
        <v>18</v>
      </c>
      <c r="Y32" t="s">
        <v>18</v>
      </c>
      <c r="Z32" t="s">
        <v>18</v>
      </c>
      <c r="AA32" t="s">
        <v>18</v>
      </c>
    </row>
    <row r="33" spans="1:27" x14ac:dyDescent="0.25">
      <c r="A33">
        <v>11855626</v>
      </c>
      <c r="B33" t="s">
        <v>265</v>
      </c>
      <c r="C33" t="s">
        <v>145</v>
      </c>
      <c r="D33" t="s">
        <v>26</v>
      </c>
      <c r="E33" t="s">
        <v>266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122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30</v>
      </c>
      <c r="R33" s="2" t="s">
        <v>18</v>
      </c>
      <c r="S33" t="s">
        <v>149</v>
      </c>
      <c r="T33" t="s">
        <v>148</v>
      </c>
      <c r="U33" t="s">
        <v>18</v>
      </c>
      <c r="V33" t="s">
        <v>18</v>
      </c>
      <c r="W33" t="s">
        <v>151</v>
      </c>
      <c r="X33" t="s">
        <v>18</v>
      </c>
      <c r="Y33" t="s">
        <v>18</v>
      </c>
      <c r="Z33" t="s">
        <v>18</v>
      </c>
      <c r="AA33" t="s">
        <v>18</v>
      </c>
    </row>
    <row r="34" spans="1:27" x14ac:dyDescent="0.25">
      <c r="A34">
        <v>11856046</v>
      </c>
      <c r="B34" t="s">
        <v>267</v>
      </c>
      <c r="C34" t="s">
        <v>146</v>
      </c>
      <c r="D34" t="s">
        <v>62</v>
      </c>
      <c r="E34" t="s">
        <v>268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122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30</v>
      </c>
      <c r="R34" s="2" t="s">
        <v>18</v>
      </c>
      <c r="S34" t="s">
        <v>149</v>
      </c>
      <c r="T34" t="s">
        <v>148</v>
      </c>
      <c r="U34" t="s">
        <v>18</v>
      </c>
      <c r="V34" t="s">
        <v>18</v>
      </c>
      <c r="W34" t="s">
        <v>151</v>
      </c>
      <c r="X34" t="s">
        <v>18</v>
      </c>
      <c r="Y34" t="s">
        <v>18</v>
      </c>
      <c r="Z34" t="s">
        <v>18</v>
      </c>
      <c r="AA34" t="s">
        <v>18</v>
      </c>
    </row>
    <row r="35" spans="1:27" x14ac:dyDescent="0.25">
      <c r="A35">
        <v>11855288</v>
      </c>
      <c r="B35" t="s">
        <v>269</v>
      </c>
      <c r="C35" t="s">
        <v>147</v>
      </c>
      <c r="D35" t="s">
        <v>79</v>
      </c>
      <c r="E35" t="s">
        <v>270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122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30</v>
      </c>
      <c r="R35" s="2" t="s">
        <v>18</v>
      </c>
      <c r="S35" t="s">
        <v>149</v>
      </c>
      <c r="T35" t="s">
        <v>148</v>
      </c>
      <c r="U35" t="s">
        <v>18</v>
      </c>
      <c r="V35" t="s">
        <v>18</v>
      </c>
      <c r="W35" t="s">
        <v>151</v>
      </c>
      <c r="X35" t="s">
        <v>18</v>
      </c>
      <c r="Y35" t="s">
        <v>18</v>
      </c>
      <c r="Z35" t="s">
        <v>18</v>
      </c>
      <c r="AA35" t="s">
        <v>18</v>
      </c>
    </row>
    <row r="36" spans="1:27" x14ac:dyDescent="0.25">
      <c r="A36">
        <v>16953342</v>
      </c>
      <c r="B36" t="s">
        <v>271</v>
      </c>
      <c r="C36" t="s">
        <v>187</v>
      </c>
      <c r="D36" t="s">
        <v>46</v>
      </c>
      <c r="E36" t="s">
        <v>272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123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19</v>
      </c>
      <c r="R36" s="2" t="s">
        <v>18</v>
      </c>
      <c r="S36" t="s">
        <v>101</v>
      </c>
      <c r="T36" t="s">
        <v>102</v>
      </c>
      <c r="U36" t="s">
        <v>202</v>
      </c>
      <c r="V36" t="s">
        <v>18</v>
      </c>
      <c r="W36" t="s">
        <v>103</v>
      </c>
      <c r="X36" t="s">
        <v>103</v>
      </c>
      <c r="Y36" t="s">
        <v>103</v>
      </c>
      <c r="Z36" t="s">
        <v>18</v>
      </c>
      <c r="AA36" t="s">
        <v>18</v>
      </c>
    </row>
    <row r="37" spans="1:27" x14ac:dyDescent="0.25">
      <c r="A37">
        <v>10768961</v>
      </c>
      <c r="B37" t="s">
        <v>273</v>
      </c>
      <c r="C37" t="s">
        <v>48</v>
      </c>
      <c r="D37" t="s">
        <v>70</v>
      </c>
      <c r="E37" t="s">
        <v>274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100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19</v>
      </c>
      <c r="R37" s="2">
        <v>29946</v>
      </c>
      <c r="S37" t="s">
        <v>101</v>
      </c>
      <c r="T37" t="s">
        <v>102</v>
      </c>
      <c r="U37" t="s">
        <v>202</v>
      </c>
      <c r="V37" t="s">
        <v>18</v>
      </c>
      <c r="W37" t="s">
        <v>103</v>
      </c>
      <c r="X37" t="s">
        <v>103</v>
      </c>
      <c r="Y37" t="s">
        <v>103</v>
      </c>
      <c r="Z37" t="s">
        <v>18</v>
      </c>
      <c r="AA37">
        <v>43</v>
      </c>
    </row>
    <row r="38" spans="1:27" x14ac:dyDescent="0.25">
      <c r="A38">
        <v>10768185</v>
      </c>
      <c r="B38" t="s">
        <v>275</v>
      </c>
      <c r="C38" t="s">
        <v>152</v>
      </c>
      <c r="D38" t="s">
        <v>153</v>
      </c>
      <c r="E38" t="s">
        <v>276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19</v>
      </c>
      <c r="R38" s="2" t="s">
        <v>18</v>
      </c>
      <c r="S38" t="s">
        <v>101</v>
      </c>
      <c r="T38" t="s">
        <v>102</v>
      </c>
      <c r="U38" t="s">
        <v>202</v>
      </c>
      <c r="V38" t="s">
        <v>18</v>
      </c>
      <c r="W38" t="s">
        <v>103</v>
      </c>
      <c r="X38" t="s">
        <v>103</v>
      </c>
      <c r="Y38" t="s">
        <v>103</v>
      </c>
      <c r="Z38" t="s">
        <v>18</v>
      </c>
      <c r="AA38" t="s">
        <v>18</v>
      </c>
    </row>
    <row r="39" spans="1:27" x14ac:dyDescent="0.25">
      <c r="A39">
        <v>10767103</v>
      </c>
      <c r="B39" t="s">
        <v>277</v>
      </c>
      <c r="C39" t="s">
        <v>89</v>
      </c>
      <c r="D39" t="s">
        <v>87</v>
      </c>
      <c r="E39" t="s">
        <v>278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100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19</v>
      </c>
      <c r="R39" s="2">
        <v>28564</v>
      </c>
      <c r="S39" t="s">
        <v>101</v>
      </c>
      <c r="T39" t="s">
        <v>102</v>
      </c>
      <c r="U39" t="s">
        <v>202</v>
      </c>
      <c r="V39" t="s">
        <v>18</v>
      </c>
      <c r="W39" t="s">
        <v>103</v>
      </c>
      <c r="X39" t="s">
        <v>103</v>
      </c>
      <c r="Y39" t="s">
        <v>103</v>
      </c>
      <c r="Z39" t="s">
        <v>18</v>
      </c>
      <c r="AA39">
        <v>46</v>
      </c>
    </row>
    <row r="40" spans="1:27" x14ac:dyDescent="0.25">
      <c r="A40">
        <v>16913578</v>
      </c>
      <c r="B40" t="s">
        <v>279</v>
      </c>
      <c r="C40" t="s">
        <v>154</v>
      </c>
      <c r="D40" t="s">
        <v>155</v>
      </c>
      <c r="E40" t="s">
        <v>280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19</v>
      </c>
      <c r="R40" s="2" t="s">
        <v>18</v>
      </c>
      <c r="S40" t="s">
        <v>101</v>
      </c>
      <c r="T40" t="s">
        <v>102</v>
      </c>
      <c r="U40" t="s">
        <v>18</v>
      </c>
      <c r="V40" t="s">
        <v>18</v>
      </c>
      <c r="W40" t="s">
        <v>103</v>
      </c>
      <c r="X40" t="s">
        <v>103</v>
      </c>
      <c r="Y40" t="s">
        <v>18</v>
      </c>
      <c r="Z40" t="s">
        <v>18</v>
      </c>
      <c r="AA40" t="s">
        <v>18</v>
      </c>
    </row>
    <row r="41" spans="1:27" x14ac:dyDescent="0.25">
      <c r="A41">
        <v>10768789</v>
      </c>
      <c r="B41" t="s">
        <v>281</v>
      </c>
      <c r="C41" t="s">
        <v>56</v>
      </c>
      <c r="D41" t="s">
        <v>55</v>
      </c>
      <c r="E41" t="s">
        <v>282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100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19</v>
      </c>
      <c r="R41" s="2">
        <v>26450</v>
      </c>
      <c r="S41" t="s">
        <v>101</v>
      </c>
      <c r="T41" t="s">
        <v>102</v>
      </c>
      <c r="U41" t="s">
        <v>18</v>
      </c>
      <c r="V41" t="s">
        <v>18</v>
      </c>
      <c r="W41" t="s">
        <v>103</v>
      </c>
      <c r="X41" t="s">
        <v>103</v>
      </c>
      <c r="Y41" t="s">
        <v>18</v>
      </c>
      <c r="Z41" t="s">
        <v>18</v>
      </c>
      <c r="AA41">
        <v>52</v>
      </c>
    </row>
    <row r="42" spans="1:27" x14ac:dyDescent="0.25">
      <c r="A42">
        <v>10769232</v>
      </c>
      <c r="B42" t="s">
        <v>283</v>
      </c>
      <c r="C42" t="s">
        <v>156</v>
      </c>
      <c r="D42" t="s">
        <v>18</v>
      </c>
      <c r="E42" t="s">
        <v>284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19</v>
      </c>
      <c r="R42" s="2" t="s">
        <v>18</v>
      </c>
      <c r="S42" t="s">
        <v>101</v>
      </c>
      <c r="T42" t="s">
        <v>102</v>
      </c>
      <c r="U42" t="s">
        <v>18</v>
      </c>
      <c r="V42" t="s">
        <v>18</v>
      </c>
      <c r="W42" t="s">
        <v>103</v>
      </c>
      <c r="X42" t="s">
        <v>103</v>
      </c>
      <c r="Y42" t="s">
        <v>18</v>
      </c>
      <c r="Z42" t="s">
        <v>18</v>
      </c>
      <c r="AA42" t="s">
        <v>18</v>
      </c>
    </row>
    <row r="43" spans="1:27" x14ac:dyDescent="0.25">
      <c r="A43">
        <v>16307672</v>
      </c>
      <c r="B43" t="s">
        <v>285</v>
      </c>
      <c r="C43" t="s">
        <v>157</v>
      </c>
      <c r="D43" t="s">
        <v>73</v>
      </c>
      <c r="E43" t="s">
        <v>286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19</v>
      </c>
      <c r="R43" s="2" t="s">
        <v>18</v>
      </c>
      <c r="S43" t="s">
        <v>101</v>
      </c>
      <c r="T43" t="s">
        <v>102</v>
      </c>
      <c r="U43" t="s">
        <v>18</v>
      </c>
      <c r="V43" t="s">
        <v>18</v>
      </c>
      <c r="W43" t="s">
        <v>103</v>
      </c>
      <c r="X43" t="s">
        <v>103</v>
      </c>
      <c r="Y43" t="s">
        <v>18</v>
      </c>
      <c r="Z43" t="s">
        <v>18</v>
      </c>
      <c r="AA43" t="s">
        <v>18</v>
      </c>
    </row>
    <row r="44" spans="1:27" x14ac:dyDescent="0.25">
      <c r="A44">
        <v>10769282</v>
      </c>
      <c r="B44" t="s">
        <v>287</v>
      </c>
      <c r="C44" t="s">
        <v>158</v>
      </c>
      <c r="D44" t="s">
        <v>57</v>
      </c>
      <c r="E44" t="s">
        <v>288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19</v>
      </c>
      <c r="R44" s="2" t="s">
        <v>18</v>
      </c>
      <c r="S44" t="s">
        <v>101</v>
      </c>
      <c r="T44" t="s">
        <v>102</v>
      </c>
      <c r="U44" t="s">
        <v>18</v>
      </c>
      <c r="V44" t="s">
        <v>18</v>
      </c>
      <c r="W44" t="s">
        <v>103</v>
      </c>
      <c r="X44" t="s">
        <v>103</v>
      </c>
      <c r="Y44" t="s">
        <v>18</v>
      </c>
      <c r="Z44" t="s">
        <v>18</v>
      </c>
      <c r="AA44" t="s">
        <v>18</v>
      </c>
    </row>
    <row r="45" spans="1:27" x14ac:dyDescent="0.25">
      <c r="A45">
        <v>10767327</v>
      </c>
      <c r="B45" t="s">
        <v>289</v>
      </c>
      <c r="C45" t="s">
        <v>159</v>
      </c>
      <c r="D45" t="s">
        <v>137</v>
      </c>
      <c r="E45" t="s">
        <v>290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100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30</v>
      </c>
      <c r="R45" s="2" t="s">
        <v>18</v>
      </c>
      <c r="S45" t="s">
        <v>18</v>
      </c>
      <c r="T45" t="s">
        <v>148</v>
      </c>
      <c r="U45" t="s">
        <v>202</v>
      </c>
      <c r="V45" t="s">
        <v>18</v>
      </c>
      <c r="W45" t="s">
        <v>18</v>
      </c>
      <c r="X45" t="s">
        <v>103</v>
      </c>
      <c r="Y45" t="s">
        <v>103</v>
      </c>
      <c r="Z45" t="s">
        <v>18</v>
      </c>
      <c r="AA45" t="s">
        <v>18</v>
      </c>
    </row>
    <row r="46" spans="1:27" x14ac:dyDescent="0.25">
      <c r="A46">
        <v>11855882</v>
      </c>
      <c r="B46" t="s">
        <v>263</v>
      </c>
      <c r="C46" t="s">
        <v>143</v>
      </c>
      <c r="D46" t="s">
        <v>144</v>
      </c>
      <c r="E46" t="s">
        <v>264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122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30</v>
      </c>
      <c r="R46" s="2" t="s">
        <v>18</v>
      </c>
      <c r="S46" t="s">
        <v>18</v>
      </c>
      <c r="T46" t="s">
        <v>148</v>
      </c>
      <c r="U46" t="s">
        <v>202</v>
      </c>
      <c r="V46" t="s">
        <v>18</v>
      </c>
      <c r="W46" t="s">
        <v>18</v>
      </c>
      <c r="X46" t="s">
        <v>103</v>
      </c>
      <c r="Y46" t="s">
        <v>103</v>
      </c>
      <c r="Z46" t="s">
        <v>18</v>
      </c>
      <c r="AA46" t="s">
        <v>18</v>
      </c>
    </row>
    <row r="47" spans="1:27" x14ac:dyDescent="0.25">
      <c r="A47">
        <v>10530089</v>
      </c>
      <c r="B47" t="s">
        <v>291</v>
      </c>
      <c r="C47" t="s">
        <v>160</v>
      </c>
      <c r="D47" t="s">
        <v>92</v>
      </c>
      <c r="E47" t="s">
        <v>292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100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30</v>
      </c>
      <c r="R47" s="2" t="s">
        <v>18</v>
      </c>
      <c r="S47" t="s">
        <v>18</v>
      </c>
      <c r="T47" t="s">
        <v>148</v>
      </c>
      <c r="U47" t="s">
        <v>202</v>
      </c>
      <c r="V47" t="s">
        <v>18</v>
      </c>
      <c r="W47" t="s">
        <v>18</v>
      </c>
      <c r="X47" t="s">
        <v>103</v>
      </c>
      <c r="Y47" t="s">
        <v>103</v>
      </c>
      <c r="Z47" t="s">
        <v>18</v>
      </c>
      <c r="AA47" t="s">
        <v>18</v>
      </c>
    </row>
    <row r="48" spans="1:27" x14ac:dyDescent="0.25">
      <c r="A48">
        <v>10767111</v>
      </c>
      <c r="B48" t="s">
        <v>293</v>
      </c>
      <c r="C48" t="s">
        <v>76</v>
      </c>
      <c r="D48" t="s">
        <v>77</v>
      </c>
      <c r="E48" t="s">
        <v>294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100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30</v>
      </c>
      <c r="R48" s="2">
        <v>40196</v>
      </c>
      <c r="S48" t="s">
        <v>18</v>
      </c>
      <c r="T48" t="s">
        <v>148</v>
      </c>
      <c r="U48" t="s">
        <v>202</v>
      </c>
      <c r="V48" t="s">
        <v>18</v>
      </c>
      <c r="W48" t="s">
        <v>18</v>
      </c>
      <c r="X48" t="s">
        <v>103</v>
      </c>
      <c r="Y48" t="s">
        <v>103</v>
      </c>
      <c r="Z48" t="s">
        <v>18</v>
      </c>
      <c r="AA48">
        <v>14</v>
      </c>
    </row>
    <row r="49" spans="1:27" x14ac:dyDescent="0.25">
      <c r="A49">
        <v>10767129</v>
      </c>
      <c r="B49" t="s">
        <v>295</v>
      </c>
      <c r="C49" t="s">
        <v>83</v>
      </c>
      <c r="D49" t="s">
        <v>84</v>
      </c>
      <c r="E49" t="s">
        <v>296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100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30</v>
      </c>
      <c r="R49" s="2" t="s">
        <v>18</v>
      </c>
      <c r="S49" t="s">
        <v>18</v>
      </c>
      <c r="T49" t="s">
        <v>148</v>
      </c>
      <c r="U49" t="s">
        <v>202</v>
      </c>
      <c r="V49" t="s">
        <v>18</v>
      </c>
      <c r="W49" t="s">
        <v>18</v>
      </c>
      <c r="X49" t="s">
        <v>103</v>
      </c>
      <c r="Y49" t="s">
        <v>103</v>
      </c>
      <c r="Z49" t="s">
        <v>18</v>
      </c>
      <c r="AA49" t="s">
        <v>18</v>
      </c>
    </row>
    <row r="50" spans="1:27" x14ac:dyDescent="0.25">
      <c r="A50">
        <v>10769133</v>
      </c>
      <c r="B50" t="s">
        <v>297</v>
      </c>
      <c r="C50" t="s">
        <v>161</v>
      </c>
      <c r="D50" t="s">
        <v>162</v>
      </c>
      <c r="E50" t="s">
        <v>298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100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30</v>
      </c>
      <c r="R50" s="2" t="s">
        <v>18</v>
      </c>
      <c r="S50" t="s">
        <v>18</v>
      </c>
      <c r="T50" t="s">
        <v>148</v>
      </c>
      <c r="U50" t="s">
        <v>18</v>
      </c>
      <c r="V50" t="s">
        <v>18</v>
      </c>
      <c r="W50" t="s">
        <v>18</v>
      </c>
      <c r="X50" t="s">
        <v>150</v>
      </c>
      <c r="Y50" t="s">
        <v>18</v>
      </c>
      <c r="Z50" t="s">
        <v>18</v>
      </c>
      <c r="AA50" t="s">
        <v>18</v>
      </c>
    </row>
    <row r="51" spans="1:27" x14ac:dyDescent="0.25">
      <c r="A51">
        <v>16952906</v>
      </c>
      <c r="B51" t="s">
        <v>299</v>
      </c>
      <c r="C51" t="s">
        <v>163</v>
      </c>
      <c r="D51" t="s">
        <v>164</v>
      </c>
      <c r="E51" t="s">
        <v>300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123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30</v>
      </c>
      <c r="R51" s="2" t="s">
        <v>18</v>
      </c>
      <c r="S51" t="s">
        <v>18</v>
      </c>
      <c r="T51" t="s">
        <v>148</v>
      </c>
      <c r="U51" t="s">
        <v>202</v>
      </c>
      <c r="V51" t="s">
        <v>18</v>
      </c>
      <c r="W51" t="s">
        <v>18</v>
      </c>
      <c r="X51" t="s">
        <v>150</v>
      </c>
      <c r="Y51" t="s">
        <v>150</v>
      </c>
      <c r="Z51" t="s">
        <v>18</v>
      </c>
      <c r="AA51" t="s">
        <v>18</v>
      </c>
    </row>
    <row r="52" spans="1:27" x14ac:dyDescent="0.25">
      <c r="A52">
        <v>4412475</v>
      </c>
      <c r="B52" t="s">
        <v>301</v>
      </c>
      <c r="C52" t="s">
        <v>165</v>
      </c>
      <c r="D52" t="s">
        <v>166</v>
      </c>
      <c r="E52" t="s">
        <v>302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123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30</v>
      </c>
      <c r="R52" s="2" t="s">
        <v>18</v>
      </c>
      <c r="S52" t="s">
        <v>18</v>
      </c>
      <c r="T52" t="s">
        <v>148</v>
      </c>
      <c r="U52" t="s">
        <v>18</v>
      </c>
      <c r="V52" t="s">
        <v>18</v>
      </c>
      <c r="W52" t="s">
        <v>18</v>
      </c>
      <c r="X52" t="s">
        <v>150</v>
      </c>
      <c r="Y52" t="s">
        <v>18</v>
      </c>
      <c r="Z52" t="s">
        <v>18</v>
      </c>
      <c r="AA52" t="s">
        <v>18</v>
      </c>
    </row>
    <row r="53" spans="1:27" x14ac:dyDescent="0.25">
      <c r="A53">
        <v>13405065</v>
      </c>
      <c r="B53" t="s">
        <v>303</v>
      </c>
      <c r="C53" t="s">
        <v>167</v>
      </c>
      <c r="D53" t="s">
        <v>79</v>
      </c>
      <c r="E53" t="s">
        <v>304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100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30</v>
      </c>
      <c r="R53" s="2" t="s">
        <v>18</v>
      </c>
      <c r="S53" t="s">
        <v>18</v>
      </c>
      <c r="T53" t="s">
        <v>148</v>
      </c>
      <c r="U53" t="s">
        <v>18</v>
      </c>
      <c r="V53" t="s">
        <v>18</v>
      </c>
      <c r="W53" t="s">
        <v>18</v>
      </c>
      <c r="X53" t="s">
        <v>150</v>
      </c>
      <c r="Y53" t="s">
        <v>18</v>
      </c>
      <c r="Z53" t="s">
        <v>18</v>
      </c>
      <c r="AA53" t="s">
        <v>18</v>
      </c>
    </row>
    <row r="54" spans="1:27" x14ac:dyDescent="0.25">
      <c r="A54">
        <v>16953251</v>
      </c>
      <c r="B54" t="s">
        <v>305</v>
      </c>
      <c r="C54" t="s">
        <v>168</v>
      </c>
      <c r="D54" t="s">
        <v>133</v>
      </c>
      <c r="E54" t="s">
        <v>306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123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30</v>
      </c>
      <c r="R54" s="2" t="s">
        <v>18</v>
      </c>
      <c r="S54" t="s">
        <v>18</v>
      </c>
      <c r="T54" t="s">
        <v>148</v>
      </c>
      <c r="U54" t="s">
        <v>18</v>
      </c>
      <c r="V54" t="s">
        <v>18</v>
      </c>
      <c r="W54" t="s">
        <v>18</v>
      </c>
      <c r="X54" t="s">
        <v>150</v>
      </c>
      <c r="Y54" t="s">
        <v>18</v>
      </c>
      <c r="Z54" t="s">
        <v>18</v>
      </c>
      <c r="AA54" t="s">
        <v>18</v>
      </c>
    </row>
    <row r="55" spans="1:27" x14ac:dyDescent="0.25">
      <c r="A55">
        <v>1178913</v>
      </c>
      <c r="B55" t="s">
        <v>307</v>
      </c>
      <c r="C55" t="s">
        <v>169</v>
      </c>
      <c r="D55" t="s">
        <v>170</v>
      </c>
      <c r="E55" t="s">
        <v>308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123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30</v>
      </c>
      <c r="R55" s="2" t="s">
        <v>18</v>
      </c>
      <c r="S55" t="s">
        <v>18</v>
      </c>
      <c r="T55" t="s">
        <v>148</v>
      </c>
      <c r="U55" t="s">
        <v>18</v>
      </c>
      <c r="V55" t="s">
        <v>18</v>
      </c>
      <c r="W55" t="s">
        <v>18</v>
      </c>
      <c r="X55" t="s">
        <v>150</v>
      </c>
      <c r="Y55" t="s">
        <v>18</v>
      </c>
      <c r="Z55" t="s">
        <v>18</v>
      </c>
      <c r="AA55" t="s">
        <v>18</v>
      </c>
    </row>
    <row r="56" spans="1:27" x14ac:dyDescent="0.25">
      <c r="A56">
        <v>16953235</v>
      </c>
      <c r="B56" t="s">
        <v>309</v>
      </c>
      <c r="C56" t="s">
        <v>171</v>
      </c>
      <c r="D56" t="s">
        <v>172</v>
      </c>
      <c r="E56" t="s">
        <v>310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123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30</v>
      </c>
      <c r="R56" s="2" t="s">
        <v>18</v>
      </c>
      <c r="S56" t="s">
        <v>18</v>
      </c>
      <c r="T56" t="s">
        <v>148</v>
      </c>
      <c r="U56" t="s">
        <v>202</v>
      </c>
      <c r="V56" t="s">
        <v>18</v>
      </c>
      <c r="W56" t="s">
        <v>18</v>
      </c>
      <c r="X56" t="s">
        <v>150</v>
      </c>
      <c r="Y56" t="s">
        <v>150</v>
      </c>
      <c r="Z56" t="s">
        <v>18</v>
      </c>
      <c r="AA56" t="s">
        <v>18</v>
      </c>
    </row>
    <row r="57" spans="1:27" x14ac:dyDescent="0.25">
      <c r="A57">
        <v>10766197</v>
      </c>
      <c r="B57" t="s">
        <v>311</v>
      </c>
      <c r="C57" t="s">
        <v>60</v>
      </c>
      <c r="D57" t="s">
        <v>58</v>
      </c>
      <c r="E57" t="s">
        <v>312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100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30</v>
      </c>
      <c r="R57" s="2">
        <v>25910</v>
      </c>
      <c r="S57" t="s">
        <v>18</v>
      </c>
      <c r="T57" t="s">
        <v>148</v>
      </c>
      <c r="U57" t="s">
        <v>18</v>
      </c>
      <c r="V57" t="s">
        <v>18</v>
      </c>
      <c r="W57" t="s">
        <v>18</v>
      </c>
      <c r="X57" t="s">
        <v>150</v>
      </c>
      <c r="Y57" t="s">
        <v>18</v>
      </c>
      <c r="Z57" t="s">
        <v>18</v>
      </c>
      <c r="AA57">
        <v>54</v>
      </c>
    </row>
    <row r="58" spans="1:27" x14ac:dyDescent="0.25">
      <c r="A58">
        <v>11857763</v>
      </c>
      <c r="B58" t="s">
        <v>313</v>
      </c>
      <c r="C58" t="s">
        <v>173</v>
      </c>
      <c r="D58" t="s">
        <v>174</v>
      </c>
      <c r="E58" t="s">
        <v>314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122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30</v>
      </c>
      <c r="R58" s="2" t="s">
        <v>18</v>
      </c>
      <c r="S58" t="s">
        <v>18</v>
      </c>
      <c r="T58" t="s">
        <v>148</v>
      </c>
      <c r="U58" t="s">
        <v>202</v>
      </c>
      <c r="V58" t="s">
        <v>18</v>
      </c>
      <c r="W58" t="s">
        <v>18</v>
      </c>
      <c r="X58" t="s">
        <v>150</v>
      </c>
      <c r="Y58" t="s">
        <v>150</v>
      </c>
      <c r="Z58" t="s">
        <v>18</v>
      </c>
      <c r="AA58" t="s">
        <v>18</v>
      </c>
    </row>
    <row r="59" spans="1:27" x14ac:dyDescent="0.25">
      <c r="A59">
        <v>16952261</v>
      </c>
      <c r="B59" t="s">
        <v>315</v>
      </c>
      <c r="C59" t="s">
        <v>175</v>
      </c>
      <c r="D59" t="s">
        <v>92</v>
      </c>
      <c r="E59" t="s">
        <v>316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123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30</v>
      </c>
      <c r="R59" s="2" t="s">
        <v>18</v>
      </c>
      <c r="S59" t="s">
        <v>18</v>
      </c>
      <c r="T59" t="s">
        <v>148</v>
      </c>
      <c r="U59" t="s">
        <v>18</v>
      </c>
      <c r="V59" t="s">
        <v>18</v>
      </c>
      <c r="W59" t="s">
        <v>18</v>
      </c>
      <c r="X59" t="s">
        <v>150</v>
      </c>
      <c r="Y59" t="s">
        <v>18</v>
      </c>
      <c r="Z59" t="s">
        <v>18</v>
      </c>
      <c r="AA59" t="s">
        <v>18</v>
      </c>
    </row>
    <row r="60" spans="1:27" x14ac:dyDescent="0.25">
      <c r="A60">
        <v>10766189</v>
      </c>
      <c r="B60" t="s">
        <v>317</v>
      </c>
      <c r="C60" t="s">
        <v>80</v>
      </c>
      <c r="D60" t="s">
        <v>75</v>
      </c>
      <c r="E60" t="s">
        <v>318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100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30</v>
      </c>
      <c r="R60" s="2">
        <v>36408</v>
      </c>
      <c r="S60" t="s">
        <v>18</v>
      </c>
      <c r="T60" t="s">
        <v>148</v>
      </c>
      <c r="U60" t="s">
        <v>202</v>
      </c>
      <c r="V60" t="s">
        <v>18</v>
      </c>
      <c r="W60" t="s">
        <v>18</v>
      </c>
      <c r="X60" t="s">
        <v>150</v>
      </c>
      <c r="Y60" t="s">
        <v>150</v>
      </c>
      <c r="Z60" t="s">
        <v>18</v>
      </c>
      <c r="AA60">
        <v>25</v>
      </c>
    </row>
    <row r="61" spans="1:27" x14ac:dyDescent="0.25">
      <c r="A61">
        <v>16952964</v>
      </c>
      <c r="B61" t="s">
        <v>319</v>
      </c>
      <c r="C61" t="s">
        <v>176</v>
      </c>
      <c r="D61" t="s">
        <v>177</v>
      </c>
      <c r="E61" t="s">
        <v>320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123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30</v>
      </c>
      <c r="R61" s="2" t="s">
        <v>18</v>
      </c>
      <c r="S61" t="s">
        <v>18</v>
      </c>
      <c r="T61" t="s">
        <v>148</v>
      </c>
      <c r="U61" t="s">
        <v>18</v>
      </c>
      <c r="V61" t="s">
        <v>18</v>
      </c>
      <c r="W61" t="s">
        <v>18</v>
      </c>
      <c r="X61" t="s">
        <v>150</v>
      </c>
      <c r="Y61" t="s">
        <v>18</v>
      </c>
      <c r="Z61" t="s">
        <v>18</v>
      </c>
      <c r="AA61" t="s">
        <v>18</v>
      </c>
    </row>
    <row r="62" spans="1:27" x14ac:dyDescent="0.25">
      <c r="A62">
        <v>10769216</v>
      </c>
      <c r="B62" t="s">
        <v>321</v>
      </c>
      <c r="C62" t="s">
        <v>188</v>
      </c>
      <c r="D62" t="s">
        <v>68</v>
      </c>
      <c r="E62" t="s">
        <v>322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201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19</v>
      </c>
      <c r="R62" s="2" t="s">
        <v>18</v>
      </c>
      <c r="S62" t="s">
        <v>18</v>
      </c>
      <c r="T62" t="s">
        <v>18</v>
      </c>
      <c r="U62" t="s">
        <v>202</v>
      </c>
      <c r="V62" t="s">
        <v>18</v>
      </c>
      <c r="W62" t="s">
        <v>18</v>
      </c>
      <c r="X62" t="s">
        <v>18</v>
      </c>
      <c r="Y62" t="s">
        <v>103</v>
      </c>
      <c r="Z62" t="s">
        <v>18</v>
      </c>
      <c r="AA62" t="s">
        <v>18</v>
      </c>
    </row>
    <row r="63" spans="1:27" x14ac:dyDescent="0.25">
      <c r="A63">
        <v>16952378</v>
      </c>
      <c r="B63" t="s">
        <v>323</v>
      </c>
      <c r="C63" t="s">
        <v>189</v>
      </c>
      <c r="D63" t="s">
        <v>41</v>
      </c>
      <c r="E63" t="s">
        <v>324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123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19</v>
      </c>
      <c r="R63" s="2" t="s">
        <v>18</v>
      </c>
      <c r="S63" t="s">
        <v>18</v>
      </c>
      <c r="T63" t="s">
        <v>18</v>
      </c>
      <c r="U63" t="s">
        <v>202</v>
      </c>
      <c r="V63" t="s">
        <v>18</v>
      </c>
      <c r="W63" t="s">
        <v>18</v>
      </c>
      <c r="X63" t="s">
        <v>18</v>
      </c>
      <c r="Y63" t="s">
        <v>150</v>
      </c>
      <c r="Z63" t="s">
        <v>18</v>
      </c>
      <c r="AA63" t="s">
        <v>18</v>
      </c>
    </row>
    <row r="64" spans="1:27" x14ac:dyDescent="0.25">
      <c r="A64">
        <v>16953227</v>
      </c>
      <c r="B64" t="s">
        <v>325</v>
      </c>
      <c r="C64" t="s">
        <v>190</v>
      </c>
      <c r="D64" t="s">
        <v>53</v>
      </c>
      <c r="E64" t="s">
        <v>326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123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19</v>
      </c>
      <c r="R64" s="2" t="s">
        <v>18</v>
      </c>
      <c r="S64" t="s">
        <v>18</v>
      </c>
      <c r="T64" t="s">
        <v>18</v>
      </c>
      <c r="U64" t="s">
        <v>202</v>
      </c>
      <c r="V64" t="s">
        <v>18</v>
      </c>
      <c r="W64" t="s">
        <v>18</v>
      </c>
      <c r="X64" t="s">
        <v>18</v>
      </c>
      <c r="Y64" t="s">
        <v>150</v>
      </c>
      <c r="Z64" t="s">
        <v>18</v>
      </c>
      <c r="AA64" t="s">
        <v>18</v>
      </c>
    </row>
    <row r="65" spans="1:27" x14ac:dyDescent="0.25">
      <c r="A65">
        <v>10768060</v>
      </c>
      <c r="B65" t="s">
        <v>327</v>
      </c>
      <c r="C65" t="s">
        <v>191</v>
      </c>
      <c r="D65" t="s">
        <v>180</v>
      </c>
      <c r="E65" t="s">
        <v>328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100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19</v>
      </c>
      <c r="R65" s="2" t="s">
        <v>18</v>
      </c>
      <c r="S65" t="s">
        <v>18</v>
      </c>
      <c r="T65" t="s">
        <v>18</v>
      </c>
      <c r="U65" t="s">
        <v>202</v>
      </c>
      <c r="V65" t="s">
        <v>18</v>
      </c>
      <c r="W65" t="s">
        <v>18</v>
      </c>
      <c r="X65" t="s">
        <v>18</v>
      </c>
      <c r="Y65" t="s">
        <v>150</v>
      </c>
      <c r="Z65" t="s">
        <v>18</v>
      </c>
      <c r="AA65" t="s">
        <v>18</v>
      </c>
    </row>
    <row r="66" spans="1:27" x14ac:dyDescent="0.25">
      <c r="A66">
        <v>10767153</v>
      </c>
      <c r="B66" t="s">
        <v>329</v>
      </c>
      <c r="C66" t="s">
        <v>71</v>
      </c>
      <c r="D66" t="s">
        <v>64</v>
      </c>
      <c r="E66" t="s">
        <v>330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100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19</v>
      </c>
      <c r="R66" s="2">
        <v>31848</v>
      </c>
      <c r="S66" t="s">
        <v>18</v>
      </c>
      <c r="T66" t="s">
        <v>18</v>
      </c>
      <c r="U66" t="s">
        <v>202</v>
      </c>
      <c r="V66" t="s">
        <v>18</v>
      </c>
      <c r="W66" t="s">
        <v>18</v>
      </c>
      <c r="X66" t="s">
        <v>18</v>
      </c>
      <c r="Y66" t="s">
        <v>150</v>
      </c>
      <c r="Z66" t="s">
        <v>18</v>
      </c>
      <c r="AA66">
        <v>37</v>
      </c>
    </row>
    <row r="67" spans="1:27" x14ac:dyDescent="0.25">
      <c r="A67">
        <v>16952881</v>
      </c>
      <c r="B67" t="s">
        <v>331</v>
      </c>
      <c r="C67" t="s">
        <v>192</v>
      </c>
      <c r="D67" t="s">
        <v>181</v>
      </c>
      <c r="E67" t="s">
        <v>332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123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19</v>
      </c>
      <c r="R67" s="2" t="s">
        <v>18</v>
      </c>
      <c r="S67" t="s">
        <v>18</v>
      </c>
      <c r="T67" t="s">
        <v>18</v>
      </c>
      <c r="U67" t="s">
        <v>202</v>
      </c>
      <c r="V67" t="s">
        <v>18</v>
      </c>
      <c r="W67" t="s">
        <v>18</v>
      </c>
      <c r="X67" t="s">
        <v>18</v>
      </c>
      <c r="Y67" t="s">
        <v>150</v>
      </c>
      <c r="Z67" t="s">
        <v>18</v>
      </c>
      <c r="AA67" t="s">
        <v>18</v>
      </c>
    </row>
    <row r="68" spans="1:27" x14ac:dyDescent="0.25">
      <c r="A68">
        <v>11855303</v>
      </c>
      <c r="B68" t="s">
        <v>333</v>
      </c>
      <c r="C68" t="s">
        <v>193</v>
      </c>
      <c r="D68" t="s">
        <v>182</v>
      </c>
      <c r="E68" t="s">
        <v>334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122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19</v>
      </c>
      <c r="R68" s="2" t="s">
        <v>18</v>
      </c>
      <c r="S68" t="s">
        <v>18</v>
      </c>
      <c r="T68" t="s">
        <v>18</v>
      </c>
      <c r="U68" t="s">
        <v>202</v>
      </c>
      <c r="V68" t="s">
        <v>18</v>
      </c>
      <c r="W68" t="s">
        <v>18</v>
      </c>
      <c r="X68" t="s">
        <v>18</v>
      </c>
      <c r="Y68" t="s">
        <v>150</v>
      </c>
      <c r="Z68" t="s">
        <v>18</v>
      </c>
      <c r="AA68" t="s">
        <v>18</v>
      </c>
    </row>
    <row r="69" spans="1:27" x14ac:dyDescent="0.25">
      <c r="A69">
        <v>11855155</v>
      </c>
      <c r="B69" t="s">
        <v>335</v>
      </c>
      <c r="C69" t="s">
        <v>194</v>
      </c>
      <c r="D69" t="s">
        <v>183</v>
      </c>
      <c r="E69" t="s">
        <v>336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122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19</v>
      </c>
      <c r="R69" s="2" t="s">
        <v>18</v>
      </c>
      <c r="S69" t="s">
        <v>18</v>
      </c>
      <c r="T69" t="s">
        <v>18</v>
      </c>
      <c r="U69" t="s">
        <v>202</v>
      </c>
      <c r="V69" t="s">
        <v>18</v>
      </c>
      <c r="W69" t="s">
        <v>18</v>
      </c>
      <c r="X69" t="s">
        <v>18</v>
      </c>
      <c r="Y69" t="s">
        <v>150</v>
      </c>
      <c r="Z69" t="s">
        <v>18</v>
      </c>
      <c r="AA69" t="s">
        <v>18</v>
      </c>
    </row>
    <row r="70" spans="1:27" x14ac:dyDescent="0.25">
      <c r="A70">
        <v>10769092</v>
      </c>
      <c r="B70" t="s">
        <v>337</v>
      </c>
      <c r="C70" t="s">
        <v>195</v>
      </c>
      <c r="D70" t="s">
        <v>36</v>
      </c>
      <c r="E70" t="s">
        <v>338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100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19</v>
      </c>
      <c r="R70" s="2" t="s">
        <v>18</v>
      </c>
      <c r="S70" t="s">
        <v>18</v>
      </c>
      <c r="T70" t="s">
        <v>18</v>
      </c>
      <c r="U70" t="s">
        <v>202</v>
      </c>
      <c r="V70" t="s">
        <v>18</v>
      </c>
      <c r="W70" t="s">
        <v>18</v>
      </c>
      <c r="X70" t="s">
        <v>18</v>
      </c>
      <c r="Y70" t="s">
        <v>150</v>
      </c>
      <c r="Z70" t="s">
        <v>18</v>
      </c>
      <c r="AA70" t="s">
        <v>18</v>
      </c>
    </row>
    <row r="71" spans="1:27" x14ac:dyDescent="0.25">
      <c r="A71">
        <v>10766303</v>
      </c>
      <c r="B71" t="s">
        <v>339</v>
      </c>
      <c r="C71" t="s">
        <v>196</v>
      </c>
      <c r="D71" t="s">
        <v>32</v>
      </c>
      <c r="E71" t="s">
        <v>340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100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19</v>
      </c>
      <c r="R71" s="2" t="s">
        <v>18</v>
      </c>
      <c r="S71" t="s">
        <v>18</v>
      </c>
      <c r="T71" t="s">
        <v>18</v>
      </c>
      <c r="U71" t="s">
        <v>202</v>
      </c>
      <c r="V71" t="s">
        <v>18</v>
      </c>
      <c r="W71" t="s">
        <v>18</v>
      </c>
      <c r="X71" t="s">
        <v>18</v>
      </c>
      <c r="Y71" t="s">
        <v>150</v>
      </c>
      <c r="Z71" t="s">
        <v>18</v>
      </c>
      <c r="AA71" t="s">
        <v>18</v>
      </c>
    </row>
    <row r="72" spans="1:27" x14ac:dyDescent="0.25">
      <c r="A72">
        <v>10769349</v>
      </c>
      <c r="B72" t="s">
        <v>341</v>
      </c>
      <c r="C72" t="s">
        <v>90</v>
      </c>
      <c r="D72" t="s">
        <v>82</v>
      </c>
      <c r="E72" t="s">
        <v>342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100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30</v>
      </c>
      <c r="R72" s="2">
        <v>32678</v>
      </c>
      <c r="S72" t="s">
        <v>18</v>
      </c>
      <c r="T72" t="s">
        <v>18</v>
      </c>
      <c r="U72" t="s">
        <v>202</v>
      </c>
      <c r="V72" t="s">
        <v>18</v>
      </c>
      <c r="W72" t="s">
        <v>18</v>
      </c>
      <c r="X72" t="s">
        <v>18</v>
      </c>
      <c r="Y72" t="s">
        <v>150</v>
      </c>
      <c r="Z72" t="s">
        <v>18</v>
      </c>
      <c r="AA72">
        <v>35</v>
      </c>
    </row>
    <row r="73" spans="1:27" x14ac:dyDescent="0.25">
      <c r="A73">
        <v>10766254</v>
      </c>
      <c r="B73" t="s">
        <v>343</v>
      </c>
      <c r="C73" t="s">
        <v>197</v>
      </c>
      <c r="D73" t="s">
        <v>184</v>
      </c>
      <c r="E73" t="s">
        <v>344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100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30</v>
      </c>
      <c r="R73" s="2" t="s">
        <v>18</v>
      </c>
      <c r="S73" t="s">
        <v>18</v>
      </c>
      <c r="T73" t="s">
        <v>18</v>
      </c>
      <c r="U73" t="s">
        <v>202</v>
      </c>
      <c r="V73" t="s">
        <v>18</v>
      </c>
      <c r="W73" t="s">
        <v>18</v>
      </c>
      <c r="X73" t="s">
        <v>18</v>
      </c>
      <c r="Y73" t="s">
        <v>150</v>
      </c>
      <c r="Z73" t="s">
        <v>18</v>
      </c>
      <c r="AA73" t="s">
        <v>18</v>
      </c>
    </row>
    <row r="74" spans="1:27" x14ac:dyDescent="0.25">
      <c r="A74">
        <v>10766296</v>
      </c>
      <c r="B74" t="s">
        <v>345</v>
      </c>
      <c r="C74" t="s">
        <v>72</v>
      </c>
      <c r="D74" t="s">
        <v>51</v>
      </c>
      <c r="E74" t="s">
        <v>346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100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19</v>
      </c>
      <c r="R74" s="2" t="s">
        <v>18</v>
      </c>
      <c r="S74" t="s">
        <v>18</v>
      </c>
      <c r="T74" t="s">
        <v>18</v>
      </c>
      <c r="U74" t="s">
        <v>202</v>
      </c>
      <c r="V74" t="s">
        <v>18</v>
      </c>
      <c r="W74" t="s">
        <v>18</v>
      </c>
      <c r="X74" t="s">
        <v>18</v>
      </c>
      <c r="Y74" t="s">
        <v>150</v>
      </c>
      <c r="Z74" t="s">
        <v>18</v>
      </c>
      <c r="AA74" t="s">
        <v>18</v>
      </c>
    </row>
    <row r="75" spans="1:27" x14ac:dyDescent="0.25">
      <c r="A75">
        <v>16953053</v>
      </c>
      <c r="B75" t="s">
        <v>347</v>
      </c>
      <c r="C75" t="s">
        <v>198</v>
      </c>
      <c r="D75" t="s">
        <v>185</v>
      </c>
      <c r="E75" t="s">
        <v>348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123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19</v>
      </c>
      <c r="R75" s="2" t="s">
        <v>18</v>
      </c>
      <c r="S75" t="s">
        <v>18</v>
      </c>
      <c r="T75" t="s">
        <v>18</v>
      </c>
      <c r="U75" t="s">
        <v>202</v>
      </c>
      <c r="V75" t="s">
        <v>18</v>
      </c>
      <c r="W75" t="s">
        <v>18</v>
      </c>
      <c r="X75" t="s">
        <v>18</v>
      </c>
      <c r="Y75" t="s">
        <v>150</v>
      </c>
      <c r="Z75" t="s">
        <v>18</v>
      </c>
      <c r="AA75" t="s">
        <v>18</v>
      </c>
    </row>
    <row r="76" spans="1:27" x14ac:dyDescent="0.25">
      <c r="A76">
        <v>10765983</v>
      </c>
      <c r="B76" t="s">
        <v>349</v>
      </c>
      <c r="C76" t="s">
        <v>74</v>
      </c>
      <c r="D76" t="s">
        <v>64</v>
      </c>
      <c r="E76" t="s">
        <v>350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100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19</v>
      </c>
      <c r="R76" s="2" t="s">
        <v>18</v>
      </c>
      <c r="S76" t="s">
        <v>18</v>
      </c>
      <c r="T76" t="s">
        <v>18</v>
      </c>
      <c r="U76" t="s">
        <v>202</v>
      </c>
      <c r="V76" t="s">
        <v>18</v>
      </c>
      <c r="W76" t="s">
        <v>18</v>
      </c>
      <c r="X76" t="s">
        <v>18</v>
      </c>
      <c r="Y76" t="s">
        <v>150</v>
      </c>
      <c r="Z76" t="s">
        <v>18</v>
      </c>
      <c r="AA76" t="s">
        <v>18</v>
      </c>
    </row>
    <row r="77" spans="1:27" x14ac:dyDescent="0.25">
      <c r="A77">
        <v>16953061</v>
      </c>
      <c r="B77" t="s">
        <v>351</v>
      </c>
      <c r="C77" t="s">
        <v>199</v>
      </c>
      <c r="D77" t="s">
        <v>54</v>
      </c>
      <c r="E77" t="s">
        <v>352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123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19</v>
      </c>
      <c r="R77" s="2" t="s">
        <v>18</v>
      </c>
      <c r="S77" t="s">
        <v>18</v>
      </c>
      <c r="T77" t="s">
        <v>18</v>
      </c>
      <c r="U77" t="s">
        <v>202</v>
      </c>
      <c r="V77" t="s">
        <v>18</v>
      </c>
      <c r="W77" t="s">
        <v>18</v>
      </c>
      <c r="X77" t="s">
        <v>18</v>
      </c>
      <c r="Y77" t="s">
        <v>150</v>
      </c>
      <c r="Z77" t="s">
        <v>18</v>
      </c>
      <c r="AA77" t="s">
        <v>18</v>
      </c>
    </row>
    <row r="78" spans="1:27" x14ac:dyDescent="0.25">
      <c r="A78">
        <v>10605866</v>
      </c>
      <c r="B78" t="s">
        <v>353</v>
      </c>
      <c r="C78" t="s">
        <v>47</v>
      </c>
      <c r="D78" t="s">
        <v>186</v>
      </c>
      <c r="E78" t="s">
        <v>354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100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19</v>
      </c>
      <c r="R78" s="2">
        <v>30220</v>
      </c>
      <c r="S78" t="s">
        <v>18</v>
      </c>
      <c r="T78" t="s">
        <v>18</v>
      </c>
      <c r="U78" t="s">
        <v>202</v>
      </c>
      <c r="V78" t="s">
        <v>18</v>
      </c>
      <c r="W78" t="s">
        <v>18</v>
      </c>
      <c r="X78" t="s">
        <v>18</v>
      </c>
      <c r="Y78" t="s">
        <v>150</v>
      </c>
      <c r="Z78" t="s">
        <v>18</v>
      </c>
      <c r="AA78">
        <v>42</v>
      </c>
    </row>
    <row r="79" spans="1:27" x14ac:dyDescent="0.25">
      <c r="A79">
        <v>10574079</v>
      </c>
      <c r="B79" t="s">
        <v>355</v>
      </c>
      <c r="C79" t="s">
        <v>200</v>
      </c>
      <c r="D79" t="s">
        <v>86</v>
      </c>
      <c r="E79" t="s">
        <v>356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100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30</v>
      </c>
      <c r="R79" s="2" t="s">
        <v>18</v>
      </c>
      <c r="S79" t="s">
        <v>18</v>
      </c>
      <c r="T79" t="s">
        <v>18</v>
      </c>
      <c r="U79" t="s">
        <v>202</v>
      </c>
      <c r="V79" t="s">
        <v>18</v>
      </c>
      <c r="W79" t="s">
        <v>18</v>
      </c>
      <c r="X79" t="s">
        <v>18</v>
      </c>
      <c r="Y79" t="s">
        <v>150</v>
      </c>
      <c r="Z79" t="s">
        <v>18</v>
      </c>
      <c r="AA79" t="s">
        <v>18</v>
      </c>
    </row>
    <row r="80" spans="1:27" x14ac:dyDescent="0.25">
      <c r="A80">
        <v>10574095</v>
      </c>
      <c r="B80" t="s">
        <v>357</v>
      </c>
      <c r="C80" t="s">
        <v>78</v>
      </c>
      <c r="D80" t="s">
        <v>61</v>
      </c>
      <c r="E80" t="s">
        <v>358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30</v>
      </c>
      <c r="R80" s="2">
        <v>35388</v>
      </c>
      <c r="S80" t="s">
        <v>18</v>
      </c>
      <c r="T80" t="s">
        <v>18</v>
      </c>
      <c r="U80" t="s">
        <v>18</v>
      </c>
      <c r="V80" t="s">
        <v>18</v>
      </c>
      <c r="W80" t="s">
        <v>18</v>
      </c>
      <c r="X80" t="s">
        <v>18</v>
      </c>
      <c r="Y80" t="s">
        <v>18</v>
      </c>
      <c r="Z80" t="s">
        <v>18</v>
      </c>
      <c r="AA80">
        <v>28</v>
      </c>
    </row>
  </sheetData>
  <conditionalFormatting sqref="C1">
    <cfRule type="duplicateValues" dxfId="18" priority="11"/>
  </conditionalFormatting>
  <conditionalFormatting sqref="A1">
    <cfRule type="duplicateValues" dxfId="17" priority="10"/>
  </conditionalFormatting>
  <conditionalFormatting sqref="B1">
    <cfRule type="duplicateValues" dxfId="16" priority="9"/>
  </conditionalFormatting>
  <conditionalFormatting sqref="E1">
    <cfRule type="duplicateValues" dxfId="15" priority="8"/>
  </conditionalFormatting>
  <conditionalFormatting sqref="A36:A60">
    <cfRule type="duplicateValues" dxfId="14" priority="7"/>
  </conditionalFormatting>
  <conditionalFormatting sqref="A2:A60">
    <cfRule type="duplicateValues" dxfId="13" priority="6"/>
  </conditionalFormatting>
  <conditionalFormatting sqref="A61:A80">
    <cfRule type="duplicateValues" dxfId="12" priority="5"/>
  </conditionalFormatting>
  <conditionalFormatting sqref="A61:A80">
    <cfRule type="duplicateValues" dxfId="11" priority="4"/>
  </conditionalFormatting>
  <conditionalFormatting sqref="A2:A80">
    <cfRule type="duplicateValues" dxfId="10" priority="3"/>
  </conditionalFormatting>
  <conditionalFormatting sqref="A2:A80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"/>
  <sheetViews>
    <sheetView tabSelected="1" topLeftCell="A46" workbookViewId="0">
      <selection activeCell="A65" sqref="A65"/>
    </sheetView>
  </sheetViews>
  <sheetFormatPr baseColWidth="10" defaultRowHeight="15" x14ac:dyDescent="0.25"/>
  <cols>
    <col min="2" max="2" width="34.28515625" bestFit="1" customWidth="1"/>
    <col min="3" max="3" width="14.42578125" bestFit="1" customWidth="1"/>
    <col min="5" max="5" width="22.28515625" bestFit="1" customWidth="1"/>
  </cols>
  <sheetData>
    <row r="1" spans="1:27" x14ac:dyDescent="0.25">
      <c r="A1" t="s">
        <v>0</v>
      </c>
      <c r="B1" t="s">
        <v>93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96</v>
      </c>
      <c r="T1" t="s">
        <v>97</v>
      </c>
      <c r="U1" t="s">
        <v>178</v>
      </c>
      <c r="V1" t="s">
        <v>16</v>
      </c>
      <c r="W1" t="s">
        <v>98</v>
      </c>
      <c r="X1" t="s">
        <v>99</v>
      </c>
      <c r="Y1" t="s">
        <v>179</v>
      </c>
      <c r="Z1" t="s">
        <v>17</v>
      </c>
      <c r="AA1" t="s">
        <v>50</v>
      </c>
    </row>
    <row r="2" spans="1:27" x14ac:dyDescent="0.25">
      <c r="A2">
        <v>1178913</v>
      </c>
      <c r="B2" t="s">
        <v>699</v>
      </c>
      <c r="C2" t="s">
        <v>542</v>
      </c>
      <c r="D2" t="s">
        <v>543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458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30</v>
      </c>
      <c r="R2" s="2">
        <v>26255</v>
      </c>
      <c r="AA2">
        <v>54</v>
      </c>
    </row>
    <row r="3" spans="1:27" x14ac:dyDescent="0.25">
      <c r="A3">
        <v>2079300</v>
      </c>
      <c r="B3" t="s">
        <v>700</v>
      </c>
      <c r="C3" t="s">
        <v>375</v>
      </c>
      <c r="D3" t="s">
        <v>35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458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19</v>
      </c>
      <c r="R3" s="2">
        <v>27760</v>
      </c>
      <c r="AA3">
        <v>49</v>
      </c>
    </row>
    <row r="4" spans="1:27" x14ac:dyDescent="0.25">
      <c r="A4">
        <v>4304359</v>
      </c>
      <c r="B4" t="s">
        <v>701</v>
      </c>
      <c r="C4" t="s">
        <v>544</v>
      </c>
      <c r="D4" t="s">
        <v>545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458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19</v>
      </c>
      <c r="R4" s="2">
        <v>33182</v>
      </c>
      <c r="AA4">
        <v>35</v>
      </c>
    </row>
    <row r="5" spans="1:27" x14ac:dyDescent="0.25">
      <c r="A5">
        <v>9307895</v>
      </c>
      <c r="B5" t="s">
        <v>702</v>
      </c>
      <c r="C5" t="s">
        <v>546</v>
      </c>
      <c r="D5" t="s">
        <v>547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458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19</v>
      </c>
      <c r="R5" s="2">
        <v>33629</v>
      </c>
      <c r="AA5">
        <v>33</v>
      </c>
    </row>
    <row r="6" spans="1:27" x14ac:dyDescent="0.25">
      <c r="A6">
        <v>9386568</v>
      </c>
      <c r="B6" t="s">
        <v>703</v>
      </c>
      <c r="C6" t="s">
        <v>548</v>
      </c>
      <c r="D6" t="s">
        <v>549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458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19</v>
      </c>
      <c r="R6" s="2">
        <v>33158</v>
      </c>
      <c r="AA6">
        <v>35</v>
      </c>
    </row>
    <row r="7" spans="1:27" x14ac:dyDescent="0.25">
      <c r="A7">
        <v>9425598</v>
      </c>
      <c r="B7" t="s">
        <v>704</v>
      </c>
      <c r="C7" t="s">
        <v>550</v>
      </c>
      <c r="D7" t="s">
        <v>551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458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19</v>
      </c>
      <c r="R7" s="2">
        <v>34283</v>
      </c>
      <c r="AA7">
        <v>32</v>
      </c>
    </row>
    <row r="8" spans="1:27" x14ac:dyDescent="0.25">
      <c r="A8">
        <v>9474686</v>
      </c>
      <c r="B8" t="s">
        <v>705</v>
      </c>
      <c r="C8" t="s">
        <v>552</v>
      </c>
      <c r="D8" t="s">
        <v>553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458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19</v>
      </c>
      <c r="R8" s="2">
        <v>35684</v>
      </c>
      <c r="AA8">
        <v>28</v>
      </c>
    </row>
    <row r="9" spans="1:27" x14ac:dyDescent="0.25">
      <c r="A9">
        <v>9483637</v>
      </c>
      <c r="B9" t="s">
        <v>706</v>
      </c>
      <c r="C9" t="s">
        <v>554</v>
      </c>
      <c r="D9" t="s">
        <v>555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458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30</v>
      </c>
      <c r="R9" s="2">
        <v>30761</v>
      </c>
      <c r="AA9">
        <v>41</v>
      </c>
    </row>
    <row r="10" spans="1:27" x14ac:dyDescent="0.25">
      <c r="A10">
        <v>9484320</v>
      </c>
      <c r="B10" t="s">
        <v>707</v>
      </c>
      <c r="C10" t="s">
        <v>556</v>
      </c>
      <c r="D10" t="s">
        <v>557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458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30</v>
      </c>
      <c r="R10">
        <v>36249</v>
      </c>
      <c r="AA10">
        <v>26</v>
      </c>
    </row>
    <row r="11" spans="1:27" x14ac:dyDescent="0.25">
      <c r="A11">
        <v>9510381</v>
      </c>
      <c r="B11" t="s">
        <v>708</v>
      </c>
      <c r="C11" t="s">
        <v>558</v>
      </c>
      <c r="D11" t="s">
        <v>559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458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19</v>
      </c>
      <c r="R11">
        <v>35636</v>
      </c>
      <c r="AA11">
        <v>28</v>
      </c>
    </row>
    <row r="12" spans="1:27" x14ac:dyDescent="0.25">
      <c r="A12">
        <v>9563455</v>
      </c>
      <c r="B12" t="s">
        <v>709</v>
      </c>
      <c r="C12" t="s">
        <v>560</v>
      </c>
      <c r="D12" t="s">
        <v>547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458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19</v>
      </c>
      <c r="R12">
        <v>21671</v>
      </c>
      <c r="AA12">
        <v>66</v>
      </c>
    </row>
    <row r="13" spans="1:27" x14ac:dyDescent="0.25">
      <c r="A13">
        <v>9573397</v>
      </c>
      <c r="B13" t="s">
        <v>710</v>
      </c>
      <c r="C13" t="s">
        <v>561</v>
      </c>
      <c r="D13" t="s">
        <v>562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458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30</v>
      </c>
      <c r="R13">
        <v>34842</v>
      </c>
      <c r="AA13">
        <v>30</v>
      </c>
    </row>
    <row r="14" spans="1:27" x14ac:dyDescent="0.25">
      <c r="A14">
        <v>9579478</v>
      </c>
      <c r="B14" t="s">
        <v>711</v>
      </c>
      <c r="C14" t="s">
        <v>563</v>
      </c>
      <c r="D14" t="s">
        <v>564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458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19</v>
      </c>
      <c r="R14">
        <v>25152</v>
      </c>
      <c r="AA14">
        <v>57</v>
      </c>
    </row>
    <row r="15" spans="1:27" x14ac:dyDescent="0.25">
      <c r="A15">
        <v>9634719</v>
      </c>
      <c r="B15" t="s">
        <v>712</v>
      </c>
      <c r="C15" t="s">
        <v>565</v>
      </c>
      <c r="D15" t="s">
        <v>566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458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19</v>
      </c>
      <c r="R15">
        <v>22258</v>
      </c>
      <c r="AA15">
        <v>65</v>
      </c>
    </row>
    <row r="16" spans="1:27" x14ac:dyDescent="0.25">
      <c r="A16">
        <v>9663437</v>
      </c>
      <c r="B16" t="s">
        <v>713</v>
      </c>
      <c r="C16" t="s">
        <v>567</v>
      </c>
      <c r="D16" t="s">
        <v>568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458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19</v>
      </c>
      <c r="R16">
        <v>36447</v>
      </c>
      <c r="AA16">
        <v>26</v>
      </c>
    </row>
    <row r="17" spans="1:27" x14ac:dyDescent="0.25">
      <c r="A17">
        <v>16913578</v>
      </c>
      <c r="B17" t="s">
        <v>714</v>
      </c>
      <c r="C17" t="s">
        <v>569</v>
      </c>
      <c r="D17" t="s">
        <v>570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458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19</v>
      </c>
      <c r="R17">
        <v>33382</v>
      </c>
      <c r="AA17">
        <v>34</v>
      </c>
    </row>
    <row r="18" spans="1:27" x14ac:dyDescent="0.25">
      <c r="A18">
        <v>16937065</v>
      </c>
      <c r="B18" t="s">
        <v>715</v>
      </c>
      <c r="C18" t="s">
        <v>571</v>
      </c>
      <c r="D18" t="s">
        <v>572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458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19</v>
      </c>
      <c r="R18">
        <v>33455</v>
      </c>
      <c r="AA18">
        <v>34</v>
      </c>
    </row>
    <row r="19" spans="1:27" x14ac:dyDescent="0.25">
      <c r="A19">
        <v>16947410</v>
      </c>
      <c r="B19" t="s">
        <v>716</v>
      </c>
      <c r="C19" t="s">
        <v>573</v>
      </c>
      <c r="D19" t="s">
        <v>574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458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19</v>
      </c>
      <c r="R19">
        <v>27296</v>
      </c>
      <c r="AA19">
        <v>51</v>
      </c>
    </row>
    <row r="20" spans="1:27" x14ac:dyDescent="0.25">
      <c r="A20">
        <v>16947428</v>
      </c>
      <c r="B20" t="s">
        <v>717</v>
      </c>
      <c r="C20" t="s">
        <v>575</v>
      </c>
      <c r="D20" t="s">
        <v>553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458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19</v>
      </c>
      <c r="R20">
        <v>26914</v>
      </c>
      <c r="AA20">
        <v>52</v>
      </c>
    </row>
    <row r="21" spans="1:27" x14ac:dyDescent="0.25">
      <c r="A21">
        <v>16951669</v>
      </c>
      <c r="B21" t="s">
        <v>718</v>
      </c>
      <c r="C21" t="s">
        <v>576</v>
      </c>
      <c r="D21" t="s">
        <v>577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458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19</v>
      </c>
      <c r="R21">
        <v>27214</v>
      </c>
      <c r="AA21">
        <v>51</v>
      </c>
    </row>
    <row r="22" spans="1:27" x14ac:dyDescent="0.25">
      <c r="A22">
        <v>16951726</v>
      </c>
      <c r="B22" t="s">
        <v>719</v>
      </c>
      <c r="C22" t="s">
        <v>578</v>
      </c>
      <c r="D22" t="s">
        <v>579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458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30</v>
      </c>
      <c r="R22">
        <v>34304</v>
      </c>
      <c r="AA22">
        <v>32</v>
      </c>
    </row>
    <row r="23" spans="1:27" x14ac:dyDescent="0.25">
      <c r="A23">
        <v>16952021</v>
      </c>
      <c r="B23" t="s">
        <v>720</v>
      </c>
      <c r="C23" t="s">
        <v>580</v>
      </c>
      <c r="D23" t="s">
        <v>581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458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19</v>
      </c>
      <c r="R23">
        <v>37609</v>
      </c>
      <c r="AA23">
        <v>23</v>
      </c>
    </row>
    <row r="24" spans="1:27" x14ac:dyDescent="0.25">
      <c r="A24">
        <v>16952261</v>
      </c>
      <c r="B24" t="s">
        <v>721</v>
      </c>
      <c r="C24" t="s">
        <v>582</v>
      </c>
      <c r="D24" t="s">
        <v>583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458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30</v>
      </c>
      <c r="R24">
        <v>32946</v>
      </c>
      <c r="AA24">
        <v>35</v>
      </c>
    </row>
    <row r="25" spans="1:27" x14ac:dyDescent="0.25">
      <c r="A25">
        <v>16952360</v>
      </c>
      <c r="B25" t="s">
        <v>722</v>
      </c>
      <c r="C25" t="s">
        <v>584</v>
      </c>
      <c r="D25" t="s">
        <v>585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458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19</v>
      </c>
      <c r="R25">
        <v>30828</v>
      </c>
      <c r="AA25">
        <v>41</v>
      </c>
    </row>
    <row r="26" spans="1:27" x14ac:dyDescent="0.25">
      <c r="A26">
        <v>16952378</v>
      </c>
      <c r="B26" t="s">
        <v>723</v>
      </c>
      <c r="C26" t="s">
        <v>586</v>
      </c>
      <c r="D26" t="s">
        <v>587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458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19</v>
      </c>
      <c r="R26">
        <v>30723</v>
      </c>
      <c r="AA26">
        <v>41</v>
      </c>
    </row>
    <row r="27" spans="1:27" x14ac:dyDescent="0.25">
      <c r="A27">
        <v>16952451</v>
      </c>
      <c r="B27" t="s">
        <v>724</v>
      </c>
      <c r="C27" t="s">
        <v>588</v>
      </c>
      <c r="D27" t="s">
        <v>589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458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19</v>
      </c>
      <c r="R27">
        <v>24865</v>
      </c>
      <c r="AA27">
        <v>57</v>
      </c>
    </row>
    <row r="28" spans="1:27" x14ac:dyDescent="0.25">
      <c r="A28">
        <v>16952576</v>
      </c>
      <c r="B28" t="s">
        <v>725</v>
      </c>
      <c r="C28" t="s">
        <v>363</v>
      </c>
      <c r="D28" t="s">
        <v>46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458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19</v>
      </c>
      <c r="R28">
        <v>36526</v>
      </c>
      <c r="AA28">
        <v>25</v>
      </c>
    </row>
    <row r="29" spans="1:27" x14ac:dyDescent="0.25">
      <c r="A29">
        <v>16952584</v>
      </c>
      <c r="B29" t="s">
        <v>726</v>
      </c>
      <c r="C29" t="s">
        <v>590</v>
      </c>
      <c r="D29" t="s">
        <v>591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458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19</v>
      </c>
      <c r="R29">
        <v>23352</v>
      </c>
      <c r="AA29">
        <v>62</v>
      </c>
    </row>
    <row r="30" spans="1:27" x14ac:dyDescent="0.25">
      <c r="A30">
        <v>16952716</v>
      </c>
      <c r="B30" t="s">
        <v>727</v>
      </c>
      <c r="C30" t="s">
        <v>592</v>
      </c>
      <c r="D30" t="s">
        <v>593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458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30</v>
      </c>
      <c r="R30">
        <v>23323</v>
      </c>
      <c r="AA30">
        <v>62</v>
      </c>
    </row>
    <row r="31" spans="1:27" x14ac:dyDescent="0.25">
      <c r="A31">
        <v>16952807</v>
      </c>
      <c r="B31" t="s">
        <v>728</v>
      </c>
      <c r="C31" t="s">
        <v>594</v>
      </c>
      <c r="D31" t="s">
        <v>595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458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30</v>
      </c>
      <c r="R31">
        <v>31426</v>
      </c>
      <c r="AA31">
        <v>39</v>
      </c>
    </row>
    <row r="32" spans="1:27" x14ac:dyDescent="0.25">
      <c r="A32">
        <v>16952849</v>
      </c>
      <c r="B32" t="s">
        <v>540</v>
      </c>
      <c r="C32" t="s">
        <v>533</v>
      </c>
      <c r="D32" t="s">
        <v>38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458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19</v>
      </c>
      <c r="R32">
        <v>26299</v>
      </c>
      <c r="AA32">
        <v>53</v>
      </c>
    </row>
    <row r="33" spans="1:27" x14ac:dyDescent="0.25">
      <c r="A33">
        <v>16952873</v>
      </c>
      <c r="B33" t="s">
        <v>729</v>
      </c>
      <c r="C33" t="s">
        <v>596</v>
      </c>
      <c r="D33" t="s">
        <v>597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458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19</v>
      </c>
      <c r="R33">
        <v>32026</v>
      </c>
      <c r="AA33">
        <v>38</v>
      </c>
    </row>
    <row r="34" spans="1:27" x14ac:dyDescent="0.25">
      <c r="A34">
        <v>16952881</v>
      </c>
      <c r="B34" t="s">
        <v>730</v>
      </c>
      <c r="C34" t="s">
        <v>598</v>
      </c>
      <c r="D34" t="s">
        <v>599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458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19</v>
      </c>
      <c r="R34">
        <v>35607</v>
      </c>
      <c r="AA34">
        <v>28</v>
      </c>
    </row>
    <row r="35" spans="1:27" x14ac:dyDescent="0.25">
      <c r="A35">
        <v>16952906</v>
      </c>
      <c r="B35" t="s">
        <v>731</v>
      </c>
      <c r="C35" t="s">
        <v>600</v>
      </c>
      <c r="D35" t="s">
        <v>601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458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30</v>
      </c>
      <c r="R35">
        <v>27996</v>
      </c>
      <c r="AA35">
        <v>49</v>
      </c>
    </row>
    <row r="36" spans="1:27" x14ac:dyDescent="0.25">
      <c r="A36">
        <v>16952914</v>
      </c>
      <c r="B36" t="s">
        <v>732</v>
      </c>
      <c r="C36" t="s">
        <v>602</v>
      </c>
      <c r="D36" t="s">
        <v>603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458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19</v>
      </c>
      <c r="R36">
        <v>27524</v>
      </c>
      <c r="AA36">
        <v>50</v>
      </c>
    </row>
    <row r="37" spans="1:27" x14ac:dyDescent="0.25">
      <c r="A37">
        <v>16952964</v>
      </c>
      <c r="B37" t="s">
        <v>733</v>
      </c>
      <c r="C37" t="s">
        <v>604</v>
      </c>
      <c r="D37" t="s">
        <v>605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458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30</v>
      </c>
      <c r="R37">
        <v>27820</v>
      </c>
      <c r="AA37">
        <v>49</v>
      </c>
    </row>
    <row r="38" spans="1:27" x14ac:dyDescent="0.25">
      <c r="A38">
        <v>16952980</v>
      </c>
      <c r="B38" t="s">
        <v>734</v>
      </c>
      <c r="C38" t="s">
        <v>361</v>
      </c>
      <c r="D38" t="s">
        <v>682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458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19</v>
      </c>
      <c r="R38">
        <v>37257</v>
      </c>
      <c r="AA38">
        <v>23</v>
      </c>
    </row>
    <row r="39" spans="1:27" x14ac:dyDescent="0.25">
      <c r="A39">
        <v>16953045</v>
      </c>
      <c r="B39" t="s">
        <v>735</v>
      </c>
      <c r="C39" t="s">
        <v>606</v>
      </c>
      <c r="D39" t="s">
        <v>607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458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30</v>
      </c>
      <c r="R39">
        <v>30970</v>
      </c>
      <c r="AA39">
        <v>41</v>
      </c>
    </row>
    <row r="40" spans="1:27" x14ac:dyDescent="0.25">
      <c r="A40">
        <v>16953053</v>
      </c>
      <c r="B40" t="s">
        <v>736</v>
      </c>
      <c r="C40" t="s">
        <v>608</v>
      </c>
      <c r="D40" t="s">
        <v>609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458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19</v>
      </c>
      <c r="R40">
        <v>30091</v>
      </c>
      <c r="AA40">
        <v>43</v>
      </c>
    </row>
    <row r="41" spans="1:27" x14ac:dyDescent="0.25">
      <c r="A41">
        <v>16953061</v>
      </c>
      <c r="B41" t="s">
        <v>737</v>
      </c>
      <c r="C41" t="s">
        <v>610</v>
      </c>
      <c r="D41" t="s">
        <v>585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458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19</v>
      </c>
      <c r="R41">
        <v>25647</v>
      </c>
      <c r="AA41">
        <v>55</v>
      </c>
    </row>
    <row r="42" spans="1:27" x14ac:dyDescent="0.25">
      <c r="A42">
        <v>16953201</v>
      </c>
      <c r="B42" t="s">
        <v>738</v>
      </c>
      <c r="C42" t="s">
        <v>611</v>
      </c>
      <c r="D42" t="s">
        <v>612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458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30</v>
      </c>
      <c r="R42">
        <v>26442</v>
      </c>
      <c r="AA42">
        <v>53</v>
      </c>
    </row>
    <row r="43" spans="1:27" x14ac:dyDescent="0.25">
      <c r="A43">
        <v>16953227</v>
      </c>
      <c r="B43" t="s">
        <v>739</v>
      </c>
      <c r="C43" t="s">
        <v>613</v>
      </c>
      <c r="D43" t="s">
        <v>614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458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19</v>
      </c>
      <c r="R43">
        <v>26824</v>
      </c>
      <c r="AA43">
        <v>52</v>
      </c>
    </row>
    <row r="44" spans="1:27" x14ac:dyDescent="0.25">
      <c r="A44">
        <v>16953235</v>
      </c>
      <c r="B44" t="s">
        <v>740</v>
      </c>
      <c r="C44" t="s">
        <v>615</v>
      </c>
      <c r="D44" t="s">
        <v>616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458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30</v>
      </c>
      <c r="R44">
        <v>28184</v>
      </c>
      <c r="AA44">
        <v>48</v>
      </c>
    </row>
    <row r="45" spans="1:27" x14ac:dyDescent="0.25">
      <c r="A45">
        <v>16953251</v>
      </c>
      <c r="B45" t="s">
        <v>741</v>
      </c>
      <c r="C45" t="s">
        <v>617</v>
      </c>
      <c r="D45" t="s">
        <v>562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458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30</v>
      </c>
      <c r="R45">
        <v>25737</v>
      </c>
      <c r="AA45">
        <v>55</v>
      </c>
    </row>
    <row r="46" spans="1:27" x14ac:dyDescent="0.25">
      <c r="A46">
        <v>16953334</v>
      </c>
      <c r="B46" t="s">
        <v>742</v>
      </c>
      <c r="C46" t="s">
        <v>618</v>
      </c>
      <c r="D46" t="s">
        <v>619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458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19</v>
      </c>
      <c r="R46">
        <v>33812</v>
      </c>
      <c r="AA46">
        <v>33</v>
      </c>
    </row>
    <row r="47" spans="1:27" x14ac:dyDescent="0.25">
      <c r="A47">
        <v>16953342</v>
      </c>
      <c r="B47" t="s">
        <v>743</v>
      </c>
      <c r="C47" t="s">
        <v>620</v>
      </c>
      <c r="D47" t="s">
        <v>553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458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19</v>
      </c>
      <c r="R47">
        <v>34913</v>
      </c>
      <c r="AA47">
        <v>30</v>
      </c>
    </row>
    <row r="48" spans="1:27" x14ac:dyDescent="0.25">
      <c r="A48">
        <v>16953392</v>
      </c>
      <c r="B48" t="s">
        <v>744</v>
      </c>
      <c r="C48" t="s">
        <v>621</v>
      </c>
      <c r="D48" t="s">
        <v>622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458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19</v>
      </c>
      <c r="R48">
        <v>36196</v>
      </c>
      <c r="AA48">
        <v>26</v>
      </c>
    </row>
    <row r="49" spans="1:27" x14ac:dyDescent="0.25">
      <c r="A49">
        <v>16953459</v>
      </c>
      <c r="B49" t="s">
        <v>745</v>
      </c>
      <c r="C49" t="s">
        <v>623</v>
      </c>
      <c r="D49" t="s">
        <v>589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458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19</v>
      </c>
      <c r="R49">
        <v>26325</v>
      </c>
      <c r="AA49">
        <v>53</v>
      </c>
    </row>
    <row r="50" spans="1:27" x14ac:dyDescent="0.25">
      <c r="A50">
        <v>16953996</v>
      </c>
      <c r="B50" t="s">
        <v>746</v>
      </c>
      <c r="C50" t="s">
        <v>624</v>
      </c>
      <c r="D50" t="s">
        <v>625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458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19</v>
      </c>
      <c r="R50">
        <v>20416</v>
      </c>
      <c r="AA50">
        <v>70</v>
      </c>
    </row>
    <row r="51" spans="1:27" x14ac:dyDescent="0.25">
      <c r="A51">
        <v>16954324</v>
      </c>
      <c r="B51" t="s">
        <v>747</v>
      </c>
      <c r="C51" t="s">
        <v>67</v>
      </c>
      <c r="D51" t="s">
        <v>683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458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19</v>
      </c>
      <c r="R51">
        <v>39448</v>
      </c>
      <c r="AA51">
        <v>17</v>
      </c>
    </row>
    <row r="52" spans="1:27" x14ac:dyDescent="0.25">
      <c r="A52">
        <v>16954332</v>
      </c>
      <c r="B52" t="s">
        <v>748</v>
      </c>
      <c r="C52" t="s">
        <v>684</v>
      </c>
      <c r="D52" t="s">
        <v>524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458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19</v>
      </c>
      <c r="R52">
        <v>23377</v>
      </c>
      <c r="AA52">
        <v>61</v>
      </c>
    </row>
    <row r="53" spans="1:27" x14ac:dyDescent="0.25">
      <c r="A53">
        <v>16954382</v>
      </c>
      <c r="B53" t="s">
        <v>749</v>
      </c>
      <c r="C53" t="s">
        <v>626</v>
      </c>
      <c r="D53" t="s">
        <v>627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458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19</v>
      </c>
      <c r="R53">
        <v>33763</v>
      </c>
      <c r="AA53">
        <v>33</v>
      </c>
    </row>
    <row r="54" spans="1:27" x14ac:dyDescent="0.25">
      <c r="A54">
        <v>16954415</v>
      </c>
      <c r="B54" t="s">
        <v>750</v>
      </c>
      <c r="C54" t="s">
        <v>628</v>
      </c>
      <c r="D54" t="s">
        <v>629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458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19</v>
      </c>
      <c r="R54">
        <v>30122</v>
      </c>
      <c r="AA54">
        <v>43</v>
      </c>
    </row>
    <row r="55" spans="1:27" x14ac:dyDescent="0.25">
      <c r="A55">
        <v>16954423</v>
      </c>
      <c r="B55" t="s">
        <v>751</v>
      </c>
      <c r="C55" t="s">
        <v>630</v>
      </c>
      <c r="D55" t="s">
        <v>589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458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19</v>
      </c>
      <c r="R55">
        <v>23679</v>
      </c>
      <c r="AA55">
        <v>61</v>
      </c>
    </row>
    <row r="56" spans="1:27" x14ac:dyDescent="0.25">
      <c r="A56">
        <v>16954449</v>
      </c>
      <c r="B56" t="s">
        <v>752</v>
      </c>
      <c r="C56" t="s">
        <v>631</v>
      </c>
      <c r="D56" t="s">
        <v>632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458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19</v>
      </c>
      <c r="R56">
        <v>39355</v>
      </c>
      <c r="AA56">
        <v>18</v>
      </c>
    </row>
    <row r="57" spans="1:27" x14ac:dyDescent="0.25">
      <c r="A57">
        <v>16954473</v>
      </c>
      <c r="B57" t="s">
        <v>753</v>
      </c>
      <c r="C57" t="s">
        <v>633</v>
      </c>
      <c r="D57" t="s">
        <v>634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458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30</v>
      </c>
      <c r="R57">
        <v>30448</v>
      </c>
      <c r="AA57">
        <v>42</v>
      </c>
    </row>
    <row r="58" spans="1:27" x14ac:dyDescent="0.25">
      <c r="A58">
        <v>16954481</v>
      </c>
      <c r="B58" t="s">
        <v>754</v>
      </c>
      <c r="C58" t="s">
        <v>635</v>
      </c>
      <c r="D58" t="s">
        <v>636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458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19</v>
      </c>
      <c r="R58">
        <v>37254</v>
      </c>
      <c r="AA58">
        <v>24</v>
      </c>
    </row>
    <row r="59" spans="1:27" x14ac:dyDescent="0.25">
      <c r="A59">
        <v>16954499</v>
      </c>
      <c r="B59" t="s">
        <v>755</v>
      </c>
      <c r="C59" t="s">
        <v>637</v>
      </c>
      <c r="D59" t="s">
        <v>589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458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19</v>
      </c>
      <c r="R59">
        <v>37378</v>
      </c>
      <c r="AA59">
        <v>23</v>
      </c>
    </row>
    <row r="60" spans="1:27" x14ac:dyDescent="0.25">
      <c r="A60">
        <v>16954506</v>
      </c>
      <c r="B60" t="s">
        <v>756</v>
      </c>
      <c r="C60" t="s">
        <v>638</v>
      </c>
      <c r="D60" t="s">
        <v>639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458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19</v>
      </c>
      <c r="R60">
        <v>34812</v>
      </c>
      <c r="AA60">
        <v>30</v>
      </c>
    </row>
    <row r="61" spans="1:27" x14ac:dyDescent="0.25">
      <c r="A61">
        <v>16954514</v>
      </c>
      <c r="B61" t="s">
        <v>757</v>
      </c>
      <c r="C61" t="s">
        <v>640</v>
      </c>
      <c r="D61" t="s">
        <v>641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458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19</v>
      </c>
      <c r="R61">
        <v>29225</v>
      </c>
      <c r="AA61">
        <v>45</v>
      </c>
    </row>
    <row r="62" spans="1:27" x14ac:dyDescent="0.25">
      <c r="A62">
        <v>16954522</v>
      </c>
      <c r="B62" t="s">
        <v>758</v>
      </c>
      <c r="C62" t="s">
        <v>642</v>
      </c>
      <c r="D62" t="s">
        <v>643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458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19</v>
      </c>
      <c r="R62">
        <v>32098</v>
      </c>
      <c r="AA62">
        <v>38</v>
      </c>
    </row>
    <row r="63" spans="1:27" x14ac:dyDescent="0.25">
      <c r="A63">
        <v>16954548</v>
      </c>
      <c r="B63" t="s">
        <v>759</v>
      </c>
      <c r="C63" t="s">
        <v>644</v>
      </c>
      <c r="D63" t="s">
        <v>609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458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19</v>
      </c>
      <c r="R63">
        <v>37196</v>
      </c>
      <c r="AA63">
        <v>24</v>
      </c>
    </row>
    <row r="64" spans="1:27" x14ac:dyDescent="0.25">
      <c r="A64">
        <v>16954556</v>
      </c>
      <c r="B64" t="s">
        <v>760</v>
      </c>
      <c r="C64" t="s">
        <v>645</v>
      </c>
      <c r="D64" t="s">
        <v>614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458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19</v>
      </c>
      <c r="R64">
        <v>37113</v>
      </c>
      <c r="AA64">
        <v>24</v>
      </c>
    </row>
    <row r="65" spans="1:27" x14ac:dyDescent="0.25">
      <c r="A65">
        <v>16954580</v>
      </c>
      <c r="B65" t="s">
        <v>761</v>
      </c>
      <c r="C65" t="s">
        <v>685</v>
      </c>
      <c r="D65" t="s">
        <v>21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458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19</v>
      </c>
      <c r="R65">
        <v>32874</v>
      </c>
      <c r="AA65">
        <v>35</v>
      </c>
    </row>
    <row r="66" spans="1:27" x14ac:dyDescent="0.25">
      <c r="A66">
        <v>16954605</v>
      </c>
      <c r="B66" t="s">
        <v>762</v>
      </c>
      <c r="C66" t="s">
        <v>646</v>
      </c>
      <c r="D66" t="s">
        <v>579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458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30</v>
      </c>
      <c r="R66">
        <v>39906</v>
      </c>
      <c r="AA66">
        <v>16</v>
      </c>
    </row>
    <row r="67" spans="1:27" x14ac:dyDescent="0.25">
      <c r="A67">
        <v>16954613</v>
      </c>
      <c r="B67" t="s">
        <v>763</v>
      </c>
      <c r="C67" t="s">
        <v>647</v>
      </c>
      <c r="D67" t="s">
        <v>648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458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19</v>
      </c>
      <c r="R67">
        <v>30103</v>
      </c>
      <c r="AA67">
        <v>43</v>
      </c>
    </row>
    <row r="68" spans="1:27" x14ac:dyDescent="0.25">
      <c r="A68">
        <v>16954621</v>
      </c>
      <c r="B68" t="s">
        <v>764</v>
      </c>
      <c r="C68" t="s">
        <v>649</v>
      </c>
      <c r="D68" t="s">
        <v>650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458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19</v>
      </c>
      <c r="R68">
        <v>25278</v>
      </c>
      <c r="AA68">
        <v>56</v>
      </c>
    </row>
    <row r="69" spans="1:27" x14ac:dyDescent="0.25">
      <c r="A69">
        <v>16964547</v>
      </c>
      <c r="B69" t="s">
        <v>765</v>
      </c>
      <c r="C69" t="s">
        <v>651</v>
      </c>
      <c r="D69" t="s">
        <v>652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458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19</v>
      </c>
      <c r="R69">
        <v>21461</v>
      </c>
      <c r="AA69">
        <v>67</v>
      </c>
    </row>
    <row r="70" spans="1:27" x14ac:dyDescent="0.25">
      <c r="A70">
        <v>16964589</v>
      </c>
      <c r="B70" t="s">
        <v>766</v>
      </c>
      <c r="C70" t="s">
        <v>653</v>
      </c>
      <c r="D70" t="s">
        <v>577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458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19</v>
      </c>
      <c r="R70">
        <v>18461</v>
      </c>
      <c r="AA70">
        <v>75</v>
      </c>
    </row>
    <row r="71" spans="1:27" x14ac:dyDescent="0.25">
      <c r="A71">
        <v>16964795</v>
      </c>
      <c r="B71" t="s">
        <v>767</v>
      </c>
      <c r="C71" t="s">
        <v>654</v>
      </c>
      <c r="D71" t="s">
        <v>655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458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19</v>
      </c>
      <c r="R71">
        <v>36804</v>
      </c>
      <c r="AA71">
        <v>25</v>
      </c>
    </row>
    <row r="72" spans="1:27" x14ac:dyDescent="0.25">
      <c r="A72">
        <v>16964977</v>
      </c>
      <c r="B72" t="s">
        <v>768</v>
      </c>
      <c r="C72" t="s">
        <v>656</v>
      </c>
      <c r="D72" t="s">
        <v>657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458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19</v>
      </c>
      <c r="R72">
        <v>37248</v>
      </c>
      <c r="AA72">
        <v>24</v>
      </c>
    </row>
    <row r="73" spans="1:27" x14ac:dyDescent="0.25">
      <c r="A73">
        <v>16965107</v>
      </c>
      <c r="B73" t="s">
        <v>769</v>
      </c>
      <c r="C73" t="s">
        <v>658</v>
      </c>
      <c r="D73" t="s">
        <v>659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458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19</v>
      </c>
      <c r="R73">
        <v>30007</v>
      </c>
      <c r="AA73">
        <v>43</v>
      </c>
    </row>
    <row r="74" spans="1:27" x14ac:dyDescent="0.25">
      <c r="A74">
        <v>16966113</v>
      </c>
      <c r="B74" t="s">
        <v>770</v>
      </c>
      <c r="C74" t="s">
        <v>660</v>
      </c>
      <c r="D74" t="s">
        <v>641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458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19</v>
      </c>
      <c r="R74">
        <v>34234</v>
      </c>
      <c r="AA74">
        <v>32</v>
      </c>
    </row>
    <row r="75" spans="1:27" x14ac:dyDescent="0.25">
      <c r="A75">
        <v>16966361</v>
      </c>
      <c r="B75" t="s">
        <v>771</v>
      </c>
      <c r="C75" t="s">
        <v>661</v>
      </c>
      <c r="D75" t="s">
        <v>662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458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19</v>
      </c>
      <c r="R75">
        <v>21546</v>
      </c>
      <c r="AA75">
        <v>67</v>
      </c>
    </row>
    <row r="76" spans="1:27" x14ac:dyDescent="0.25">
      <c r="A76">
        <v>16966395</v>
      </c>
      <c r="B76" t="s">
        <v>772</v>
      </c>
      <c r="C76" t="s">
        <v>661</v>
      </c>
      <c r="D76" t="s">
        <v>663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458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30</v>
      </c>
      <c r="R76">
        <v>21160</v>
      </c>
      <c r="AA76">
        <v>68</v>
      </c>
    </row>
    <row r="77" spans="1:27" x14ac:dyDescent="0.25">
      <c r="A77">
        <v>16966402</v>
      </c>
      <c r="B77" t="s">
        <v>773</v>
      </c>
      <c r="C77" t="s">
        <v>664</v>
      </c>
      <c r="D77" t="s">
        <v>641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458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19</v>
      </c>
      <c r="R77">
        <v>21298</v>
      </c>
      <c r="AA77">
        <v>67</v>
      </c>
    </row>
    <row r="78" spans="1:27" x14ac:dyDescent="0.25">
      <c r="A78">
        <v>16966923</v>
      </c>
      <c r="B78" t="s">
        <v>774</v>
      </c>
      <c r="C78" t="s">
        <v>665</v>
      </c>
      <c r="D78" t="s">
        <v>666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458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19</v>
      </c>
      <c r="R78">
        <v>33737</v>
      </c>
      <c r="AA78">
        <v>33</v>
      </c>
    </row>
    <row r="79" spans="1:27" x14ac:dyDescent="0.25">
      <c r="A79">
        <v>16968143</v>
      </c>
      <c r="B79" t="s">
        <v>775</v>
      </c>
      <c r="C79" t="s">
        <v>667</v>
      </c>
      <c r="D79" t="s">
        <v>668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458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30</v>
      </c>
      <c r="R79">
        <v>27876</v>
      </c>
      <c r="AA79">
        <v>49</v>
      </c>
    </row>
    <row r="80" spans="1:27" x14ac:dyDescent="0.25">
      <c r="A80">
        <v>16968250</v>
      </c>
      <c r="B80" t="s">
        <v>776</v>
      </c>
      <c r="C80" t="s">
        <v>669</v>
      </c>
      <c r="D80" t="s">
        <v>670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458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19</v>
      </c>
      <c r="R80">
        <v>37282</v>
      </c>
      <c r="AA80">
        <v>23</v>
      </c>
    </row>
    <row r="81" spans="1:27" x14ac:dyDescent="0.25">
      <c r="A81">
        <v>16968268</v>
      </c>
      <c r="B81" t="s">
        <v>777</v>
      </c>
      <c r="C81" t="s">
        <v>671</v>
      </c>
      <c r="D81" t="s">
        <v>672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458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19</v>
      </c>
      <c r="R81">
        <v>31086</v>
      </c>
      <c r="AA81">
        <v>40</v>
      </c>
    </row>
    <row r="82" spans="1:27" x14ac:dyDescent="0.25">
      <c r="A82">
        <v>16968276</v>
      </c>
      <c r="B82" t="s">
        <v>778</v>
      </c>
      <c r="C82" t="s">
        <v>673</v>
      </c>
      <c r="D82" t="s">
        <v>674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458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30</v>
      </c>
      <c r="R82">
        <v>32799</v>
      </c>
      <c r="AA82">
        <v>36</v>
      </c>
    </row>
    <row r="83" spans="1:27" x14ac:dyDescent="0.25">
      <c r="A83">
        <v>16968284</v>
      </c>
      <c r="B83" t="s">
        <v>779</v>
      </c>
      <c r="C83" t="s">
        <v>675</v>
      </c>
      <c r="D83" t="s">
        <v>585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458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19</v>
      </c>
      <c r="R83">
        <v>25965</v>
      </c>
      <c r="AA83">
        <v>54</v>
      </c>
    </row>
    <row r="84" spans="1:27" x14ac:dyDescent="0.25">
      <c r="A84">
        <v>16968292</v>
      </c>
      <c r="B84" t="s">
        <v>780</v>
      </c>
      <c r="C84" t="s">
        <v>676</v>
      </c>
      <c r="D84" t="s">
        <v>677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458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19</v>
      </c>
      <c r="R84">
        <v>34231</v>
      </c>
      <c r="AA84">
        <v>32</v>
      </c>
    </row>
    <row r="85" spans="1:27" x14ac:dyDescent="0.25">
      <c r="A85">
        <v>16968979</v>
      </c>
      <c r="B85" t="s">
        <v>781</v>
      </c>
      <c r="C85" t="s">
        <v>678</v>
      </c>
      <c r="D85" t="s">
        <v>679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458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30</v>
      </c>
      <c r="R85">
        <v>20078</v>
      </c>
      <c r="AA85">
        <v>71</v>
      </c>
    </row>
    <row r="86" spans="1:27" x14ac:dyDescent="0.25">
      <c r="A86">
        <v>16969109</v>
      </c>
      <c r="B86" t="s">
        <v>782</v>
      </c>
      <c r="C86" t="s">
        <v>680</v>
      </c>
      <c r="D86" t="s">
        <v>681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458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19</v>
      </c>
      <c r="R86">
        <v>20605</v>
      </c>
      <c r="AA86">
        <v>69</v>
      </c>
    </row>
    <row r="87" spans="1:27" x14ac:dyDescent="0.25">
      <c r="A87">
        <v>16969159</v>
      </c>
      <c r="B87" t="s">
        <v>783</v>
      </c>
      <c r="C87" t="s">
        <v>362</v>
      </c>
      <c r="D87" t="s">
        <v>53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458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19</v>
      </c>
      <c r="R87" t="s">
        <v>686</v>
      </c>
      <c r="AA87">
        <v>36</v>
      </c>
    </row>
    <row r="88" spans="1:27" x14ac:dyDescent="0.25">
      <c r="A88">
        <v>16969183</v>
      </c>
      <c r="B88" t="s">
        <v>784</v>
      </c>
      <c r="C88" t="s">
        <v>532</v>
      </c>
      <c r="D88" t="s">
        <v>531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458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30</v>
      </c>
      <c r="R88" t="s">
        <v>687</v>
      </c>
      <c r="AA88">
        <v>43</v>
      </c>
    </row>
    <row r="89" spans="1:27" x14ac:dyDescent="0.25">
      <c r="A89">
        <v>16969191</v>
      </c>
      <c r="B89" t="s">
        <v>785</v>
      </c>
      <c r="C89" t="s">
        <v>529</v>
      </c>
      <c r="D89" t="s">
        <v>137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458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30</v>
      </c>
      <c r="R89" t="s">
        <v>688</v>
      </c>
      <c r="AA89">
        <v>48</v>
      </c>
    </row>
    <row r="90" spans="1:27" x14ac:dyDescent="0.25">
      <c r="A90">
        <v>16969208</v>
      </c>
      <c r="B90" t="s">
        <v>786</v>
      </c>
      <c r="C90" t="s">
        <v>359</v>
      </c>
      <c r="D90" t="s">
        <v>34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458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19</v>
      </c>
      <c r="R90" t="s">
        <v>689</v>
      </c>
      <c r="AA90">
        <v>46</v>
      </c>
    </row>
    <row r="91" spans="1:27" x14ac:dyDescent="0.25">
      <c r="A91">
        <v>16969232</v>
      </c>
      <c r="B91" t="s">
        <v>787</v>
      </c>
      <c r="C91" t="s">
        <v>400</v>
      </c>
      <c r="D91" t="s">
        <v>537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458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30</v>
      </c>
      <c r="R91" t="s">
        <v>690</v>
      </c>
      <c r="AA91">
        <v>49</v>
      </c>
    </row>
    <row r="92" spans="1:27" x14ac:dyDescent="0.25">
      <c r="A92">
        <v>16969258</v>
      </c>
      <c r="B92" t="s">
        <v>788</v>
      </c>
      <c r="C92" t="s">
        <v>374</v>
      </c>
      <c r="D92" t="s">
        <v>66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458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19</v>
      </c>
      <c r="R92" t="s">
        <v>691</v>
      </c>
      <c r="AA92">
        <v>26</v>
      </c>
    </row>
    <row r="93" spans="1:27" x14ac:dyDescent="0.25">
      <c r="A93">
        <v>16969266</v>
      </c>
      <c r="B93" t="s">
        <v>789</v>
      </c>
      <c r="C93" t="s">
        <v>528</v>
      </c>
      <c r="D93" t="s">
        <v>536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458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30</v>
      </c>
      <c r="R93" t="s">
        <v>692</v>
      </c>
      <c r="AA93">
        <v>44</v>
      </c>
    </row>
    <row r="94" spans="1:27" x14ac:dyDescent="0.25">
      <c r="A94">
        <v>16969399</v>
      </c>
      <c r="B94" t="s">
        <v>790</v>
      </c>
      <c r="C94" t="s">
        <v>539</v>
      </c>
      <c r="D94" t="s">
        <v>526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458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30</v>
      </c>
      <c r="R94" t="s">
        <v>693</v>
      </c>
      <c r="AA94">
        <v>25</v>
      </c>
    </row>
    <row r="95" spans="1:27" x14ac:dyDescent="0.25">
      <c r="A95">
        <v>16969745</v>
      </c>
      <c r="B95" t="s">
        <v>541</v>
      </c>
      <c r="C95" t="s">
        <v>398</v>
      </c>
      <c r="D95" t="s">
        <v>38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458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19</v>
      </c>
      <c r="R95" t="s">
        <v>694</v>
      </c>
      <c r="AA95">
        <v>50</v>
      </c>
    </row>
    <row r="96" spans="1:27" x14ac:dyDescent="0.25">
      <c r="A96">
        <v>16969753</v>
      </c>
      <c r="B96" t="s">
        <v>791</v>
      </c>
      <c r="C96" t="s">
        <v>381</v>
      </c>
      <c r="D96" t="s">
        <v>54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458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19</v>
      </c>
      <c r="R96" t="s">
        <v>691</v>
      </c>
      <c r="AA96">
        <v>26</v>
      </c>
    </row>
    <row r="97" spans="1:27" x14ac:dyDescent="0.25">
      <c r="A97">
        <v>16970403</v>
      </c>
      <c r="B97" t="s">
        <v>792</v>
      </c>
      <c r="C97" t="s">
        <v>538</v>
      </c>
      <c r="D97" t="s">
        <v>530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458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19</v>
      </c>
      <c r="R97" t="s">
        <v>695</v>
      </c>
      <c r="AA97">
        <v>67</v>
      </c>
    </row>
    <row r="98" spans="1:27" x14ac:dyDescent="0.25">
      <c r="A98">
        <v>16970411</v>
      </c>
      <c r="B98" t="s">
        <v>793</v>
      </c>
      <c r="C98" t="s">
        <v>523</v>
      </c>
      <c r="D98" t="s">
        <v>129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458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30</v>
      </c>
      <c r="R98" t="s">
        <v>696</v>
      </c>
      <c r="AA98">
        <v>17</v>
      </c>
    </row>
    <row r="99" spans="1:27" x14ac:dyDescent="0.25">
      <c r="A99">
        <v>16970429</v>
      </c>
      <c r="B99" t="s">
        <v>794</v>
      </c>
      <c r="C99" t="s">
        <v>377</v>
      </c>
      <c r="D99" t="s">
        <v>535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458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19</v>
      </c>
      <c r="R99" t="s">
        <v>697</v>
      </c>
      <c r="AA99">
        <v>30</v>
      </c>
    </row>
    <row r="100" spans="1:27" x14ac:dyDescent="0.25">
      <c r="A100">
        <v>16970437</v>
      </c>
      <c r="B100" t="s">
        <v>795</v>
      </c>
      <c r="C100" t="s">
        <v>376</v>
      </c>
      <c r="D100" t="s">
        <v>369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458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19</v>
      </c>
      <c r="R100" t="s">
        <v>698</v>
      </c>
      <c r="AA100">
        <v>33</v>
      </c>
    </row>
  </sheetData>
  <autoFilter ref="A1:AA1">
    <sortState ref="A2:AA49">
      <sortCondition ref="B1"/>
    </sortState>
  </autoFilter>
  <conditionalFormatting sqref="A2:A9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"/>
  <sheetViews>
    <sheetView topLeftCell="A75" workbookViewId="0">
      <selection activeCell="A2" sqref="A2:AA100"/>
    </sheetView>
  </sheetViews>
  <sheetFormatPr baseColWidth="10" defaultRowHeight="15" x14ac:dyDescent="0.25"/>
  <cols>
    <col min="1" max="1" width="9" bestFit="1" customWidth="1"/>
    <col min="2" max="2" width="33.85546875" bestFit="1" customWidth="1"/>
    <col min="3" max="3" width="25.42578125" bestFit="1" customWidth="1"/>
    <col min="4" max="4" width="18.28515625" bestFit="1" customWidth="1"/>
    <col min="5" max="5" width="33.28515625" bestFit="1" customWidth="1"/>
    <col min="6" max="6" width="9.28515625" bestFit="1" customWidth="1"/>
    <col min="7" max="8" width="10.28515625" bestFit="1" customWidth="1"/>
    <col min="9" max="9" width="3.28515625" bestFit="1" customWidth="1"/>
    <col min="10" max="10" width="7.140625" bestFit="1" customWidth="1"/>
    <col min="11" max="11" width="14.140625" bestFit="1" customWidth="1"/>
    <col min="12" max="12" width="4.5703125" bestFit="1" customWidth="1"/>
    <col min="13" max="13" width="8.28515625" bestFit="1" customWidth="1"/>
    <col min="14" max="14" width="11.7109375" bestFit="1" customWidth="1"/>
    <col min="15" max="15" width="6.140625" bestFit="1" customWidth="1"/>
    <col min="16" max="16" width="5.85546875" bestFit="1" customWidth="1"/>
    <col min="17" max="17" width="7.7109375" bestFit="1" customWidth="1"/>
    <col min="18" max="18" width="10.7109375" style="2" bestFit="1" customWidth="1"/>
    <col min="19" max="19" width="14.5703125" bestFit="1" customWidth="1"/>
    <col min="20" max="20" width="11.85546875" bestFit="1" customWidth="1"/>
    <col min="21" max="21" width="11" bestFit="1" customWidth="1"/>
    <col min="22" max="22" width="5" bestFit="1" customWidth="1"/>
    <col min="23" max="23" width="15.42578125" bestFit="1" customWidth="1"/>
    <col min="24" max="24" width="12.7109375" bestFit="1" customWidth="1"/>
    <col min="25" max="25" width="11.85546875" bestFit="1" customWidth="1"/>
    <col min="26" max="26" width="10.140625" bestFit="1" customWidth="1"/>
    <col min="27" max="27" width="5.28515625" bestFit="1" customWidth="1"/>
  </cols>
  <sheetData>
    <row r="1" spans="1:27" x14ac:dyDescent="0.25">
      <c r="A1" s="1" t="s">
        <v>0</v>
      </c>
      <c r="B1" s="1" t="s">
        <v>93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4" t="s">
        <v>15</v>
      </c>
      <c r="S1" s="1" t="s">
        <v>96</v>
      </c>
      <c r="T1" s="1" t="s">
        <v>97</v>
      </c>
      <c r="U1" s="1" t="s">
        <v>178</v>
      </c>
      <c r="V1" s="1" t="s">
        <v>16</v>
      </c>
      <c r="W1" s="1" t="s">
        <v>98</v>
      </c>
      <c r="X1" s="1" t="s">
        <v>99</v>
      </c>
      <c r="Y1" s="1" t="s">
        <v>179</v>
      </c>
      <c r="Z1" s="1" t="s">
        <v>17</v>
      </c>
      <c r="AA1" s="1" t="s">
        <v>50</v>
      </c>
    </row>
    <row r="2" spans="1:27" x14ac:dyDescent="0.25">
      <c r="A2">
        <v>1178913</v>
      </c>
      <c r="B2" t="str">
        <f>IF(VLOOKUP($A2,Sheet1!$A:$AA,MATCH(B$1,Sheet1!$A$1:$AA$1,0),FALSE)=0,"",VLOOKUP($A2,Sheet1!$A:$AA,MATCH(B$1,Sheet1!$A$1:$AA$1,0),FALSE))</f>
        <v>SENCIALES DEL MORAL, ARACELI</v>
      </c>
      <c r="C2" t="str">
        <f>IF(VLOOKUP($A2,Sheet1!$A:$AA,MATCH(C$1,Sheet1!$A$1:$AA$1,0),FALSE)=0,"",VLOOKUP($A2,Sheet1!$A:$AA,MATCH(C$1,Sheet1!$A$1:$AA$1,0),FALSE))</f>
        <v>SENCIALES DEL MORAL</v>
      </c>
      <c r="D2" t="str">
        <f>IF(VLOOKUP($A2,Sheet1!$A:$AA,MATCH(D$1,Sheet1!$A$1:$AA$1,0),FALSE)=0,"",VLOOKUP($A2,Sheet1!$A:$AA,MATCH(D$1,Sheet1!$A$1:$AA$1,0),FALSE))</f>
        <v>ARACELI</v>
      </c>
      <c r="E2" t="str">
        <f>IF(VLOOKUP($A2,Sheet1!$A:$AA,MATCH(E$1,Sheet1!$A$1:$AA$1,0),FALSE)=0,"",VLOOKUP($A2,Sheet1!$A:$AA,MATCH(E$1,Sheet1!$A$1:$AA$1,0),FALSE))</f>
        <v/>
      </c>
      <c r="F2" t="str">
        <f>IF(VLOOKUP($A2,Sheet1!$A:$AA,MATCH(F$1,Sheet1!$A$1:$AA$1,0),FALSE)=0,"",VLOOKUP($A2,Sheet1!$A:$AA,MATCH(F$1,Sheet1!$A$1:$AA$1,0),FALSE))</f>
        <v/>
      </c>
      <c r="G2" t="str">
        <f>IF(VLOOKUP($A2,Sheet1!$A:$AA,MATCH(G$1,Sheet1!$A$1:$AA$1,0),FALSE)=0,"",VLOOKUP($A2,Sheet1!$A:$AA,MATCH(G$1,Sheet1!$A$1:$AA$1,0),FALSE))</f>
        <v/>
      </c>
      <c r="H2" t="str">
        <f>IF(VLOOKUP($A2,Sheet1!$A:$AA,MATCH(H$1,Sheet1!$A$1:$AA$1,0),FALSE)=0,"",VLOOKUP($A2,Sheet1!$A:$AA,MATCH(H$1,Sheet1!$A$1:$AA$1,0),FALSE))</f>
        <v/>
      </c>
      <c r="I2" t="str">
        <f>IF(VLOOKUP($A2,Sheet1!$A:$AA,MATCH(I$1,Sheet1!$A$1:$AA$1,0),FALSE)=0,"",VLOOKUP($A2,Sheet1!$A:$AA,MATCH(I$1,Sheet1!$A$1:$AA$1,0),FALSE))</f>
        <v/>
      </c>
      <c r="J2" t="str">
        <f>IF(VLOOKUP($A2,Sheet1!$A:$AA,MATCH(J$1,Sheet1!$A$1:$AA$1,0),FALSE)=0,"",VLOOKUP($A2,Sheet1!$A:$AA,MATCH(J$1,Sheet1!$A$1:$AA$1,0),FALSE))</f>
        <v/>
      </c>
      <c r="K2" t="str">
        <f>IF(VLOOKUP($A2,Sheet1!$A:$AA,MATCH(K$1,Sheet1!$A$1:$AA$1,0),FALSE)=0,"",VLOOKUP($A2,Sheet1!$A:$AA,MATCH(K$1,Sheet1!$A$1:$AA$1,0),FALSE))</f>
        <v>ANDALUZA</v>
      </c>
      <c r="L2" t="str">
        <f>IF(VLOOKUP($A2,Sheet1!$A:$AA,MATCH(L$1,Sheet1!$A$1:$AA$1,0),FALSE)=0,"",VLOOKUP($A2,Sheet1!$A:$AA,MATCH(L$1,Sheet1!$A$1:$AA$1,0),FALSE))</f>
        <v/>
      </c>
      <c r="M2" t="str">
        <f>IF(VLOOKUP($A2,Sheet1!$A:$AA,MATCH(M$1,Sheet1!$A$1:$AA$1,0),FALSE)=0,"",VLOOKUP($A2,Sheet1!$A:$AA,MATCH(M$1,Sheet1!$A$1:$AA$1,0),FALSE))</f>
        <v/>
      </c>
      <c r="N2" t="str">
        <f>IF(VLOOKUP($A2,Sheet1!$A:$AA,MATCH(N$1,Sheet1!$A$1:$AA$1,0),FALSE)=0,"",VLOOKUP($A2,Sheet1!$A:$AA,MATCH(N$1,Sheet1!$A$1:$AA$1,0),FALSE))</f>
        <v/>
      </c>
      <c r="O2" t="str">
        <f>IF(VLOOKUP($A2,Sheet1!$A:$AA,MATCH(O$1,Sheet1!$A$1:$AA$1,0),FALSE)=0,"",VLOOKUP($A2,Sheet1!$A:$AA,MATCH(O$1,Sheet1!$A$1:$AA$1,0),FALSE))</f>
        <v/>
      </c>
      <c r="P2" t="str">
        <f>IF(VLOOKUP($A2,Sheet1!$A:$AA,MATCH(P$1,Sheet1!$A$1:$AA$1,0),FALSE)=0,"",VLOOKUP($A2,Sheet1!$A:$AA,MATCH(P$1,Sheet1!$A$1:$AA$1,0),FALSE))</f>
        <v/>
      </c>
      <c r="Q2" t="str">
        <f>IF(VLOOKUP($A2,Sheet1!$A:$AA,MATCH(Q$1,Sheet1!$A$1:$AA$1,0),FALSE)=0,"",VLOOKUP($A2,Sheet1!$A:$AA,MATCH(Q$1,Sheet1!$A$1:$AA$1,0),FALSE))</f>
        <v>F</v>
      </c>
      <c r="R2" s="2">
        <f>IF(VLOOKUP($A2,Sheet1!$A:$AA,MATCH(R$1,Sheet1!$A$1:$AA$1,0),FALSE)=0,"",VLOOKUP($A2,Sheet1!$A:$AA,MATCH(R$1,Sheet1!$A$1:$AA$1,0),FALSE))</f>
        <v>26255</v>
      </c>
      <c r="AA2">
        <f ca="1">IF(VLOOKUP($A2,Sheet1!$A:$AA,MATCH(AA$1,Sheet1!$A$1:$AA$1,0),FALSE)=0,"",VLOOKUP($A2,Sheet1!$A:$AA,MATCH(AA$1,Sheet1!$A$1:$AA$1,0),FALSE))</f>
        <v>54</v>
      </c>
    </row>
    <row r="3" spans="1:27" x14ac:dyDescent="0.25">
      <c r="A3">
        <v>2079300</v>
      </c>
      <c r="B3" t="str">
        <f>IF(VLOOKUP($A3,Sheet1!$A:$AA,MATCH(B$1,Sheet1!$A$1:$AA$1,0),FALSE)=0,"",VLOOKUP($A3,Sheet1!$A:$AA,MATCH(B$1,Sheet1!$A$1:$AA$1,0),FALSE))</f>
        <v>Rodríguez, Francisco</v>
      </c>
      <c r="C3" t="str">
        <f>IF(VLOOKUP($A3,Sheet1!$A:$AA,MATCH(C$1,Sheet1!$A$1:$AA$1,0),FALSE)=0,"",VLOOKUP($A3,Sheet1!$A:$AA,MATCH(C$1,Sheet1!$A$1:$AA$1,0),FALSE))</f>
        <v>Rodríguez</v>
      </c>
      <c r="D3" t="str">
        <f>IF(VLOOKUP($A3,Sheet1!$A:$AA,MATCH(D$1,Sheet1!$A$1:$AA$1,0),FALSE)=0,"",VLOOKUP($A3,Sheet1!$A:$AA,MATCH(D$1,Sheet1!$A$1:$AA$1,0),FALSE))</f>
        <v>Francisco</v>
      </c>
      <c r="E3" t="str">
        <f>IF(VLOOKUP($A3,Sheet1!$A:$AA,MATCH(E$1,Sheet1!$A$1:$AA$1,0),FALSE)=0,"",VLOOKUP($A3,Sheet1!$A:$AA,MATCH(E$1,Sheet1!$A$1:$AA$1,0),FALSE))</f>
        <v/>
      </c>
      <c r="F3" t="str">
        <f>IF(VLOOKUP($A3,Sheet1!$A:$AA,MATCH(F$1,Sheet1!$A$1:$AA$1,0),FALSE)=0,"",VLOOKUP($A3,Sheet1!$A:$AA,MATCH(F$1,Sheet1!$A$1:$AA$1,0),FALSE))</f>
        <v/>
      </c>
      <c r="G3" t="str">
        <f>IF(VLOOKUP($A3,Sheet1!$A:$AA,MATCH(G$1,Sheet1!$A$1:$AA$1,0),FALSE)=0,"",VLOOKUP($A3,Sheet1!$A:$AA,MATCH(G$1,Sheet1!$A$1:$AA$1,0),FALSE))</f>
        <v/>
      </c>
      <c r="H3" t="str">
        <f>IF(VLOOKUP($A3,Sheet1!$A:$AA,MATCH(H$1,Sheet1!$A$1:$AA$1,0),FALSE)=0,"",VLOOKUP($A3,Sheet1!$A:$AA,MATCH(H$1,Sheet1!$A$1:$AA$1,0),FALSE))</f>
        <v/>
      </c>
      <c r="I3" t="str">
        <f>IF(VLOOKUP($A3,Sheet1!$A:$AA,MATCH(I$1,Sheet1!$A$1:$AA$1,0),FALSE)=0,"",VLOOKUP($A3,Sheet1!$A:$AA,MATCH(I$1,Sheet1!$A$1:$AA$1,0),FALSE))</f>
        <v/>
      </c>
      <c r="J3" t="str">
        <f>IF(VLOOKUP($A3,Sheet1!$A:$AA,MATCH(J$1,Sheet1!$A$1:$AA$1,0),FALSE)=0,"",VLOOKUP($A3,Sheet1!$A:$AA,MATCH(J$1,Sheet1!$A$1:$AA$1,0),FALSE))</f>
        <v/>
      </c>
      <c r="K3" t="str">
        <f>IF(VLOOKUP($A3,Sheet1!$A:$AA,MATCH(K$1,Sheet1!$A$1:$AA$1,0),FALSE)=0,"",VLOOKUP($A3,Sheet1!$A:$AA,MATCH(K$1,Sheet1!$A$1:$AA$1,0),FALSE))</f>
        <v>ANDALUZA</v>
      </c>
      <c r="L3" t="str">
        <f>IF(VLOOKUP($A3,Sheet1!$A:$AA,MATCH(L$1,Sheet1!$A$1:$AA$1,0),FALSE)=0,"",VLOOKUP($A3,Sheet1!$A:$AA,MATCH(L$1,Sheet1!$A$1:$AA$1,0),FALSE))</f>
        <v/>
      </c>
      <c r="M3" t="str">
        <f>IF(VLOOKUP($A3,Sheet1!$A:$AA,MATCH(M$1,Sheet1!$A$1:$AA$1,0),FALSE)=0,"",VLOOKUP($A3,Sheet1!$A:$AA,MATCH(M$1,Sheet1!$A$1:$AA$1,0),FALSE))</f>
        <v/>
      </c>
      <c r="N3" t="str">
        <f>IF(VLOOKUP($A3,Sheet1!$A:$AA,MATCH(N$1,Sheet1!$A$1:$AA$1,0),FALSE)=0,"",VLOOKUP($A3,Sheet1!$A:$AA,MATCH(N$1,Sheet1!$A$1:$AA$1,0),FALSE))</f>
        <v/>
      </c>
      <c r="O3" t="str">
        <f>IF(VLOOKUP($A3,Sheet1!$A:$AA,MATCH(O$1,Sheet1!$A$1:$AA$1,0),FALSE)=0,"",VLOOKUP($A3,Sheet1!$A:$AA,MATCH(O$1,Sheet1!$A$1:$AA$1,0),FALSE))</f>
        <v/>
      </c>
      <c r="P3" t="str">
        <f>IF(VLOOKUP($A3,Sheet1!$A:$AA,MATCH(P$1,Sheet1!$A$1:$AA$1,0),FALSE)=0,"",VLOOKUP($A3,Sheet1!$A:$AA,MATCH(P$1,Sheet1!$A$1:$AA$1,0),FALSE))</f>
        <v/>
      </c>
      <c r="Q3" t="str">
        <f>IF(VLOOKUP($A3,Sheet1!$A:$AA,MATCH(Q$1,Sheet1!$A$1:$AA$1,0),FALSE)=0,"",VLOOKUP($A3,Sheet1!$A:$AA,MATCH(Q$1,Sheet1!$A$1:$AA$1,0),FALSE))</f>
        <v>M</v>
      </c>
      <c r="R3" s="2">
        <f>IF(VLOOKUP($A3,Sheet1!$A:$AA,MATCH(R$1,Sheet1!$A$1:$AA$1,0),FALSE)=0,"",VLOOKUP($A3,Sheet1!$A:$AA,MATCH(R$1,Sheet1!$A$1:$AA$1,0),FALSE))</f>
        <v>27760</v>
      </c>
      <c r="AA3">
        <f ca="1">IF(VLOOKUP($A3,Sheet1!$A:$AA,MATCH(AA$1,Sheet1!$A$1:$AA$1,0),FALSE)=0,"",VLOOKUP($A3,Sheet1!$A:$AA,MATCH(AA$1,Sheet1!$A$1:$AA$1,0),FALSE))</f>
        <v>49</v>
      </c>
    </row>
    <row r="4" spans="1:27" x14ac:dyDescent="0.25">
      <c r="A4">
        <v>4304359</v>
      </c>
      <c r="B4" t="str">
        <f>IF(VLOOKUP($A4,Sheet1!$A:$AA,MATCH(B$1,Sheet1!$A$1:$AA$1,0),FALSE)=0,"",VLOOKUP($A4,Sheet1!$A:$AA,MATCH(B$1,Sheet1!$A$1:$AA$1,0),FALSE))</f>
        <v>HERNANDEZ SANCHEZ, SIRO</v>
      </c>
      <c r="C4" t="str">
        <f>IF(VLOOKUP($A4,Sheet1!$A:$AA,MATCH(C$1,Sheet1!$A$1:$AA$1,0),FALSE)=0,"",VLOOKUP($A4,Sheet1!$A:$AA,MATCH(C$1,Sheet1!$A$1:$AA$1,0),FALSE))</f>
        <v>HERNANDEZ SANCHEZ</v>
      </c>
      <c r="D4" t="str">
        <f>IF(VLOOKUP($A4,Sheet1!$A:$AA,MATCH(D$1,Sheet1!$A$1:$AA$1,0),FALSE)=0,"",VLOOKUP($A4,Sheet1!$A:$AA,MATCH(D$1,Sheet1!$A$1:$AA$1,0),FALSE))</f>
        <v>SIRO</v>
      </c>
      <c r="E4" t="str">
        <f>IF(VLOOKUP($A4,Sheet1!$A:$AA,MATCH(E$1,Sheet1!$A$1:$AA$1,0),FALSE)=0,"",VLOOKUP($A4,Sheet1!$A:$AA,MATCH(E$1,Sheet1!$A$1:$AA$1,0),FALSE))</f>
        <v/>
      </c>
      <c r="F4" t="str">
        <f>IF(VLOOKUP($A4,Sheet1!$A:$AA,MATCH(F$1,Sheet1!$A$1:$AA$1,0),FALSE)=0,"",VLOOKUP($A4,Sheet1!$A:$AA,MATCH(F$1,Sheet1!$A$1:$AA$1,0),FALSE))</f>
        <v/>
      </c>
      <c r="G4" t="str">
        <f>IF(VLOOKUP($A4,Sheet1!$A:$AA,MATCH(G$1,Sheet1!$A$1:$AA$1,0),FALSE)=0,"",VLOOKUP($A4,Sheet1!$A:$AA,MATCH(G$1,Sheet1!$A$1:$AA$1,0),FALSE))</f>
        <v/>
      </c>
      <c r="H4" t="str">
        <f>IF(VLOOKUP($A4,Sheet1!$A:$AA,MATCH(H$1,Sheet1!$A$1:$AA$1,0),FALSE)=0,"",VLOOKUP($A4,Sheet1!$A:$AA,MATCH(H$1,Sheet1!$A$1:$AA$1,0),FALSE))</f>
        <v/>
      </c>
      <c r="I4" t="str">
        <f>IF(VLOOKUP($A4,Sheet1!$A:$AA,MATCH(I$1,Sheet1!$A$1:$AA$1,0),FALSE)=0,"",VLOOKUP($A4,Sheet1!$A:$AA,MATCH(I$1,Sheet1!$A$1:$AA$1,0),FALSE))</f>
        <v/>
      </c>
      <c r="J4" t="str">
        <f>IF(VLOOKUP($A4,Sheet1!$A:$AA,MATCH(J$1,Sheet1!$A$1:$AA$1,0),FALSE)=0,"",VLOOKUP($A4,Sheet1!$A:$AA,MATCH(J$1,Sheet1!$A$1:$AA$1,0),FALSE))</f>
        <v/>
      </c>
      <c r="K4" t="str">
        <f>IF(VLOOKUP($A4,Sheet1!$A:$AA,MATCH(K$1,Sheet1!$A$1:$AA$1,0),FALSE)=0,"",VLOOKUP($A4,Sheet1!$A:$AA,MATCH(K$1,Sheet1!$A$1:$AA$1,0),FALSE))</f>
        <v>ANDALUZA</v>
      </c>
      <c r="L4" t="str">
        <f>IF(VLOOKUP($A4,Sheet1!$A:$AA,MATCH(L$1,Sheet1!$A$1:$AA$1,0),FALSE)=0,"",VLOOKUP($A4,Sheet1!$A:$AA,MATCH(L$1,Sheet1!$A$1:$AA$1,0),FALSE))</f>
        <v/>
      </c>
      <c r="M4" t="str">
        <f>IF(VLOOKUP($A4,Sheet1!$A:$AA,MATCH(M$1,Sheet1!$A$1:$AA$1,0),FALSE)=0,"",VLOOKUP($A4,Sheet1!$A:$AA,MATCH(M$1,Sheet1!$A$1:$AA$1,0),FALSE))</f>
        <v/>
      </c>
      <c r="N4" t="str">
        <f>IF(VLOOKUP($A4,Sheet1!$A:$AA,MATCH(N$1,Sheet1!$A$1:$AA$1,0),FALSE)=0,"",VLOOKUP($A4,Sheet1!$A:$AA,MATCH(N$1,Sheet1!$A$1:$AA$1,0),FALSE))</f>
        <v/>
      </c>
      <c r="O4" t="str">
        <f>IF(VLOOKUP($A4,Sheet1!$A:$AA,MATCH(O$1,Sheet1!$A$1:$AA$1,0),FALSE)=0,"",VLOOKUP($A4,Sheet1!$A:$AA,MATCH(O$1,Sheet1!$A$1:$AA$1,0),FALSE))</f>
        <v/>
      </c>
      <c r="P4" t="str">
        <f>IF(VLOOKUP($A4,Sheet1!$A:$AA,MATCH(P$1,Sheet1!$A$1:$AA$1,0),FALSE)=0,"",VLOOKUP($A4,Sheet1!$A:$AA,MATCH(P$1,Sheet1!$A$1:$AA$1,0),FALSE))</f>
        <v/>
      </c>
      <c r="Q4" t="str">
        <f>IF(VLOOKUP($A4,Sheet1!$A:$AA,MATCH(Q$1,Sheet1!$A$1:$AA$1,0),FALSE)=0,"",VLOOKUP($A4,Sheet1!$A:$AA,MATCH(Q$1,Sheet1!$A$1:$AA$1,0),FALSE))</f>
        <v>M</v>
      </c>
      <c r="R4" s="2">
        <f>IF(VLOOKUP($A4,Sheet1!$A:$AA,MATCH(R$1,Sheet1!$A$1:$AA$1,0),FALSE)=0,"",VLOOKUP($A4,Sheet1!$A:$AA,MATCH(R$1,Sheet1!$A$1:$AA$1,0),FALSE))</f>
        <v>33182</v>
      </c>
      <c r="AA4">
        <f ca="1">IF(VLOOKUP($A4,Sheet1!$A:$AA,MATCH(AA$1,Sheet1!$A$1:$AA$1,0),FALSE)=0,"",VLOOKUP($A4,Sheet1!$A:$AA,MATCH(AA$1,Sheet1!$A$1:$AA$1,0),FALSE))</f>
        <v>35</v>
      </c>
    </row>
    <row r="5" spans="1:27" x14ac:dyDescent="0.25">
      <c r="A5">
        <v>9307895</v>
      </c>
      <c r="B5" t="str">
        <f>IF(VLOOKUP($A5,Sheet1!$A:$AA,MATCH(B$1,Sheet1!$A$1:$AA$1,0),FALSE)=0,"",VLOOKUP($A5,Sheet1!$A:$AA,MATCH(B$1,Sheet1!$A$1:$AA$1,0),FALSE))</f>
        <v>CARRION JIMENEZ, JOSE</v>
      </c>
      <c r="C5" t="str">
        <f>IF(VLOOKUP($A5,Sheet1!$A:$AA,MATCH(C$1,Sheet1!$A$1:$AA$1,0),FALSE)=0,"",VLOOKUP($A5,Sheet1!$A:$AA,MATCH(C$1,Sheet1!$A$1:$AA$1,0),FALSE))</f>
        <v>CARRION JIMENEZ</v>
      </c>
      <c r="D5" t="str">
        <f>IF(VLOOKUP($A5,Sheet1!$A:$AA,MATCH(D$1,Sheet1!$A$1:$AA$1,0),FALSE)=0,"",VLOOKUP($A5,Sheet1!$A:$AA,MATCH(D$1,Sheet1!$A$1:$AA$1,0),FALSE))</f>
        <v>JOSE</v>
      </c>
      <c r="E5" t="str">
        <f>IF(VLOOKUP($A5,Sheet1!$A:$AA,MATCH(E$1,Sheet1!$A$1:$AA$1,0),FALSE)=0,"",VLOOKUP($A5,Sheet1!$A:$AA,MATCH(E$1,Sheet1!$A$1:$AA$1,0),FALSE))</f>
        <v/>
      </c>
      <c r="F5" t="str">
        <f>IF(VLOOKUP($A5,Sheet1!$A:$AA,MATCH(F$1,Sheet1!$A$1:$AA$1,0),FALSE)=0,"",VLOOKUP($A5,Sheet1!$A:$AA,MATCH(F$1,Sheet1!$A$1:$AA$1,0),FALSE))</f>
        <v/>
      </c>
      <c r="G5" t="str">
        <f>IF(VLOOKUP($A5,Sheet1!$A:$AA,MATCH(G$1,Sheet1!$A$1:$AA$1,0),FALSE)=0,"",VLOOKUP($A5,Sheet1!$A:$AA,MATCH(G$1,Sheet1!$A$1:$AA$1,0),FALSE))</f>
        <v/>
      </c>
      <c r="H5" t="str">
        <f>IF(VLOOKUP($A5,Sheet1!$A:$AA,MATCH(H$1,Sheet1!$A$1:$AA$1,0),FALSE)=0,"",VLOOKUP($A5,Sheet1!$A:$AA,MATCH(H$1,Sheet1!$A$1:$AA$1,0),FALSE))</f>
        <v/>
      </c>
      <c r="I5" t="str">
        <f>IF(VLOOKUP($A5,Sheet1!$A:$AA,MATCH(I$1,Sheet1!$A$1:$AA$1,0),FALSE)=0,"",VLOOKUP($A5,Sheet1!$A:$AA,MATCH(I$1,Sheet1!$A$1:$AA$1,0),FALSE))</f>
        <v/>
      </c>
      <c r="J5" t="str">
        <f>IF(VLOOKUP($A5,Sheet1!$A:$AA,MATCH(J$1,Sheet1!$A$1:$AA$1,0),FALSE)=0,"",VLOOKUP($A5,Sheet1!$A:$AA,MATCH(J$1,Sheet1!$A$1:$AA$1,0),FALSE))</f>
        <v/>
      </c>
      <c r="K5" t="str">
        <f>IF(VLOOKUP($A5,Sheet1!$A:$AA,MATCH(K$1,Sheet1!$A$1:$AA$1,0),FALSE)=0,"",VLOOKUP($A5,Sheet1!$A:$AA,MATCH(K$1,Sheet1!$A$1:$AA$1,0),FALSE))</f>
        <v>ANDALUZA</v>
      </c>
      <c r="L5" t="str">
        <f>IF(VLOOKUP($A5,Sheet1!$A:$AA,MATCH(L$1,Sheet1!$A$1:$AA$1,0),FALSE)=0,"",VLOOKUP($A5,Sheet1!$A:$AA,MATCH(L$1,Sheet1!$A$1:$AA$1,0),FALSE))</f>
        <v/>
      </c>
      <c r="M5" t="str">
        <f>IF(VLOOKUP($A5,Sheet1!$A:$AA,MATCH(M$1,Sheet1!$A$1:$AA$1,0),FALSE)=0,"",VLOOKUP($A5,Sheet1!$A:$AA,MATCH(M$1,Sheet1!$A$1:$AA$1,0),FALSE))</f>
        <v/>
      </c>
      <c r="N5" t="str">
        <f>IF(VLOOKUP($A5,Sheet1!$A:$AA,MATCH(N$1,Sheet1!$A$1:$AA$1,0),FALSE)=0,"",VLOOKUP($A5,Sheet1!$A:$AA,MATCH(N$1,Sheet1!$A$1:$AA$1,0),FALSE))</f>
        <v/>
      </c>
      <c r="O5" t="str">
        <f>IF(VLOOKUP($A5,Sheet1!$A:$AA,MATCH(O$1,Sheet1!$A$1:$AA$1,0),FALSE)=0,"",VLOOKUP($A5,Sheet1!$A:$AA,MATCH(O$1,Sheet1!$A$1:$AA$1,0),FALSE))</f>
        <v/>
      </c>
      <c r="P5" t="str">
        <f>IF(VLOOKUP($A5,Sheet1!$A:$AA,MATCH(P$1,Sheet1!$A$1:$AA$1,0),FALSE)=0,"",VLOOKUP($A5,Sheet1!$A:$AA,MATCH(P$1,Sheet1!$A$1:$AA$1,0),FALSE))</f>
        <v/>
      </c>
      <c r="Q5" t="str">
        <f>IF(VLOOKUP($A5,Sheet1!$A:$AA,MATCH(Q$1,Sheet1!$A$1:$AA$1,0),FALSE)=0,"",VLOOKUP($A5,Sheet1!$A:$AA,MATCH(Q$1,Sheet1!$A$1:$AA$1,0),FALSE))</f>
        <v>M</v>
      </c>
      <c r="R5" s="2">
        <f>IF(VLOOKUP($A5,Sheet1!$A:$AA,MATCH(R$1,Sheet1!$A$1:$AA$1,0),FALSE)=0,"",VLOOKUP($A5,Sheet1!$A:$AA,MATCH(R$1,Sheet1!$A$1:$AA$1,0),FALSE))</f>
        <v>33629</v>
      </c>
      <c r="AA5">
        <f ca="1">IF(VLOOKUP($A5,Sheet1!$A:$AA,MATCH(AA$1,Sheet1!$A$1:$AA$1,0),FALSE)=0,"",VLOOKUP($A5,Sheet1!$A:$AA,MATCH(AA$1,Sheet1!$A$1:$AA$1,0),FALSE))</f>
        <v>33</v>
      </c>
    </row>
    <row r="6" spans="1:27" x14ac:dyDescent="0.25">
      <c r="A6">
        <v>9386568</v>
      </c>
      <c r="B6" t="str">
        <f>IF(VLOOKUP($A6,Sheet1!$A:$AA,MATCH(B$1,Sheet1!$A$1:$AA$1,0),FALSE)=0,"",VLOOKUP($A6,Sheet1!$A:$AA,MATCH(B$1,Sheet1!$A$1:$AA$1,0),FALSE))</f>
        <v>ALVAREZ DE LA TORRE, MELQUIADES</v>
      </c>
      <c r="C6" t="str">
        <f>IF(VLOOKUP($A6,Sheet1!$A:$AA,MATCH(C$1,Sheet1!$A$1:$AA$1,0),FALSE)=0,"",VLOOKUP($A6,Sheet1!$A:$AA,MATCH(C$1,Sheet1!$A$1:$AA$1,0),FALSE))</f>
        <v>ALVAREZ DE LA TORRE</v>
      </c>
      <c r="D6" t="str">
        <f>IF(VLOOKUP($A6,Sheet1!$A:$AA,MATCH(D$1,Sheet1!$A$1:$AA$1,0),FALSE)=0,"",VLOOKUP($A6,Sheet1!$A:$AA,MATCH(D$1,Sheet1!$A$1:$AA$1,0),FALSE))</f>
        <v>MELQUIADES</v>
      </c>
      <c r="E6" t="str">
        <f>IF(VLOOKUP($A6,Sheet1!$A:$AA,MATCH(E$1,Sheet1!$A$1:$AA$1,0),FALSE)=0,"",VLOOKUP($A6,Sheet1!$A:$AA,MATCH(E$1,Sheet1!$A$1:$AA$1,0),FALSE))</f>
        <v/>
      </c>
      <c r="F6" t="str">
        <f>IF(VLOOKUP($A6,Sheet1!$A:$AA,MATCH(F$1,Sheet1!$A$1:$AA$1,0),FALSE)=0,"",VLOOKUP($A6,Sheet1!$A:$AA,MATCH(F$1,Sheet1!$A$1:$AA$1,0),FALSE))</f>
        <v/>
      </c>
      <c r="G6" t="str">
        <f>IF(VLOOKUP($A6,Sheet1!$A:$AA,MATCH(G$1,Sheet1!$A$1:$AA$1,0),FALSE)=0,"",VLOOKUP($A6,Sheet1!$A:$AA,MATCH(G$1,Sheet1!$A$1:$AA$1,0),FALSE))</f>
        <v/>
      </c>
      <c r="H6" t="str">
        <f>IF(VLOOKUP($A6,Sheet1!$A:$AA,MATCH(H$1,Sheet1!$A$1:$AA$1,0),FALSE)=0,"",VLOOKUP($A6,Sheet1!$A:$AA,MATCH(H$1,Sheet1!$A$1:$AA$1,0),FALSE))</f>
        <v/>
      </c>
      <c r="I6" t="str">
        <f>IF(VLOOKUP($A6,Sheet1!$A:$AA,MATCH(I$1,Sheet1!$A$1:$AA$1,0),FALSE)=0,"",VLOOKUP($A6,Sheet1!$A:$AA,MATCH(I$1,Sheet1!$A$1:$AA$1,0),FALSE))</f>
        <v/>
      </c>
      <c r="J6" t="str">
        <f>IF(VLOOKUP($A6,Sheet1!$A:$AA,MATCH(J$1,Sheet1!$A$1:$AA$1,0),FALSE)=0,"",VLOOKUP($A6,Sheet1!$A:$AA,MATCH(J$1,Sheet1!$A$1:$AA$1,0),FALSE))</f>
        <v/>
      </c>
      <c r="K6" t="str">
        <f>IF(VLOOKUP($A6,Sheet1!$A:$AA,MATCH(K$1,Sheet1!$A$1:$AA$1,0),FALSE)=0,"",VLOOKUP($A6,Sheet1!$A:$AA,MATCH(K$1,Sheet1!$A$1:$AA$1,0),FALSE))</f>
        <v>ANDALUZA</v>
      </c>
      <c r="L6" t="str">
        <f>IF(VLOOKUP($A6,Sheet1!$A:$AA,MATCH(L$1,Sheet1!$A$1:$AA$1,0),FALSE)=0,"",VLOOKUP($A6,Sheet1!$A:$AA,MATCH(L$1,Sheet1!$A$1:$AA$1,0),FALSE))</f>
        <v/>
      </c>
      <c r="M6" t="str">
        <f>IF(VLOOKUP($A6,Sheet1!$A:$AA,MATCH(M$1,Sheet1!$A$1:$AA$1,0),FALSE)=0,"",VLOOKUP($A6,Sheet1!$A:$AA,MATCH(M$1,Sheet1!$A$1:$AA$1,0),FALSE))</f>
        <v/>
      </c>
      <c r="N6" t="str">
        <f>IF(VLOOKUP($A6,Sheet1!$A:$AA,MATCH(N$1,Sheet1!$A$1:$AA$1,0),FALSE)=0,"",VLOOKUP($A6,Sheet1!$A:$AA,MATCH(N$1,Sheet1!$A$1:$AA$1,0),FALSE))</f>
        <v/>
      </c>
      <c r="O6" t="str">
        <f>IF(VLOOKUP($A6,Sheet1!$A:$AA,MATCH(O$1,Sheet1!$A$1:$AA$1,0),FALSE)=0,"",VLOOKUP($A6,Sheet1!$A:$AA,MATCH(O$1,Sheet1!$A$1:$AA$1,0),FALSE))</f>
        <v/>
      </c>
      <c r="P6" t="str">
        <f>IF(VLOOKUP($A6,Sheet1!$A:$AA,MATCH(P$1,Sheet1!$A$1:$AA$1,0),FALSE)=0,"",VLOOKUP($A6,Sheet1!$A:$AA,MATCH(P$1,Sheet1!$A$1:$AA$1,0),FALSE))</f>
        <v/>
      </c>
      <c r="Q6" t="str">
        <f>IF(VLOOKUP($A6,Sheet1!$A:$AA,MATCH(Q$1,Sheet1!$A$1:$AA$1,0),FALSE)=0,"",VLOOKUP($A6,Sheet1!$A:$AA,MATCH(Q$1,Sheet1!$A$1:$AA$1,0),FALSE))</f>
        <v>M</v>
      </c>
      <c r="R6" s="2">
        <f>IF(VLOOKUP($A6,Sheet1!$A:$AA,MATCH(R$1,Sheet1!$A$1:$AA$1,0),FALSE)=0,"",VLOOKUP($A6,Sheet1!$A:$AA,MATCH(R$1,Sheet1!$A$1:$AA$1,0),FALSE))</f>
        <v>33158</v>
      </c>
      <c r="AA6">
        <f ca="1">IF(VLOOKUP($A6,Sheet1!$A:$AA,MATCH(AA$1,Sheet1!$A$1:$AA$1,0),FALSE)=0,"",VLOOKUP($A6,Sheet1!$A:$AA,MATCH(AA$1,Sheet1!$A$1:$AA$1,0),FALSE))</f>
        <v>35</v>
      </c>
    </row>
    <row r="7" spans="1:27" x14ac:dyDescent="0.25">
      <c r="A7">
        <v>9425598</v>
      </c>
      <c r="B7" t="str">
        <f>IF(VLOOKUP($A7,Sheet1!$A:$AA,MATCH(B$1,Sheet1!$A$1:$AA$1,0),FALSE)=0,"",VLOOKUP($A7,Sheet1!$A:$AA,MATCH(B$1,Sheet1!$A$1:$AA$1,0),FALSE))</f>
        <v>DOYEGA RODRIGUEZ, ALVARO</v>
      </c>
      <c r="C7" t="str">
        <f>IF(VLOOKUP($A7,Sheet1!$A:$AA,MATCH(C$1,Sheet1!$A$1:$AA$1,0),FALSE)=0,"",VLOOKUP($A7,Sheet1!$A:$AA,MATCH(C$1,Sheet1!$A$1:$AA$1,0),FALSE))</f>
        <v>DOYEGA RODRIGUEZ</v>
      </c>
      <c r="D7" t="str">
        <f>IF(VLOOKUP($A7,Sheet1!$A:$AA,MATCH(D$1,Sheet1!$A$1:$AA$1,0),FALSE)=0,"",VLOOKUP($A7,Sheet1!$A:$AA,MATCH(D$1,Sheet1!$A$1:$AA$1,0),FALSE))</f>
        <v>ALVARO</v>
      </c>
      <c r="E7" t="str">
        <f>IF(VLOOKUP($A7,Sheet1!$A:$AA,MATCH(E$1,Sheet1!$A$1:$AA$1,0),FALSE)=0,"",VLOOKUP($A7,Sheet1!$A:$AA,MATCH(E$1,Sheet1!$A$1:$AA$1,0),FALSE))</f>
        <v/>
      </c>
      <c r="F7" t="str">
        <f>IF(VLOOKUP($A7,Sheet1!$A:$AA,MATCH(F$1,Sheet1!$A$1:$AA$1,0),FALSE)=0,"",VLOOKUP($A7,Sheet1!$A:$AA,MATCH(F$1,Sheet1!$A$1:$AA$1,0),FALSE))</f>
        <v/>
      </c>
      <c r="G7" t="str">
        <f>IF(VLOOKUP($A7,Sheet1!$A:$AA,MATCH(G$1,Sheet1!$A$1:$AA$1,0),FALSE)=0,"",VLOOKUP($A7,Sheet1!$A:$AA,MATCH(G$1,Sheet1!$A$1:$AA$1,0),FALSE))</f>
        <v/>
      </c>
      <c r="H7" t="str">
        <f>IF(VLOOKUP($A7,Sheet1!$A:$AA,MATCH(H$1,Sheet1!$A$1:$AA$1,0),FALSE)=0,"",VLOOKUP($A7,Sheet1!$A:$AA,MATCH(H$1,Sheet1!$A$1:$AA$1,0),FALSE))</f>
        <v/>
      </c>
      <c r="I7" t="str">
        <f>IF(VLOOKUP($A7,Sheet1!$A:$AA,MATCH(I$1,Sheet1!$A$1:$AA$1,0),FALSE)=0,"",VLOOKUP($A7,Sheet1!$A:$AA,MATCH(I$1,Sheet1!$A$1:$AA$1,0),FALSE))</f>
        <v/>
      </c>
      <c r="J7" t="str">
        <f>IF(VLOOKUP($A7,Sheet1!$A:$AA,MATCH(J$1,Sheet1!$A$1:$AA$1,0),FALSE)=0,"",VLOOKUP($A7,Sheet1!$A:$AA,MATCH(J$1,Sheet1!$A$1:$AA$1,0),FALSE))</f>
        <v/>
      </c>
      <c r="K7" t="str">
        <f>IF(VLOOKUP($A7,Sheet1!$A:$AA,MATCH(K$1,Sheet1!$A$1:$AA$1,0),FALSE)=0,"",VLOOKUP($A7,Sheet1!$A:$AA,MATCH(K$1,Sheet1!$A$1:$AA$1,0),FALSE))</f>
        <v>ANDALUZA</v>
      </c>
      <c r="L7" t="str">
        <f>IF(VLOOKUP($A7,Sheet1!$A:$AA,MATCH(L$1,Sheet1!$A$1:$AA$1,0),FALSE)=0,"",VLOOKUP($A7,Sheet1!$A:$AA,MATCH(L$1,Sheet1!$A$1:$AA$1,0),FALSE))</f>
        <v/>
      </c>
      <c r="M7" t="str">
        <f>IF(VLOOKUP($A7,Sheet1!$A:$AA,MATCH(M$1,Sheet1!$A$1:$AA$1,0),FALSE)=0,"",VLOOKUP($A7,Sheet1!$A:$AA,MATCH(M$1,Sheet1!$A$1:$AA$1,0),FALSE))</f>
        <v/>
      </c>
      <c r="N7" t="str">
        <f>IF(VLOOKUP($A7,Sheet1!$A:$AA,MATCH(N$1,Sheet1!$A$1:$AA$1,0),FALSE)=0,"",VLOOKUP($A7,Sheet1!$A:$AA,MATCH(N$1,Sheet1!$A$1:$AA$1,0),FALSE))</f>
        <v/>
      </c>
      <c r="O7" t="str">
        <f>IF(VLOOKUP($A7,Sheet1!$A:$AA,MATCH(O$1,Sheet1!$A$1:$AA$1,0),FALSE)=0,"",VLOOKUP($A7,Sheet1!$A:$AA,MATCH(O$1,Sheet1!$A$1:$AA$1,0),FALSE))</f>
        <v/>
      </c>
      <c r="P7" t="str">
        <f>IF(VLOOKUP($A7,Sheet1!$A:$AA,MATCH(P$1,Sheet1!$A$1:$AA$1,0),FALSE)=0,"",VLOOKUP($A7,Sheet1!$A:$AA,MATCH(P$1,Sheet1!$A$1:$AA$1,0),FALSE))</f>
        <v/>
      </c>
      <c r="Q7" t="str">
        <f>IF(VLOOKUP($A7,Sheet1!$A:$AA,MATCH(Q$1,Sheet1!$A$1:$AA$1,0),FALSE)=0,"",VLOOKUP($A7,Sheet1!$A:$AA,MATCH(Q$1,Sheet1!$A$1:$AA$1,0),FALSE))</f>
        <v>M</v>
      </c>
      <c r="R7" s="2">
        <f>IF(VLOOKUP($A7,Sheet1!$A:$AA,MATCH(R$1,Sheet1!$A$1:$AA$1,0),FALSE)=0,"",VLOOKUP($A7,Sheet1!$A:$AA,MATCH(R$1,Sheet1!$A$1:$AA$1,0),FALSE))</f>
        <v>34283</v>
      </c>
      <c r="AA7">
        <f ca="1">IF(VLOOKUP($A7,Sheet1!$A:$AA,MATCH(AA$1,Sheet1!$A$1:$AA$1,0),FALSE)=0,"",VLOOKUP($A7,Sheet1!$A:$AA,MATCH(AA$1,Sheet1!$A$1:$AA$1,0),FALSE))</f>
        <v>32</v>
      </c>
    </row>
    <row r="8" spans="1:27" x14ac:dyDescent="0.25">
      <c r="A8">
        <v>9474686</v>
      </c>
      <c r="B8" t="str">
        <f>IF(VLOOKUP($A8,Sheet1!$A:$AA,MATCH(B$1,Sheet1!$A$1:$AA$1,0),FALSE)=0,"",VLOOKUP($A8,Sheet1!$A:$AA,MATCH(B$1,Sheet1!$A$1:$AA$1,0),FALSE))</f>
        <v>TIRADO GONZALEZ, JAVIER</v>
      </c>
      <c r="C8" t="str">
        <f>IF(VLOOKUP($A8,Sheet1!$A:$AA,MATCH(C$1,Sheet1!$A$1:$AA$1,0),FALSE)=0,"",VLOOKUP($A8,Sheet1!$A:$AA,MATCH(C$1,Sheet1!$A$1:$AA$1,0),FALSE))</f>
        <v>TIRADO GONZALEZ</v>
      </c>
      <c r="D8" t="str">
        <f>IF(VLOOKUP($A8,Sheet1!$A:$AA,MATCH(D$1,Sheet1!$A$1:$AA$1,0),FALSE)=0,"",VLOOKUP($A8,Sheet1!$A:$AA,MATCH(D$1,Sheet1!$A$1:$AA$1,0),FALSE))</f>
        <v>JAVIER</v>
      </c>
      <c r="E8" t="str">
        <f>IF(VLOOKUP($A8,Sheet1!$A:$AA,MATCH(E$1,Sheet1!$A$1:$AA$1,0),FALSE)=0,"",VLOOKUP($A8,Sheet1!$A:$AA,MATCH(E$1,Sheet1!$A$1:$AA$1,0),FALSE))</f>
        <v/>
      </c>
      <c r="F8" t="str">
        <f>IF(VLOOKUP($A8,Sheet1!$A:$AA,MATCH(F$1,Sheet1!$A$1:$AA$1,0),FALSE)=0,"",VLOOKUP($A8,Sheet1!$A:$AA,MATCH(F$1,Sheet1!$A$1:$AA$1,0),FALSE))</f>
        <v/>
      </c>
      <c r="G8" t="str">
        <f>IF(VLOOKUP($A8,Sheet1!$A:$AA,MATCH(G$1,Sheet1!$A$1:$AA$1,0),FALSE)=0,"",VLOOKUP($A8,Sheet1!$A:$AA,MATCH(G$1,Sheet1!$A$1:$AA$1,0),FALSE))</f>
        <v/>
      </c>
      <c r="H8" t="str">
        <f>IF(VLOOKUP($A8,Sheet1!$A:$AA,MATCH(H$1,Sheet1!$A$1:$AA$1,0),FALSE)=0,"",VLOOKUP($A8,Sheet1!$A:$AA,MATCH(H$1,Sheet1!$A$1:$AA$1,0),FALSE))</f>
        <v/>
      </c>
      <c r="I8" t="str">
        <f>IF(VLOOKUP($A8,Sheet1!$A:$AA,MATCH(I$1,Sheet1!$A$1:$AA$1,0),FALSE)=0,"",VLOOKUP($A8,Sheet1!$A:$AA,MATCH(I$1,Sheet1!$A$1:$AA$1,0),FALSE))</f>
        <v/>
      </c>
      <c r="J8" t="str">
        <f>IF(VLOOKUP($A8,Sheet1!$A:$AA,MATCH(J$1,Sheet1!$A$1:$AA$1,0),FALSE)=0,"",VLOOKUP($A8,Sheet1!$A:$AA,MATCH(J$1,Sheet1!$A$1:$AA$1,0),FALSE))</f>
        <v/>
      </c>
      <c r="K8" t="str">
        <f>IF(VLOOKUP($A8,Sheet1!$A:$AA,MATCH(K$1,Sheet1!$A$1:$AA$1,0),FALSE)=0,"",VLOOKUP($A8,Sheet1!$A:$AA,MATCH(K$1,Sheet1!$A$1:$AA$1,0),FALSE))</f>
        <v>ANDALUZA</v>
      </c>
      <c r="L8" t="str">
        <f>IF(VLOOKUP($A8,Sheet1!$A:$AA,MATCH(L$1,Sheet1!$A$1:$AA$1,0),FALSE)=0,"",VLOOKUP($A8,Sheet1!$A:$AA,MATCH(L$1,Sheet1!$A$1:$AA$1,0),FALSE))</f>
        <v/>
      </c>
      <c r="M8" t="str">
        <f>IF(VLOOKUP($A8,Sheet1!$A:$AA,MATCH(M$1,Sheet1!$A$1:$AA$1,0),FALSE)=0,"",VLOOKUP($A8,Sheet1!$A:$AA,MATCH(M$1,Sheet1!$A$1:$AA$1,0),FALSE))</f>
        <v/>
      </c>
      <c r="N8" t="str">
        <f>IF(VLOOKUP($A8,Sheet1!$A:$AA,MATCH(N$1,Sheet1!$A$1:$AA$1,0),FALSE)=0,"",VLOOKUP($A8,Sheet1!$A:$AA,MATCH(N$1,Sheet1!$A$1:$AA$1,0),FALSE))</f>
        <v/>
      </c>
      <c r="O8" t="str">
        <f>IF(VLOOKUP($A8,Sheet1!$A:$AA,MATCH(O$1,Sheet1!$A$1:$AA$1,0),FALSE)=0,"",VLOOKUP($A8,Sheet1!$A:$AA,MATCH(O$1,Sheet1!$A$1:$AA$1,0),FALSE))</f>
        <v/>
      </c>
      <c r="P8" t="str">
        <f>IF(VLOOKUP($A8,Sheet1!$A:$AA,MATCH(P$1,Sheet1!$A$1:$AA$1,0),FALSE)=0,"",VLOOKUP($A8,Sheet1!$A:$AA,MATCH(P$1,Sheet1!$A$1:$AA$1,0),FALSE))</f>
        <v/>
      </c>
      <c r="Q8" t="str">
        <f>IF(VLOOKUP($A8,Sheet1!$A:$AA,MATCH(Q$1,Sheet1!$A$1:$AA$1,0),FALSE)=0,"",VLOOKUP($A8,Sheet1!$A:$AA,MATCH(Q$1,Sheet1!$A$1:$AA$1,0),FALSE))</f>
        <v>M</v>
      </c>
      <c r="R8" s="2">
        <f>IF(VLOOKUP($A8,Sheet1!$A:$AA,MATCH(R$1,Sheet1!$A$1:$AA$1,0),FALSE)=0,"",VLOOKUP($A8,Sheet1!$A:$AA,MATCH(R$1,Sheet1!$A$1:$AA$1,0),FALSE))</f>
        <v>35684</v>
      </c>
      <c r="AA8">
        <f ca="1">IF(VLOOKUP($A8,Sheet1!$A:$AA,MATCH(AA$1,Sheet1!$A$1:$AA$1,0),FALSE)=0,"",VLOOKUP($A8,Sheet1!$A:$AA,MATCH(AA$1,Sheet1!$A$1:$AA$1,0),FALSE))</f>
        <v>28</v>
      </c>
    </row>
    <row r="9" spans="1:27" x14ac:dyDescent="0.25">
      <c r="A9">
        <v>9483637</v>
      </c>
      <c r="B9" t="str">
        <f>IF(VLOOKUP($A9,Sheet1!$A:$AA,MATCH(B$1,Sheet1!$A$1:$AA$1,0),FALSE)=0,"",VLOOKUP($A9,Sheet1!$A:$AA,MATCH(B$1,Sheet1!$A$1:$AA$1,0),FALSE))</f>
        <v>BATT, NATALIE</v>
      </c>
      <c r="C9" t="str">
        <f>IF(VLOOKUP($A9,Sheet1!$A:$AA,MATCH(C$1,Sheet1!$A$1:$AA$1,0),FALSE)=0,"",VLOOKUP($A9,Sheet1!$A:$AA,MATCH(C$1,Sheet1!$A$1:$AA$1,0),FALSE))</f>
        <v>BATT</v>
      </c>
      <c r="D9" t="str">
        <f>IF(VLOOKUP($A9,Sheet1!$A:$AA,MATCH(D$1,Sheet1!$A$1:$AA$1,0),FALSE)=0,"",VLOOKUP($A9,Sheet1!$A:$AA,MATCH(D$1,Sheet1!$A$1:$AA$1,0),FALSE))</f>
        <v>NATALIE</v>
      </c>
      <c r="E9" t="str">
        <f>IF(VLOOKUP($A9,Sheet1!$A:$AA,MATCH(E$1,Sheet1!$A$1:$AA$1,0),FALSE)=0,"",VLOOKUP($A9,Sheet1!$A:$AA,MATCH(E$1,Sheet1!$A$1:$AA$1,0),FALSE))</f>
        <v/>
      </c>
      <c r="F9" t="str">
        <f>IF(VLOOKUP($A9,Sheet1!$A:$AA,MATCH(F$1,Sheet1!$A$1:$AA$1,0),FALSE)=0,"",VLOOKUP($A9,Sheet1!$A:$AA,MATCH(F$1,Sheet1!$A$1:$AA$1,0),FALSE))</f>
        <v/>
      </c>
      <c r="G9" t="str">
        <f>IF(VLOOKUP($A9,Sheet1!$A:$AA,MATCH(G$1,Sheet1!$A$1:$AA$1,0),FALSE)=0,"",VLOOKUP($A9,Sheet1!$A:$AA,MATCH(G$1,Sheet1!$A$1:$AA$1,0),FALSE))</f>
        <v/>
      </c>
      <c r="H9" t="str">
        <f>IF(VLOOKUP($A9,Sheet1!$A:$AA,MATCH(H$1,Sheet1!$A$1:$AA$1,0),FALSE)=0,"",VLOOKUP($A9,Sheet1!$A:$AA,MATCH(H$1,Sheet1!$A$1:$AA$1,0),FALSE))</f>
        <v/>
      </c>
      <c r="I9" t="str">
        <f>IF(VLOOKUP($A9,Sheet1!$A:$AA,MATCH(I$1,Sheet1!$A$1:$AA$1,0),FALSE)=0,"",VLOOKUP($A9,Sheet1!$A:$AA,MATCH(I$1,Sheet1!$A$1:$AA$1,0),FALSE))</f>
        <v/>
      </c>
      <c r="J9" t="str">
        <f>IF(VLOOKUP($A9,Sheet1!$A:$AA,MATCH(J$1,Sheet1!$A$1:$AA$1,0),FALSE)=0,"",VLOOKUP($A9,Sheet1!$A:$AA,MATCH(J$1,Sheet1!$A$1:$AA$1,0),FALSE))</f>
        <v/>
      </c>
      <c r="K9" t="str">
        <f>IF(VLOOKUP($A9,Sheet1!$A:$AA,MATCH(K$1,Sheet1!$A$1:$AA$1,0),FALSE)=0,"",VLOOKUP($A9,Sheet1!$A:$AA,MATCH(K$1,Sheet1!$A$1:$AA$1,0),FALSE))</f>
        <v>ANDALUZA</v>
      </c>
      <c r="L9" t="str">
        <f>IF(VLOOKUP($A9,Sheet1!$A:$AA,MATCH(L$1,Sheet1!$A$1:$AA$1,0),FALSE)=0,"",VLOOKUP($A9,Sheet1!$A:$AA,MATCH(L$1,Sheet1!$A$1:$AA$1,0),FALSE))</f>
        <v/>
      </c>
      <c r="M9" t="str">
        <f>IF(VLOOKUP($A9,Sheet1!$A:$AA,MATCH(M$1,Sheet1!$A$1:$AA$1,0),FALSE)=0,"",VLOOKUP($A9,Sheet1!$A:$AA,MATCH(M$1,Sheet1!$A$1:$AA$1,0),FALSE))</f>
        <v/>
      </c>
      <c r="N9" t="str">
        <f>IF(VLOOKUP($A9,Sheet1!$A:$AA,MATCH(N$1,Sheet1!$A$1:$AA$1,0),FALSE)=0,"",VLOOKUP($A9,Sheet1!$A:$AA,MATCH(N$1,Sheet1!$A$1:$AA$1,0),FALSE))</f>
        <v/>
      </c>
      <c r="O9" t="str">
        <f>IF(VLOOKUP($A9,Sheet1!$A:$AA,MATCH(O$1,Sheet1!$A$1:$AA$1,0),FALSE)=0,"",VLOOKUP($A9,Sheet1!$A:$AA,MATCH(O$1,Sheet1!$A$1:$AA$1,0),FALSE))</f>
        <v/>
      </c>
      <c r="P9" t="str">
        <f>IF(VLOOKUP($A9,Sheet1!$A:$AA,MATCH(P$1,Sheet1!$A$1:$AA$1,0),FALSE)=0,"",VLOOKUP($A9,Sheet1!$A:$AA,MATCH(P$1,Sheet1!$A$1:$AA$1,0),FALSE))</f>
        <v/>
      </c>
      <c r="Q9" t="str">
        <f>IF(VLOOKUP($A9,Sheet1!$A:$AA,MATCH(Q$1,Sheet1!$A$1:$AA$1,0),FALSE)=0,"",VLOOKUP($A9,Sheet1!$A:$AA,MATCH(Q$1,Sheet1!$A$1:$AA$1,0),FALSE))</f>
        <v>F</v>
      </c>
      <c r="R9" s="2">
        <f>IF(VLOOKUP($A9,Sheet1!$A:$AA,MATCH(R$1,Sheet1!$A$1:$AA$1,0),FALSE)=0,"",VLOOKUP($A9,Sheet1!$A:$AA,MATCH(R$1,Sheet1!$A$1:$AA$1,0),FALSE))</f>
        <v>30761</v>
      </c>
      <c r="AA9">
        <f ca="1">IF(VLOOKUP($A9,Sheet1!$A:$AA,MATCH(AA$1,Sheet1!$A$1:$AA$1,0),FALSE)=0,"",VLOOKUP($A9,Sheet1!$A:$AA,MATCH(AA$1,Sheet1!$A$1:$AA$1,0),FALSE))</f>
        <v>41</v>
      </c>
    </row>
    <row r="10" spans="1:27" x14ac:dyDescent="0.25">
      <c r="A10">
        <v>9484320</v>
      </c>
      <c r="B10" t="str">
        <f>IF(VLOOKUP($A10,Sheet1!$A:$AA,MATCH(B$1,Sheet1!$A$1:$AA$1,0),FALSE)=0,"",VLOOKUP($A10,Sheet1!$A:$AA,MATCH(B$1,Sheet1!$A$1:$AA$1,0),FALSE))</f>
        <v>LEVITSKY DE MIGUEL, PAULA</v>
      </c>
      <c r="C10" t="str">
        <f>IF(VLOOKUP($A10,Sheet1!$A:$AA,MATCH(C$1,Sheet1!$A$1:$AA$1,0),FALSE)=0,"",VLOOKUP($A10,Sheet1!$A:$AA,MATCH(C$1,Sheet1!$A$1:$AA$1,0),FALSE))</f>
        <v>LEVITSKY DE MIGUEL</v>
      </c>
      <c r="D10" t="str">
        <f>IF(VLOOKUP($A10,Sheet1!$A:$AA,MATCH(D$1,Sheet1!$A$1:$AA$1,0),FALSE)=0,"",VLOOKUP($A10,Sheet1!$A:$AA,MATCH(D$1,Sheet1!$A$1:$AA$1,0),FALSE))</f>
        <v>PAULA</v>
      </c>
      <c r="E10" t="str">
        <f>IF(VLOOKUP($A10,Sheet1!$A:$AA,MATCH(E$1,Sheet1!$A$1:$AA$1,0),FALSE)=0,"",VLOOKUP($A10,Sheet1!$A:$AA,MATCH(E$1,Sheet1!$A$1:$AA$1,0),FALSE))</f>
        <v/>
      </c>
      <c r="F10" t="str">
        <f>IF(VLOOKUP($A10,Sheet1!$A:$AA,MATCH(F$1,Sheet1!$A$1:$AA$1,0),FALSE)=0,"",VLOOKUP($A10,Sheet1!$A:$AA,MATCH(F$1,Sheet1!$A$1:$AA$1,0),FALSE))</f>
        <v/>
      </c>
      <c r="G10" t="str">
        <f>IF(VLOOKUP($A10,Sheet1!$A:$AA,MATCH(G$1,Sheet1!$A$1:$AA$1,0),FALSE)=0,"",VLOOKUP($A10,Sheet1!$A:$AA,MATCH(G$1,Sheet1!$A$1:$AA$1,0),FALSE))</f>
        <v/>
      </c>
      <c r="H10" t="str">
        <f>IF(VLOOKUP($A10,Sheet1!$A:$AA,MATCH(H$1,Sheet1!$A$1:$AA$1,0),FALSE)=0,"",VLOOKUP($A10,Sheet1!$A:$AA,MATCH(H$1,Sheet1!$A$1:$AA$1,0),FALSE))</f>
        <v/>
      </c>
      <c r="I10" t="str">
        <f>IF(VLOOKUP($A10,Sheet1!$A:$AA,MATCH(I$1,Sheet1!$A$1:$AA$1,0),FALSE)=0,"",VLOOKUP($A10,Sheet1!$A:$AA,MATCH(I$1,Sheet1!$A$1:$AA$1,0),FALSE))</f>
        <v/>
      </c>
      <c r="J10" t="str">
        <f>IF(VLOOKUP($A10,Sheet1!$A:$AA,MATCH(J$1,Sheet1!$A$1:$AA$1,0),FALSE)=0,"",VLOOKUP($A10,Sheet1!$A:$AA,MATCH(J$1,Sheet1!$A$1:$AA$1,0),FALSE))</f>
        <v/>
      </c>
      <c r="K10" t="str">
        <f>IF(VLOOKUP($A10,Sheet1!$A:$AA,MATCH(K$1,Sheet1!$A$1:$AA$1,0),FALSE)=0,"",VLOOKUP($A10,Sheet1!$A:$AA,MATCH(K$1,Sheet1!$A$1:$AA$1,0),FALSE))</f>
        <v>ANDALUZA</v>
      </c>
      <c r="L10" t="str">
        <f>IF(VLOOKUP($A10,Sheet1!$A:$AA,MATCH(L$1,Sheet1!$A$1:$AA$1,0),FALSE)=0,"",VLOOKUP($A10,Sheet1!$A:$AA,MATCH(L$1,Sheet1!$A$1:$AA$1,0),FALSE))</f>
        <v/>
      </c>
      <c r="M10" t="str">
        <f>IF(VLOOKUP($A10,Sheet1!$A:$AA,MATCH(M$1,Sheet1!$A$1:$AA$1,0),FALSE)=0,"",VLOOKUP($A10,Sheet1!$A:$AA,MATCH(M$1,Sheet1!$A$1:$AA$1,0),FALSE))</f>
        <v/>
      </c>
      <c r="N10" t="str">
        <f>IF(VLOOKUP($A10,Sheet1!$A:$AA,MATCH(N$1,Sheet1!$A$1:$AA$1,0),FALSE)=0,"",VLOOKUP($A10,Sheet1!$A:$AA,MATCH(N$1,Sheet1!$A$1:$AA$1,0),FALSE))</f>
        <v/>
      </c>
      <c r="O10" t="str">
        <f>IF(VLOOKUP($A10,Sheet1!$A:$AA,MATCH(O$1,Sheet1!$A$1:$AA$1,0),FALSE)=0,"",VLOOKUP($A10,Sheet1!$A:$AA,MATCH(O$1,Sheet1!$A$1:$AA$1,0),FALSE))</f>
        <v/>
      </c>
      <c r="P10" t="str">
        <f>IF(VLOOKUP($A10,Sheet1!$A:$AA,MATCH(P$1,Sheet1!$A$1:$AA$1,0),FALSE)=0,"",VLOOKUP($A10,Sheet1!$A:$AA,MATCH(P$1,Sheet1!$A$1:$AA$1,0),FALSE))</f>
        <v/>
      </c>
      <c r="Q10" t="str">
        <f>IF(VLOOKUP($A10,Sheet1!$A:$AA,MATCH(Q$1,Sheet1!$A$1:$AA$1,0),FALSE)=0,"",VLOOKUP($A10,Sheet1!$A:$AA,MATCH(Q$1,Sheet1!$A$1:$AA$1,0),FALSE))</f>
        <v>F</v>
      </c>
      <c r="R10" s="2">
        <f>IF(VLOOKUP($A10,Sheet1!$A:$AA,MATCH(R$1,Sheet1!$A$1:$AA$1,0),FALSE)=0,"",VLOOKUP($A10,Sheet1!$A:$AA,MATCH(R$1,Sheet1!$A$1:$AA$1,0),FALSE))</f>
        <v>36249</v>
      </c>
      <c r="AA10">
        <f ca="1">IF(VLOOKUP($A10,Sheet1!$A:$AA,MATCH(AA$1,Sheet1!$A$1:$AA$1,0),FALSE)=0,"",VLOOKUP($A10,Sheet1!$A:$AA,MATCH(AA$1,Sheet1!$A$1:$AA$1,0),FALSE))</f>
        <v>26</v>
      </c>
    </row>
    <row r="11" spans="1:27" x14ac:dyDescent="0.25">
      <c r="A11">
        <v>9510381</v>
      </c>
      <c r="B11" t="str">
        <f>IF(VLOOKUP($A11,Sheet1!$A:$AA,MATCH(B$1,Sheet1!$A$1:$AA$1,0),FALSE)=0,"",VLOOKUP($A11,Sheet1!$A:$AA,MATCH(B$1,Sheet1!$A$1:$AA$1,0),FALSE))</f>
        <v>SYROMOLOTOV NETREBIN, YURI SANTIAGO</v>
      </c>
      <c r="C11" t="str">
        <f>IF(VLOOKUP($A11,Sheet1!$A:$AA,MATCH(C$1,Sheet1!$A$1:$AA$1,0),FALSE)=0,"",VLOOKUP($A11,Sheet1!$A:$AA,MATCH(C$1,Sheet1!$A$1:$AA$1,0),FALSE))</f>
        <v>SYROMOLOTOV NETREBIN</v>
      </c>
      <c r="D11" t="str">
        <f>IF(VLOOKUP($A11,Sheet1!$A:$AA,MATCH(D$1,Sheet1!$A$1:$AA$1,0),FALSE)=0,"",VLOOKUP($A11,Sheet1!$A:$AA,MATCH(D$1,Sheet1!$A$1:$AA$1,0),FALSE))</f>
        <v>YURI SANTIAGO</v>
      </c>
      <c r="E11" t="str">
        <f>IF(VLOOKUP($A11,Sheet1!$A:$AA,MATCH(E$1,Sheet1!$A$1:$AA$1,0),FALSE)=0,"",VLOOKUP($A11,Sheet1!$A:$AA,MATCH(E$1,Sheet1!$A$1:$AA$1,0),FALSE))</f>
        <v/>
      </c>
      <c r="F11" t="str">
        <f>IF(VLOOKUP($A11,Sheet1!$A:$AA,MATCH(F$1,Sheet1!$A$1:$AA$1,0),FALSE)=0,"",VLOOKUP($A11,Sheet1!$A:$AA,MATCH(F$1,Sheet1!$A$1:$AA$1,0),FALSE))</f>
        <v/>
      </c>
      <c r="G11" t="str">
        <f>IF(VLOOKUP($A11,Sheet1!$A:$AA,MATCH(G$1,Sheet1!$A$1:$AA$1,0),FALSE)=0,"",VLOOKUP($A11,Sheet1!$A:$AA,MATCH(G$1,Sheet1!$A$1:$AA$1,0),FALSE))</f>
        <v/>
      </c>
      <c r="H11" t="str">
        <f>IF(VLOOKUP($A11,Sheet1!$A:$AA,MATCH(H$1,Sheet1!$A$1:$AA$1,0),FALSE)=0,"",VLOOKUP($A11,Sheet1!$A:$AA,MATCH(H$1,Sheet1!$A$1:$AA$1,0),FALSE))</f>
        <v/>
      </c>
      <c r="I11" t="str">
        <f>IF(VLOOKUP($A11,Sheet1!$A:$AA,MATCH(I$1,Sheet1!$A$1:$AA$1,0),FALSE)=0,"",VLOOKUP($A11,Sheet1!$A:$AA,MATCH(I$1,Sheet1!$A$1:$AA$1,0),FALSE))</f>
        <v/>
      </c>
      <c r="J11" t="str">
        <f>IF(VLOOKUP($A11,Sheet1!$A:$AA,MATCH(J$1,Sheet1!$A$1:$AA$1,0),FALSE)=0,"",VLOOKUP($A11,Sheet1!$A:$AA,MATCH(J$1,Sheet1!$A$1:$AA$1,0),FALSE))</f>
        <v/>
      </c>
      <c r="K11" t="str">
        <f>IF(VLOOKUP($A11,Sheet1!$A:$AA,MATCH(K$1,Sheet1!$A$1:$AA$1,0),FALSE)=0,"",VLOOKUP($A11,Sheet1!$A:$AA,MATCH(K$1,Sheet1!$A$1:$AA$1,0),FALSE))</f>
        <v>ANDALUZA</v>
      </c>
      <c r="L11" t="str">
        <f>IF(VLOOKUP($A11,Sheet1!$A:$AA,MATCH(L$1,Sheet1!$A$1:$AA$1,0),FALSE)=0,"",VLOOKUP($A11,Sheet1!$A:$AA,MATCH(L$1,Sheet1!$A$1:$AA$1,0),FALSE))</f>
        <v/>
      </c>
      <c r="M11" t="str">
        <f>IF(VLOOKUP($A11,Sheet1!$A:$AA,MATCH(M$1,Sheet1!$A$1:$AA$1,0),FALSE)=0,"",VLOOKUP($A11,Sheet1!$A:$AA,MATCH(M$1,Sheet1!$A$1:$AA$1,0),FALSE))</f>
        <v/>
      </c>
      <c r="N11" t="str">
        <f>IF(VLOOKUP($A11,Sheet1!$A:$AA,MATCH(N$1,Sheet1!$A$1:$AA$1,0),FALSE)=0,"",VLOOKUP($A11,Sheet1!$A:$AA,MATCH(N$1,Sheet1!$A$1:$AA$1,0),FALSE))</f>
        <v/>
      </c>
      <c r="O11" t="str">
        <f>IF(VLOOKUP($A11,Sheet1!$A:$AA,MATCH(O$1,Sheet1!$A$1:$AA$1,0),FALSE)=0,"",VLOOKUP($A11,Sheet1!$A:$AA,MATCH(O$1,Sheet1!$A$1:$AA$1,0),FALSE))</f>
        <v/>
      </c>
      <c r="P11" t="str">
        <f>IF(VLOOKUP($A11,Sheet1!$A:$AA,MATCH(P$1,Sheet1!$A$1:$AA$1,0),FALSE)=0,"",VLOOKUP($A11,Sheet1!$A:$AA,MATCH(P$1,Sheet1!$A$1:$AA$1,0),FALSE))</f>
        <v/>
      </c>
      <c r="Q11" t="str">
        <f>IF(VLOOKUP($A11,Sheet1!$A:$AA,MATCH(Q$1,Sheet1!$A$1:$AA$1,0),FALSE)=0,"",VLOOKUP($A11,Sheet1!$A:$AA,MATCH(Q$1,Sheet1!$A$1:$AA$1,0),FALSE))</f>
        <v>M</v>
      </c>
      <c r="R11" s="2">
        <f>IF(VLOOKUP($A11,Sheet1!$A:$AA,MATCH(R$1,Sheet1!$A$1:$AA$1,0),FALSE)=0,"",VLOOKUP($A11,Sheet1!$A:$AA,MATCH(R$1,Sheet1!$A$1:$AA$1,0),FALSE))</f>
        <v>35636</v>
      </c>
      <c r="AA11">
        <f ca="1">IF(VLOOKUP($A11,Sheet1!$A:$AA,MATCH(AA$1,Sheet1!$A$1:$AA$1,0),FALSE)=0,"",VLOOKUP($A11,Sheet1!$A:$AA,MATCH(AA$1,Sheet1!$A$1:$AA$1,0),FALSE))</f>
        <v>28</v>
      </c>
    </row>
    <row r="12" spans="1:27" x14ac:dyDescent="0.25">
      <c r="A12">
        <v>9563455</v>
      </c>
      <c r="B12" t="str">
        <f>IF(VLOOKUP($A12,Sheet1!$A:$AA,MATCH(B$1,Sheet1!$A$1:$AA$1,0),FALSE)=0,"",VLOOKUP($A12,Sheet1!$A:$AA,MATCH(B$1,Sheet1!$A$1:$AA$1,0),FALSE))</f>
        <v>RONDON LOBATO, JOSE</v>
      </c>
      <c r="C12" t="str">
        <f>IF(VLOOKUP($A12,Sheet1!$A:$AA,MATCH(C$1,Sheet1!$A$1:$AA$1,0),FALSE)=0,"",VLOOKUP($A12,Sheet1!$A:$AA,MATCH(C$1,Sheet1!$A$1:$AA$1,0),FALSE))</f>
        <v>RONDON LOBATO</v>
      </c>
      <c r="D12" t="str">
        <f>IF(VLOOKUP($A12,Sheet1!$A:$AA,MATCH(D$1,Sheet1!$A$1:$AA$1,0),FALSE)=0,"",VLOOKUP($A12,Sheet1!$A:$AA,MATCH(D$1,Sheet1!$A$1:$AA$1,0),FALSE))</f>
        <v>JOSE</v>
      </c>
      <c r="E12" t="str">
        <f>IF(VLOOKUP($A12,Sheet1!$A:$AA,MATCH(E$1,Sheet1!$A$1:$AA$1,0),FALSE)=0,"",VLOOKUP($A12,Sheet1!$A:$AA,MATCH(E$1,Sheet1!$A$1:$AA$1,0),FALSE))</f>
        <v/>
      </c>
      <c r="F12" t="str">
        <f>IF(VLOOKUP($A12,Sheet1!$A:$AA,MATCH(F$1,Sheet1!$A$1:$AA$1,0),FALSE)=0,"",VLOOKUP($A12,Sheet1!$A:$AA,MATCH(F$1,Sheet1!$A$1:$AA$1,0),FALSE))</f>
        <v/>
      </c>
      <c r="G12" t="str">
        <f>IF(VLOOKUP($A12,Sheet1!$A:$AA,MATCH(G$1,Sheet1!$A$1:$AA$1,0),FALSE)=0,"",VLOOKUP($A12,Sheet1!$A:$AA,MATCH(G$1,Sheet1!$A$1:$AA$1,0),FALSE))</f>
        <v/>
      </c>
      <c r="H12" t="str">
        <f>IF(VLOOKUP($A12,Sheet1!$A:$AA,MATCH(H$1,Sheet1!$A$1:$AA$1,0),FALSE)=0,"",VLOOKUP($A12,Sheet1!$A:$AA,MATCH(H$1,Sheet1!$A$1:$AA$1,0),FALSE))</f>
        <v/>
      </c>
      <c r="I12" t="str">
        <f>IF(VLOOKUP($A12,Sheet1!$A:$AA,MATCH(I$1,Sheet1!$A$1:$AA$1,0),FALSE)=0,"",VLOOKUP($A12,Sheet1!$A:$AA,MATCH(I$1,Sheet1!$A$1:$AA$1,0),FALSE))</f>
        <v/>
      </c>
      <c r="J12" t="str">
        <f>IF(VLOOKUP($A12,Sheet1!$A:$AA,MATCH(J$1,Sheet1!$A$1:$AA$1,0),FALSE)=0,"",VLOOKUP($A12,Sheet1!$A:$AA,MATCH(J$1,Sheet1!$A$1:$AA$1,0),FALSE))</f>
        <v/>
      </c>
      <c r="K12" t="str">
        <f>IF(VLOOKUP($A12,Sheet1!$A:$AA,MATCH(K$1,Sheet1!$A$1:$AA$1,0),FALSE)=0,"",VLOOKUP($A12,Sheet1!$A:$AA,MATCH(K$1,Sheet1!$A$1:$AA$1,0),FALSE))</f>
        <v>ANDALUZA</v>
      </c>
      <c r="L12" t="str">
        <f>IF(VLOOKUP($A12,Sheet1!$A:$AA,MATCH(L$1,Sheet1!$A$1:$AA$1,0),FALSE)=0,"",VLOOKUP($A12,Sheet1!$A:$AA,MATCH(L$1,Sheet1!$A$1:$AA$1,0),FALSE))</f>
        <v/>
      </c>
      <c r="M12" t="str">
        <f>IF(VLOOKUP($A12,Sheet1!$A:$AA,MATCH(M$1,Sheet1!$A$1:$AA$1,0),FALSE)=0,"",VLOOKUP($A12,Sheet1!$A:$AA,MATCH(M$1,Sheet1!$A$1:$AA$1,0),FALSE))</f>
        <v/>
      </c>
      <c r="N12" t="str">
        <f>IF(VLOOKUP($A12,Sheet1!$A:$AA,MATCH(N$1,Sheet1!$A$1:$AA$1,0),FALSE)=0,"",VLOOKUP($A12,Sheet1!$A:$AA,MATCH(N$1,Sheet1!$A$1:$AA$1,0),FALSE))</f>
        <v/>
      </c>
      <c r="O12" t="str">
        <f>IF(VLOOKUP($A12,Sheet1!$A:$AA,MATCH(O$1,Sheet1!$A$1:$AA$1,0),FALSE)=0,"",VLOOKUP($A12,Sheet1!$A:$AA,MATCH(O$1,Sheet1!$A$1:$AA$1,0),FALSE))</f>
        <v/>
      </c>
      <c r="P12" t="str">
        <f>IF(VLOOKUP($A12,Sheet1!$A:$AA,MATCH(P$1,Sheet1!$A$1:$AA$1,0),FALSE)=0,"",VLOOKUP($A12,Sheet1!$A:$AA,MATCH(P$1,Sheet1!$A$1:$AA$1,0),FALSE))</f>
        <v/>
      </c>
      <c r="Q12" t="str">
        <f>IF(VLOOKUP($A12,Sheet1!$A:$AA,MATCH(Q$1,Sheet1!$A$1:$AA$1,0),FALSE)=0,"",VLOOKUP($A12,Sheet1!$A:$AA,MATCH(Q$1,Sheet1!$A$1:$AA$1,0),FALSE))</f>
        <v>M</v>
      </c>
      <c r="R12" s="2">
        <f>IF(VLOOKUP($A12,Sheet1!$A:$AA,MATCH(R$1,Sheet1!$A$1:$AA$1,0),FALSE)=0,"",VLOOKUP($A12,Sheet1!$A:$AA,MATCH(R$1,Sheet1!$A$1:$AA$1,0),FALSE))</f>
        <v>21671</v>
      </c>
      <c r="AA12">
        <f ca="1">IF(VLOOKUP($A12,Sheet1!$A:$AA,MATCH(AA$1,Sheet1!$A$1:$AA$1,0),FALSE)=0,"",VLOOKUP($A12,Sheet1!$A:$AA,MATCH(AA$1,Sheet1!$A$1:$AA$1,0),FALSE))</f>
        <v>66</v>
      </c>
    </row>
    <row r="13" spans="1:27" x14ac:dyDescent="0.25">
      <c r="A13">
        <v>9573397</v>
      </c>
      <c r="B13" t="str">
        <f>IF(VLOOKUP($A13,Sheet1!$A:$AA,MATCH(B$1,Sheet1!$A$1:$AA$1,0),FALSE)=0,"",VLOOKUP($A13,Sheet1!$A:$AA,MATCH(B$1,Sheet1!$A$1:$AA$1,0),FALSE))</f>
        <v>GARCIA ALVAREZ, ALICIA</v>
      </c>
      <c r="C13" t="str">
        <f>IF(VLOOKUP($A13,Sheet1!$A:$AA,MATCH(C$1,Sheet1!$A$1:$AA$1,0),FALSE)=0,"",VLOOKUP($A13,Sheet1!$A:$AA,MATCH(C$1,Sheet1!$A$1:$AA$1,0),FALSE))</f>
        <v>GARCIA ALVAREZ</v>
      </c>
      <c r="D13" t="str">
        <f>IF(VLOOKUP($A13,Sheet1!$A:$AA,MATCH(D$1,Sheet1!$A$1:$AA$1,0),FALSE)=0,"",VLOOKUP($A13,Sheet1!$A:$AA,MATCH(D$1,Sheet1!$A$1:$AA$1,0),FALSE))</f>
        <v>ALICIA</v>
      </c>
      <c r="E13" t="str">
        <f>IF(VLOOKUP($A13,Sheet1!$A:$AA,MATCH(E$1,Sheet1!$A$1:$AA$1,0),FALSE)=0,"",VLOOKUP($A13,Sheet1!$A:$AA,MATCH(E$1,Sheet1!$A$1:$AA$1,0),FALSE))</f>
        <v/>
      </c>
      <c r="F13" t="str">
        <f>IF(VLOOKUP($A13,Sheet1!$A:$AA,MATCH(F$1,Sheet1!$A$1:$AA$1,0),FALSE)=0,"",VLOOKUP($A13,Sheet1!$A:$AA,MATCH(F$1,Sheet1!$A$1:$AA$1,0),FALSE))</f>
        <v/>
      </c>
      <c r="G13" t="str">
        <f>IF(VLOOKUP($A13,Sheet1!$A:$AA,MATCH(G$1,Sheet1!$A$1:$AA$1,0),FALSE)=0,"",VLOOKUP($A13,Sheet1!$A:$AA,MATCH(G$1,Sheet1!$A$1:$AA$1,0),FALSE))</f>
        <v/>
      </c>
      <c r="H13" t="str">
        <f>IF(VLOOKUP($A13,Sheet1!$A:$AA,MATCH(H$1,Sheet1!$A$1:$AA$1,0),FALSE)=0,"",VLOOKUP($A13,Sheet1!$A:$AA,MATCH(H$1,Sheet1!$A$1:$AA$1,0),FALSE))</f>
        <v/>
      </c>
      <c r="I13" t="str">
        <f>IF(VLOOKUP($A13,Sheet1!$A:$AA,MATCH(I$1,Sheet1!$A$1:$AA$1,0),FALSE)=0,"",VLOOKUP($A13,Sheet1!$A:$AA,MATCH(I$1,Sheet1!$A$1:$AA$1,0),FALSE))</f>
        <v/>
      </c>
      <c r="J13" t="str">
        <f>IF(VLOOKUP($A13,Sheet1!$A:$AA,MATCH(J$1,Sheet1!$A$1:$AA$1,0),FALSE)=0,"",VLOOKUP($A13,Sheet1!$A:$AA,MATCH(J$1,Sheet1!$A$1:$AA$1,0),FALSE))</f>
        <v/>
      </c>
      <c r="K13" t="str">
        <f>IF(VLOOKUP($A13,Sheet1!$A:$AA,MATCH(K$1,Sheet1!$A$1:$AA$1,0),FALSE)=0,"",VLOOKUP($A13,Sheet1!$A:$AA,MATCH(K$1,Sheet1!$A$1:$AA$1,0),FALSE))</f>
        <v>ANDALUZA</v>
      </c>
      <c r="L13" t="str">
        <f>IF(VLOOKUP($A13,Sheet1!$A:$AA,MATCH(L$1,Sheet1!$A$1:$AA$1,0),FALSE)=0,"",VLOOKUP($A13,Sheet1!$A:$AA,MATCH(L$1,Sheet1!$A$1:$AA$1,0),FALSE))</f>
        <v/>
      </c>
      <c r="M13" t="str">
        <f>IF(VLOOKUP($A13,Sheet1!$A:$AA,MATCH(M$1,Sheet1!$A$1:$AA$1,0),FALSE)=0,"",VLOOKUP($A13,Sheet1!$A:$AA,MATCH(M$1,Sheet1!$A$1:$AA$1,0),FALSE))</f>
        <v/>
      </c>
      <c r="N13" t="str">
        <f>IF(VLOOKUP($A13,Sheet1!$A:$AA,MATCH(N$1,Sheet1!$A$1:$AA$1,0),FALSE)=0,"",VLOOKUP($A13,Sheet1!$A:$AA,MATCH(N$1,Sheet1!$A$1:$AA$1,0),FALSE))</f>
        <v/>
      </c>
      <c r="O13" t="str">
        <f>IF(VLOOKUP($A13,Sheet1!$A:$AA,MATCH(O$1,Sheet1!$A$1:$AA$1,0),FALSE)=0,"",VLOOKUP($A13,Sheet1!$A:$AA,MATCH(O$1,Sheet1!$A$1:$AA$1,0),FALSE))</f>
        <v/>
      </c>
      <c r="P13" t="str">
        <f>IF(VLOOKUP($A13,Sheet1!$A:$AA,MATCH(P$1,Sheet1!$A$1:$AA$1,0),FALSE)=0,"",VLOOKUP($A13,Sheet1!$A:$AA,MATCH(P$1,Sheet1!$A$1:$AA$1,0),FALSE))</f>
        <v/>
      </c>
      <c r="Q13" t="str">
        <f>IF(VLOOKUP($A13,Sheet1!$A:$AA,MATCH(Q$1,Sheet1!$A$1:$AA$1,0),FALSE)=0,"",VLOOKUP($A13,Sheet1!$A:$AA,MATCH(Q$1,Sheet1!$A$1:$AA$1,0),FALSE))</f>
        <v>F</v>
      </c>
      <c r="R13" s="2">
        <f>IF(VLOOKUP($A13,Sheet1!$A:$AA,MATCH(R$1,Sheet1!$A$1:$AA$1,0),FALSE)=0,"",VLOOKUP($A13,Sheet1!$A:$AA,MATCH(R$1,Sheet1!$A$1:$AA$1,0),FALSE))</f>
        <v>34842</v>
      </c>
      <c r="AA13">
        <f ca="1">IF(VLOOKUP($A13,Sheet1!$A:$AA,MATCH(AA$1,Sheet1!$A$1:$AA$1,0),FALSE)=0,"",VLOOKUP($A13,Sheet1!$A:$AA,MATCH(AA$1,Sheet1!$A$1:$AA$1,0),FALSE))</f>
        <v>30</v>
      </c>
    </row>
    <row r="14" spans="1:27" x14ac:dyDescent="0.25">
      <c r="A14">
        <v>9579478</v>
      </c>
      <c r="B14" t="str">
        <f>IF(VLOOKUP($A14,Sheet1!$A:$AA,MATCH(B$1,Sheet1!$A$1:$AA$1,0),FALSE)=0,"",VLOOKUP($A14,Sheet1!$A:$AA,MATCH(B$1,Sheet1!$A$1:$AA$1,0),FALSE))</f>
        <v>MARINAS PONTE, JUAN LUIS</v>
      </c>
      <c r="C14" t="str">
        <f>IF(VLOOKUP($A14,Sheet1!$A:$AA,MATCH(C$1,Sheet1!$A$1:$AA$1,0),FALSE)=0,"",VLOOKUP($A14,Sheet1!$A:$AA,MATCH(C$1,Sheet1!$A$1:$AA$1,0),FALSE))</f>
        <v>MARINAS PONTE</v>
      </c>
      <c r="D14" t="str">
        <f>IF(VLOOKUP($A14,Sheet1!$A:$AA,MATCH(D$1,Sheet1!$A$1:$AA$1,0),FALSE)=0,"",VLOOKUP($A14,Sheet1!$A:$AA,MATCH(D$1,Sheet1!$A$1:$AA$1,0),FALSE))</f>
        <v>JUAN LUIS</v>
      </c>
      <c r="E14" t="str">
        <f>IF(VLOOKUP($A14,Sheet1!$A:$AA,MATCH(E$1,Sheet1!$A$1:$AA$1,0),FALSE)=0,"",VLOOKUP($A14,Sheet1!$A:$AA,MATCH(E$1,Sheet1!$A$1:$AA$1,0),FALSE))</f>
        <v/>
      </c>
      <c r="F14" t="str">
        <f>IF(VLOOKUP($A14,Sheet1!$A:$AA,MATCH(F$1,Sheet1!$A$1:$AA$1,0),FALSE)=0,"",VLOOKUP($A14,Sheet1!$A:$AA,MATCH(F$1,Sheet1!$A$1:$AA$1,0),FALSE))</f>
        <v/>
      </c>
      <c r="G14" t="str">
        <f>IF(VLOOKUP($A14,Sheet1!$A:$AA,MATCH(G$1,Sheet1!$A$1:$AA$1,0),FALSE)=0,"",VLOOKUP($A14,Sheet1!$A:$AA,MATCH(G$1,Sheet1!$A$1:$AA$1,0),FALSE))</f>
        <v/>
      </c>
      <c r="H14" t="str">
        <f>IF(VLOOKUP($A14,Sheet1!$A:$AA,MATCH(H$1,Sheet1!$A$1:$AA$1,0),FALSE)=0,"",VLOOKUP($A14,Sheet1!$A:$AA,MATCH(H$1,Sheet1!$A$1:$AA$1,0),FALSE))</f>
        <v/>
      </c>
      <c r="I14" t="str">
        <f>IF(VLOOKUP($A14,Sheet1!$A:$AA,MATCH(I$1,Sheet1!$A$1:$AA$1,0),FALSE)=0,"",VLOOKUP($A14,Sheet1!$A:$AA,MATCH(I$1,Sheet1!$A$1:$AA$1,0),FALSE))</f>
        <v/>
      </c>
      <c r="J14" t="str">
        <f>IF(VLOOKUP($A14,Sheet1!$A:$AA,MATCH(J$1,Sheet1!$A$1:$AA$1,0),FALSE)=0,"",VLOOKUP($A14,Sheet1!$A:$AA,MATCH(J$1,Sheet1!$A$1:$AA$1,0),FALSE))</f>
        <v/>
      </c>
      <c r="K14" t="str">
        <f>IF(VLOOKUP($A14,Sheet1!$A:$AA,MATCH(K$1,Sheet1!$A$1:$AA$1,0),FALSE)=0,"",VLOOKUP($A14,Sheet1!$A:$AA,MATCH(K$1,Sheet1!$A$1:$AA$1,0),FALSE))</f>
        <v>ANDALUZA</v>
      </c>
      <c r="L14" t="str">
        <f>IF(VLOOKUP($A14,Sheet1!$A:$AA,MATCH(L$1,Sheet1!$A$1:$AA$1,0),FALSE)=0,"",VLOOKUP($A14,Sheet1!$A:$AA,MATCH(L$1,Sheet1!$A$1:$AA$1,0),FALSE))</f>
        <v/>
      </c>
      <c r="M14" t="str">
        <f>IF(VLOOKUP($A14,Sheet1!$A:$AA,MATCH(M$1,Sheet1!$A$1:$AA$1,0),FALSE)=0,"",VLOOKUP($A14,Sheet1!$A:$AA,MATCH(M$1,Sheet1!$A$1:$AA$1,0),FALSE))</f>
        <v/>
      </c>
      <c r="N14" t="str">
        <f>IF(VLOOKUP($A14,Sheet1!$A:$AA,MATCH(N$1,Sheet1!$A$1:$AA$1,0),FALSE)=0,"",VLOOKUP($A14,Sheet1!$A:$AA,MATCH(N$1,Sheet1!$A$1:$AA$1,0),FALSE))</f>
        <v/>
      </c>
      <c r="O14" t="str">
        <f>IF(VLOOKUP($A14,Sheet1!$A:$AA,MATCH(O$1,Sheet1!$A$1:$AA$1,0),FALSE)=0,"",VLOOKUP($A14,Sheet1!$A:$AA,MATCH(O$1,Sheet1!$A$1:$AA$1,0),FALSE))</f>
        <v/>
      </c>
      <c r="P14" t="str">
        <f>IF(VLOOKUP($A14,Sheet1!$A:$AA,MATCH(P$1,Sheet1!$A$1:$AA$1,0),FALSE)=0,"",VLOOKUP($A14,Sheet1!$A:$AA,MATCH(P$1,Sheet1!$A$1:$AA$1,0),FALSE))</f>
        <v/>
      </c>
      <c r="Q14" t="str">
        <f>IF(VLOOKUP($A14,Sheet1!$A:$AA,MATCH(Q$1,Sheet1!$A$1:$AA$1,0),FALSE)=0,"",VLOOKUP($A14,Sheet1!$A:$AA,MATCH(Q$1,Sheet1!$A$1:$AA$1,0),FALSE))</f>
        <v>M</v>
      </c>
      <c r="R14" s="2">
        <f>IF(VLOOKUP($A14,Sheet1!$A:$AA,MATCH(R$1,Sheet1!$A$1:$AA$1,0),FALSE)=0,"",VLOOKUP($A14,Sheet1!$A:$AA,MATCH(R$1,Sheet1!$A$1:$AA$1,0),FALSE))</f>
        <v>25152</v>
      </c>
      <c r="AA14">
        <f ca="1">IF(VLOOKUP($A14,Sheet1!$A:$AA,MATCH(AA$1,Sheet1!$A$1:$AA$1,0),FALSE)=0,"",VLOOKUP($A14,Sheet1!$A:$AA,MATCH(AA$1,Sheet1!$A$1:$AA$1,0),FALSE))</f>
        <v>57</v>
      </c>
    </row>
    <row r="15" spans="1:27" x14ac:dyDescent="0.25">
      <c r="A15">
        <v>9634719</v>
      </c>
      <c r="B15" t="str">
        <f>IF(VLOOKUP($A15,Sheet1!$A:$AA,MATCH(B$1,Sheet1!$A$1:$AA$1,0),FALSE)=0,"",VLOOKUP($A15,Sheet1!$A:$AA,MATCH(B$1,Sheet1!$A$1:$AA$1,0),FALSE))</f>
        <v>ALONSO GONZALEZ, GUSTAVO ADOLFO</v>
      </c>
      <c r="C15" t="str">
        <f>IF(VLOOKUP($A15,Sheet1!$A:$AA,MATCH(C$1,Sheet1!$A$1:$AA$1,0),FALSE)=0,"",VLOOKUP($A15,Sheet1!$A:$AA,MATCH(C$1,Sheet1!$A$1:$AA$1,0),FALSE))</f>
        <v>ALONSO GONZALEZ</v>
      </c>
      <c r="D15" t="str">
        <f>IF(VLOOKUP($A15,Sheet1!$A:$AA,MATCH(D$1,Sheet1!$A$1:$AA$1,0),FALSE)=0,"",VLOOKUP($A15,Sheet1!$A:$AA,MATCH(D$1,Sheet1!$A$1:$AA$1,0),FALSE))</f>
        <v>GUSTAVO ADOLFO</v>
      </c>
      <c r="E15" t="str">
        <f>IF(VLOOKUP($A15,Sheet1!$A:$AA,MATCH(E$1,Sheet1!$A$1:$AA$1,0),FALSE)=0,"",VLOOKUP($A15,Sheet1!$A:$AA,MATCH(E$1,Sheet1!$A$1:$AA$1,0),FALSE))</f>
        <v/>
      </c>
      <c r="F15" t="str">
        <f>IF(VLOOKUP($A15,Sheet1!$A:$AA,MATCH(F$1,Sheet1!$A$1:$AA$1,0),FALSE)=0,"",VLOOKUP($A15,Sheet1!$A:$AA,MATCH(F$1,Sheet1!$A$1:$AA$1,0),FALSE))</f>
        <v/>
      </c>
      <c r="G15" t="str">
        <f>IF(VLOOKUP($A15,Sheet1!$A:$AA,MATCH(G$1,Sheet1!$A$1:$AA$1,0),FALSE)=0,"",VLOOKUP($A15,Sheet1!$A:$AA,MATCH(G$1,Sheet1!$A$1:$AA$1,0),FALSE))</f>
        <v/>
      </c>
      <c r="H15" t="str">
        <f>IF(VLOOKUP($A15,Sheet1!$A:$AA,MATCH(H$1,Sheet1!$A$1:$AA$1,0),FALSE)=0,"",VLOOKUP($A15,Sheet1!$A:$AA,MATCH(H$1,Sheet1!$A$1:$AA$1,0),FALSE))</f>
        <v/>
      </c>
      <c r="I15" t="str">
        <f>IF(VLOOKUP($A15,Sheet1!$A:$AA,MATCH(I$1,Sheet1!$A$1:$AA$1,0),FALSE)=0,"",VLOOKUP($A15,Sheet1!$A:$AA,MATCH(I$1,Sheet1!$A$1:$AA$1,0),FALSE))</f>
        <v/>
      </c>
      <c r="J15" t="str">
        <f>IF(VLOOKUP($A15,Sheet1!$A:$AA,MATCH(J$1,Sheet1!$A$1:$AA$1,0),FALSE)=0,"",VLOOKUP($A15,Sheet1!$A:$AA,MATCH(J$1,Sheet1!$A$1:$AA$1,0),FALSE))</f>
        <v/>
      </c>
      <c r="K15" t="str">
        <f>IF(VLOOKUP($A15,Sheet1!$A:$AA,MATCH(K$1,Sheet1!$A$1:$AA$1,0),FALSE)=0,"",VLOOKUP($A15,Sheet1!$A:$AA,MATCH(K$1,Sheet1!$A$1:$AA$1,0),FALSE))</f>
        <v>ANDALUZA</v>
      </c>
      <c r="L15" t="str">
        <f>IF(VLOOKUP($A15,Sheet1!$A:$AA,MATCH(L$1,Sheet1!$A$1:$AA$1,0),FALSE)=0,"",VLOOKUP($A15,Sheet1!$A:$AA,MATCH(L$1,Sheet1!$A$1:$AA$1,0),FALSE))</f>
        <v/>
      </c>
      <c r="M15" t="str">
        <f>IF(VLOOKUP($A15,Sheet1!$A:$AA,MATCH(M$1,Sheet1!$A$1:$AA$1,0),FALSE)=0,"",VLOOKUP($A15,Sheet1!$A:$AA,MATCH(M$1,Sheet1!$A$1:$AA$1,0),FALSE))</f>
        <v/>
      </c>
      <c r="N15" t="str">
        <f>IF(VLOOKUP($A15,Sheet1!$A:$AA,MATCH(N$1,Sheet1!$A$1:$AA$1,0),FALSE)=0,"",VLOOKUP($A15,Sheet1!$A:$AA,MATCH(N$1,Sheet1!$A$1:$AA$1,0),FALSE))</f>
        <v/>
      </c>
      <c r="O15" t="str">
        <f>IF(VLOOKUP($A15,Sheet1!$A:$AA,MATCH(O$1,Sheet1!$A$1:$AA$1,0),FALSE)=0,"",VLOOKUP($A15,Sheet1!$A:$AA,MATCH(O$1,Sheet1!$A$1:$AA$1,0),FALSE))</f>
        <v/>
      </c>
      <c r="P15" t="str">
        <f>IF(VLOOKUP($A15,Sheet1!$A:$AA,MATCH(P$1,Sheet1!$A$1:$AA$1,0),FALSE)=0,"",VLOOKUP($A15,Sheet1!$A:$AA,MATCH(P$1,Sheet1!$A$1:$AA$1,0),FALSE))</f>
        <v/>
      </c>
      <c r="Q15" t="str">
        <f>IF(VLOOKUP($A15,Sheet1!$A:$AA,MATCH(Q$1,Sheet1!$A$1:$AA$1,0),FALSE)=0,"",VLOOKUP($A15,Sheet1!$A:$AA,MATCH(Q$1,Sheet1!$A$1:$AA$1,0),FALSE))</f>
        <v>M</v>
      </c>
      <c r="R15" s="2">
        <f>IF(VLOOKUP($A15,Sheet1!$A:$AA,MATCH(R$1,Sheet1!$A$1:$AA$1,0),FALSE)=0,"",VLOOKUP($A15,Sheet1!$A:$AA,MATCH(R$1,Sheet1!$A$1:$AA$1,0),FALSE))</f>
        <v>22258</v>
      </c>
      <c r="AA15">
        <f ca="1">IF(VLOOKUP($A15,Sheet1!$A:$AA,MATCH(AA$1,Sheet1!$A$1:$AA$1,0),FALSE)=0,"",VLOOKUP($A15,Sheet1!$A:$AA,MATCH(AA$1,Sheet1!$A$1:$AA$1,0),FALSE))</f>
        <v>65</v>
      </c>
    </row>
    <row r="16" spans="1:27" x14ac:dyDescent="0.25">
      <c r="A16">
        <v>9663437</v>
      </c>
      <c r="B16" t="str">
        <f>IF(VLOOKUP($A16,Sheet1!$A:$AA,MATCH(B$1,Sheet1!$A$1:$AA$1,0),FALSE)=0,"",VLOOKUP($A16,Sheet1!$A:$AA,MATCH(B$1,Sheet1!$A$1:$AA$1,0),FALSE))</f>
        <v>PRAT CALLEALTA, GUILLERMO</v>
      </c>
      <c r="C16" t="str">
        <f>IF(VLOOKUP($A16,Sheet1!$A:$AA,MATCH(C$1,Sheet1!$A$1:$AA$1,0),FALSE)=0,"",VLOOKUP($A16,Sheet1!$A:$AA,MATCH(C$1,Sheet1!$A$1:$AA$1,0),FALSE))</f>
        <v>PRAT CALLEALTA</v>
      </c>
      <c r="D16" t="str">
        <f>IF(VLOOKUP($A16,Sheet1!$A:$AA,MATCH(D$1,Sheet1!$A$1:$AA$1,0),FALSE)=0,"",VLOOKUP($A16,Sheet1!$A:$AA,MATCH(D$1,Sheet1!$A$1:$AA$1,0),FALSE))</f>
        <v>GUILLERMO</v>
      </c>
      <c r="E16" t="str">
        <f>IF(VLOOKUP($A16,Sheet1!$A:$AA,MATCH(E$1,Sheet1!$A$1:$AA$1,0),FALSE)=0,"",VLOOKUP($A16,Sheet1!$A:$AA,MATCH(E$1,Sheet1!$A$1:$AA$1,0),FALSE))</f>
        <v/>
      </c>
      <c r="F16" t="str">
        <f>IF(VLOOKUP($A16,Sheet1!$A:$AA,MATCH(F$1,Sheet1!$A$1:$AA$1,0),FALSE)=0,"",VLOOKUP($A16,Sheet1!$A:$AA,MATCH(F$1,Sheet1!$A$1:$AA$1,0),FALSE))</f>
        <v/>
      </c>
      <c r="G16" t="str">
        <f>IF(VLOOKUP($A16,Sheet1!$A:$AA,MATCH(G$1,Sheet1!$A$1:$AA$1,0),FALSE)=0,"",VLOOKUP($A16,Sheet1!$A:$AA,MATCH(G$1,Sheet1!$A$1:$AA$1,0),FALSE))</f>
        <v/>
      </c>
      <c r="H16" t="str">
        <f>IF(VLOOKUP($A16,Sheet1!$A:$AA,MATCH(H$1,Sheet1!$A$1:$AA$1,0),FALSE)=0,"",VLOOKUP($A16,Sheet1!$A:$AA,MATCH(H$1,Sheet1!$A$1:$AA$1,0),FALSE))</f>
        <v/>
      </c>
      <c r="I16" t="str">
        <f>IF(VLOOKUP($A16,Sheet1!$A:$AA,MATCH(I$1,Sheet1!$A$1:$AA$1,0),FALSE)=0,"",VLOOKUP($A16,Sheet1!$A:$AA,MATCH(I$1,Sheet1!$A$1:$AA$1,0),FALSE))</f>
        <v/>
      </c>
      <c r="J16" t="str">
        <f>IF(VLOOKUP($A16,Sheet1!$A:$AA,MATCH(J$1,Sheet1!$A$1:$AA$1,0),FALSE)=0,"",VLOOKUP($A16,Sheet1!$A:$AA,MATCH(J$1,Sheet1!$A$1:$AA$1,0),FALSE))</f>
        <v/>
      </c>
      <c r="K16" t="str">
        <f>IF(VLOOKUP($A16,Sheet1!$A:$AA,MATCH(K$1,Sheet1!$A$1:$AA$1,0),FALSE)=0,"",VLOOKUP($A16,Sheet1!$A:$AA,MATCH(K$1,Sheet1!$A$1:$AA$1,0),FALSE))</f>
        <v>ANDALUZA</v>
      </c>
      <c r="L16" t="str">
        <f>IF(VLOOKUP($A16,Sheet1!$A:$AA,MATCH(L$1,Sheet1!$A$1:$AA$1,0),FALSE)=0,"",VLOOKUP($A16,Sheet1!$A:$AA,MATCH(L$1,Sheet1!$A$1:$AA$1,0),FALSE))</f>
        <v/>
      </c>
      <c r="M16" t="str">
        <f>IF(VLOOKUP($A16,Sheet1!$A:$AA,MATCH(M$1,Sheet1!$A$1:$AA$1,0),FALSE)=0,"",VLOOKUP($A16,Sheet1!$A:$AA,MATCH(M$1,Sheet1!$A$1:$AA$1,0),FALSE))</f>
        <v/>
      </c>
      <c r="N16" t="str">
        <f>IF(VLOOKUP($A16,Sheet1!$A:$AA,MATCH(N$1,Sheet1!$A$1:$AA$1,0),FALSE)=0,"",VLOOKUP($A16,Sheet1!$A:$AA,MATCH(N$1,Sheet1!$A$1:$AA$1,0),FALSE))</f>
        <v/>
      </c>
      <c r="O16" t="str">
        <f>IF(VLOOKUP($A16,Sheet1!$A:$AA,MATCH(O$1,Sheet1!$A$1:$AA$1,0),FALSE)=0,"",VLOOKUP($A16,Sheet1!$A:$AA,MATCH(O$1,Sheet1!$A$1:$AA$1,0),FALSE))</f>
        <v/>
      </c>
      <c r="P16" t="str">
        <f>IF(VLOOKUP($A16,Sheet1!$A:$AA,MATCH(P$1,Sheet1!$A$1:$AA$1,0),FALSE)=0,"",VLOOKUP($A16,Sheet1!$A:$AA,MATCH(P$1,Sheet1!$A$1:$AA$1,0),FALSE))</f>
        <v/>
      </c>
      <c r="Q16" t="str">
        <f>IF(VLOOKUP($A16,Sheet1!$A:$AA,MATCH(Q$1,Sheet1!$A$1:$AA$1,0),FALSE)=0,"",VLOOKUP($A16,Sheet1!$A:$AA,MATCH(Q$1,Sheet1!$A$1:$AA$1,0),FALSE))</f>
        <v>M</v>
      </c>
      <c r="R16" s="2">
        <f>IF(VLOOKUP($A16,Sheet1!$A:$AA,MATCH(R$1,Sheet1!$A$1:$AA$1,0),FALSE)=0,"",VLOOKUP($A16,Sheet1!$A:$AA,MATCH(R$1,Sheet1!$A$1:$AA$1,0),FALSE))</f>
        <v>36447</v>
      </c>
      <c r="AA16">
        <f ca="1">IF(VLOOKUP($A16,Sheet1!$A:$AA,MATCH(AA$1,Sheet1!$A$1:$AA$1,0),FALSE)=0,"",VLOOKUP($A16,Sheet1!$A:$AA,MATCH(AA$1,Sheet1!$A$1:$AA$1,0),FALSE))</f>
        <v>26</v>
      </c>
    </row>
    <row r="17" spans="1:27" x14ac:dyDescent="0.25">
      <c r="A17">
        <v>16913578</v>
      </c>
      <c r="B17" t="str">
        <f>IF(VLOOKUP($A17,Sheet1!$A:$AA,MATCH(B$1,Sheet1!$A$1:$AA$1,0),FALSE)=0,"",VLOOKUP($A17,Sheet1!$A:$AA,MATCH(B$1,Sheet1!$A$1:$AA$1,0),FALSE))</f>
        <v>SERRANO RUANO, ALEXANDER</v>
      </c>
      <c r="C17" t="str">
        <f>IF(VLOOKUP($A17,Sheet1!$A:$AA,MATCH(C$1,Sheet1!$A$1:$AA$1,0),FALSE)=0,"",VLOOKUP($A17,Sheet1!$A:$AA,MATCH(C$1,Sheet1!$A$1:$AA$1,0),FALSE))</f>
        <v>SERRANO RUANO</v>
      </c>
      <c r="D17" t="str">
        <f>IF(VLOOKUP($A17,Sheet1!$A:$AA,MATCH(D$1,Sheet1!$A$1:$AA$1,0),FALSE)=0,"",VLOOKUP($A17,Sheet1!$A:$AA,MATCH(D$1,Sheet1!$A$1:$AA$1,0),FALSE))</f>
        <v>ALEXANDER</v>
      </c>
      <c r="E17" t="str">
        <f>IF(VLOOKUP($A17,Sheet1!$A:$AA,MATCH(E$1,Sheet1!$A$1:$AA$1,0),FALSE)=0,"",VLOOKUP($A17,Sheet1!$A:$AA,MATCH(E$1,Sheet1!$A$1:$AA$1,0),FALSE))</f>
        <v/>
      </c>
      <c r="F17" t="str">
        <f>IF(VLOOKUP($A17,Sheet1!$A:$AA,MATCH(F$1,Sheet1!$A$1:$AA$1,0),FALSE)=0,"",VLOOKUP($A17,Sheet1!$A:$AA,MATCH(F$1,Sheet1!$A$1:$AA$1,0),FALSE))</f>
        <v/>
      </c>
      <c r="G17" t="str">
        <f>IF(VLOOKUP($A17,Sheet1!$A:$AA,MATCH(G$1,Sheet1!$A$1:$AA$1,0),FALSE)=0,"",VLOOKUP($A17,Sheet1!$A:$AA,MATCH(G$1,Sheet1!$A$1:$AA$1,0),FALSE))</f>
        <v/>
      </c>
      <c r="H17" t="str">
        <f>IF(VLOOKUP($A17,Sheet1!$A:$AA,MATCH(H$1,Sheet1!$A$1:$AA$1,0),FALSE)=0,"",VLOOKUP($A17,Sheet1!$A:$AA,MATCH(H$1,Sheet1!$A$1:$AA$1,0),FALSE))</f>
        <v/>
      </c>
      <c r="I17" t="str">
        <f>IF(VLOOKUP($A17,Sheet1!$A:$AA,MATCH(I$1,Sheet1!$A$1:$AA$1,0),FALSE)=0,"",VLOOKUP($A17,Sheet1!$A:$AA,MATCH(I$1,Sheet1!$A$1:$AA$1,0),FALSE))</f>
        <v/>
      </c>
      <c r="J17" t="str">
        <f>IF(VLOOKUP($A17,Sheet1!$A:$AA,MATCH(J$1,Sheet1!$A$1:$AA$1,0),FALSE)=0,"",VLOOKUP($A17,Sheet1!$A:$AA,MATCH(J$1,Sheet1!$A$1:$AA$1,0),FALSE))</f>
        <v/>
      </c>
      <c r="K17" t="str">
        <f>IF(VLOOKUP($A17,Sheet1!$A:$AA,MATCH(K$1,Sheet1!$A$1:$AA$1,0),FALSE)=0,"",VLOOKUP($A17,Sheet1!$A:$AA,MATCH(K$1,Sheet1!$A$1:$AA$1,0),FALSE))</f>
        <v>ANDALUZA</v>
      </c>
      <c r="L17" t="str">
        <f>IF(VLOOKUP($A17,Sheet1!$A:$AA,MATCH(L$1,Sheet1!$A$1:$AA$1,0),FALSE)=0,"",VLOOKUP($A17,Sheet1!$A:$AA,MATCH(L$1,Sheet1!$A$1:$AA$1,0),FALSE))</f>
        <v/>
      </c>
      <c r="M17" t="str">
        <f>IF(VLOOKUP($A17,Sheet1!$A:$AA,MATCH(M$1,Sheet1!$A$1:$AA$1,0),FALSE)=0,"",VLOOKUP($A17,Sheet1!$A:$AA,MATCH(M$1,Sheet1!$A$1:$AA$1,0),FALSE))</f>
        <v/>
      </c>
      <c r="N17" t="str">
        <f>IF(VLOOKUP($A17,Sheet1!$A:$AA,MATCH(N$1,Sheet1!$A$1:$AA$1,0),FALSE)=0,"",VLOOKUP($A17,Sheet1!$A:$AA,MATCH(N$1,Sheet1!$A$1:$AA$1,0),FALSE))</f>
        <v/>
      </c>
      <c r="O17" t="str">
        <f>IF(VLOOKUP($A17,Sheet1!$A:$AA,MATCH(O$1,Sheet1!$A$1:$AA$1,0),FALSE)=0,"",VLOOKUP($A17,Sheet1!$A:$AA,MATCH(O$1,Sheet1!$A$1:$AA$1,0),FALSE))</f>
        <v/>
      </c>
      <c r="P17" t="str">
        <f>IF(VLOOKUP($A17,Sheet1!$A:$AA,MATCH(P$1,Sheet1!$A$1:$AA$1,0),FALSE)=0,"",VLOOKUP($A17,Sheet1!$A:$AA,MATCH(P$1,Sheet1!$A$1:$AA$1,0),FALSE))</f>
        <v/>
      </c>
      <c r="Q17" t="str">
        <f>IF(VLOOKUP($A17,Sheet1!$A:$AA,MATCH(Q$1,Sheet1!$A$1:$AA$1,0),FALSE)=0,"",VLOOKUP($A17,Sheet1!$A:$AA,MATCH(Q$1,Sheet1!$A$1:$AA$1,0),FALSE))</f>
        <v>M</v>
      </c>
      <c r="R17" s="2">
        <f>IF(VLOOKUP($A17,Sheet1!$A:$AA,MATCH(R$1,Sheet1!$A$1:$AA$1,0),FALSE)=0,"",VLOOKUP($A17,Sheet1!$A:$AA,MATCH(R$1,Sheet1!$A$1:$AA$1,0),FALSE))</f>
        <v>33382</v>
      </c>
      <c r="AA17">
        <f ca="1">IF(VLOOKUP($A17,Sheet1!$A:$AA,MATCH(AA$1,Sheet1!$A$1:$AA$1,0),FALSE)=0,"",VLOOKUP($A17,Sheet1!$A:$AA,MATCH(AA$1,Sheet1!$A$1:$AA$1,0),FALSE))</f>
        <v>34</v>
      </c>
    </row>
    <row r="18" spans="1:27" x14ac:dyDescent="0.25">
      <c r="A18">
        <v>16937065</v>
      </c>
      <c r="B18" t="str">
        <f>IF(VLOOKUP($A18,Sheet1!$A:$AA,MATCH(B$1,Sheet1!$A$1:$AA$1,0),FALSE)=0,"",VLOOKUP($A18,Sheet1!$A:$AA,MATCH(B$1,Sheet1!$A$1:$AA$1,0),FALSE))</f>
        <v>PEREIRA DE MATTOSS, DOMINI ELIAS</v>
      </c>
      <c r="C18" t="str">
        <f>IF(VLOOKUP($A18,Sheet1!$A:$AA,MATCH(C$1,Sheet1!$A$1:$AA$1,0),FALSE)=0,"",VLOOKUP($A18,Sheet1!$A:$AA,MATCH(C$1,Sheet1!$A$1:$AA$1,0),FALSE))</f>
        <v>PEREIRA DE MATTOSS</v>
      </c>
      <c r="D18" t="str">
        <f>IF(VLOOKUP($A18,Sheet1!$A:$AA,MATCH(D$1,Sheet1!$A$1:$AA$1,0),FALSE)=0,"",VLOOKUP($A18,Sheet1!$A:$AA,MATCH(D$1,Sheet1!$A$1:$AA$1,0),FALSE))</f>
        <v>DOMINI ELIAS</v>
      </c>
      <c r="E18" t="str">
        <f>IF(VLOOKUP($A18,Sheet1!$A:$AA,MATCH(E$1,Sheet1!$A$1:$AA$1,0),FALSE)=0,"",VLOOKUP($A18,Sheet1!$A:$AA,MATCH(E$1,Sheet1!$A$1:$AA$1,0),FALSE))</f>
        <v/>
      </c>
      <c r="F18" t="str">
        <f>IF(VLOOKUP($A18,Sheet1!$A:$AA,MATCH(F$1,Sheet1!$A$1:$AA$1,0),FALSE)=0,"",VLOOKUP($A18,Sheet1!$A:$AA,MATCH(F$1,Sheet1!$A$1:$AA$1,0),FALSE))</f>
        <v/>
      </c>
      <c r="G18" t="str">
        <f>IF(VLOOKUP($A18,Sheet1!$A:$AA,MATCH(G$1,Sheet1!$A$1:$AA$1,0),FALSE)=0,"",VLOOKUP($A18,Sheet1!$A:$AA,MATCH(G$1,Sheet1!$A$1:$AA$1,0),FALSE))</f>
        <v/>
      </c>
      <c r="H18" t="str">
        <f>IF(VLOOKUP($A18,Sheet1!$A:$AA,MATCH(H$1,Sheet1!$A$1:$AA$1,0),FALSE)=0,"",VLOOKUP($A18,Sheet1!$A:$AA,MATCH(H$1,Sheet1!$A$1:$AA$1,0),FALSE))</f>
        <v/>
      </c>
      <c r="I18" t="str">
        <f>IF(VLOOKUP($A18,Sheet1!$A:$AA,MATCH(I$1,Sheet1!$A$1:$AA$1,0),FALSE)=0,"",VLOOKUP($A18,Sheet1!$A:$AA,MATCH(I$1,Sheet1!$A$1:$AA$1,0),FALSE))</f>
        <v/>
      </c>
      <c r="J18" t="str">
        <f>IF(VLOOKUP($A18,Sheet1!$A:$AA,MATCH(J$1,Sheet1!$A$1:$AA$1,0),FALSE)=0,"",VLOOKUP($A18,Sheet1!$A:$AA,MATCH(J$1,Sheet1!$A$1:$AA$1,0),FALSE))</f>
        <v/>
      </c>
      <c r="K18" t="str">
        <f>IF(VLOOKUP($A18,Sheet1!$A:$AA,MATCH(K$1,Sheet1!$A$1:$AA$1,0),FALSE)=0,"",VLOOKUP($A18,Sheet1!$A:$AA,MATCH(K$1,Sheet1!$A$1:$AA$1,0),FALSE))</f>
        <v>ANDALUZA</v>
      </c>
      <c r="L18" t="str">
        <f>IF(VLOOKUP($A18,Sheet1!$A:$AA,MATCH(L$1,Sheet1!$A$1:$AA$1,0),FALSE)=0,"",VLOOKUP($A18,Sheet1!$A:$AA,MATCH(L$1,Sheet1!$A$1:$AA$1,0),FALSE))</f>
        <v/>
      </c>
      <c r="M18" t="str">
        <f>IF(VLOOKUP($A18,Sheet1!$A:$AA,MATCH(M$1,Sheet1!$A$1:$AA$1,0),FALSE)=0,"",VLOOKUP($A18,Sheet1!$A:$AA,MATCH(M$1,Sheet1!$A$1:$AA$1,0),FALSE))</f>
        <v/>
      </c>
      <c r="N18" t="str">
        <f>IF(VLOOKUP($A18,Sheet1!$A:$AA,MATCH(N$1,Sheet1!$A$1:$AA$1,0),FALSE)=0,"",VLOOKUP($A18,Sheet1!$A:$AA,MATCH(N$1,Sheet1!$A$1:$AA$1,0),FALSE))</f>
        <v/>
      </c>
      <c r="O18" t="str">
        <f>IF(VLOOKUP($A18,Sheet1!$A:$AA,MATCH(O$1,Sheet1!$A$1:$AA$1,0),FALSE)=0,"",VLOOKUP($A18,Sheet1!$A:$AA,MATCH(O$1,Sheet1!$A$1:$AA$1,0),FALSE))</f>
        <v/>
      </c>
      <c r="P18" t="str">
        <f>IF(VLOOKUP($A18,Sheet1!$A:$AA,MATCH(P$1,Sheet1!$A$1:$AA$1,0),FALSE)=0,"",VLOOKUP($A18,Sheet1!$A:$AA,MATCH(P$1,Sheet1!$A$1:$AA$1,0),FALSE))</f>
        <v/>
      </c>
      <c r="Q18" t="str">
        <f>IF(VLOOKUP($A18,Sheet1!$A:$AA,MATCH(Q$1,Sheet1!$A$1:$AA$1,0),FALSE)=0,"",VLOOKUP($A18,Sheet1!$A:$AA,MATCH(Q$1,Sheet1!$A$1:$AA$1,0),FALSE))</f>
        <v>M</v>
      </c>
      <c r="R18" s="2">
        <f>IF(VLOOKUP($A18,Sheet1!$A:$AA,MATCH(R$1,Sheet1!$A$1:$AA$1,0),FALSE)=0,"",VLOOKUP($A18,Sheet1!$A:$AA,MATCH(R$1,Sheet1!$A$1:$AA$1,0),FALSE))</f>
        <v>33455</v>
      </c>
      <c r="AA18">
        <f ca="1">IF(VLOOKUP($A18,Sheet1!$A:$AA,MATCH(AA$1,Sheet1!$A$1:$AA$1,0),FALSE)=0,"",VLOOKUP($A18,Sheet1!$A:$AA,MATCH(AA$1,Sheet1!$A$1:$AA$1,0),FALSE))</f>
        <v>34</v>
      </c>
    </row>
    <row r="19" spans="1:27" x14ac:dyDescent="0.25">
      <c r="A19">
        <v>16947410</v>
      </c>
      <c r="B19" t="str">
        <f>IF(VLOOKUP($A19,Sheet1!$A:$AA,MATCH(B$1,Sheet1!$A$1:$AA$1,0),FALSE)=0,"",VLOOKUP($A19,Sheet1!$A:$AA,MATCH(B$1,Sheet1!$A$1:$AA$1,0),FALSE))</f>
        <v>JIMÉNEZ HERRERA, JULIÁN</v>
      </c>
      <c r="C19" t="str">
        <f>IF(VLOOKUP($A19,Sheet1!$A:$AA,MATCH(C$1,Sheet1!$A$1:$AA$1,0),FALSE)=0,"",VLOOKUP($A19,Sheet1!$A:$AA,MATCH(C$1,Sheet1!$A$1:$AA$1,0),FALSE))</f>
        <v>JIMÉNEZ HERRERA</v>
      </c>
      <c r="D19" t="str">
        <f>IF(VLOOKUP($A19,Sheet1!$A:$AA,MATCH(D$1,Sheet1!$A$1:$AA$1,0),FALSE)=0,"",VLOOKUP($A19,Sheet1!$A:$AA,MATCH(D$1,Sheet1!$A$1:$AA$1,0),FALSE))</f>
        <v>JULIÁN</v>
      </c>
      <c r="E19" t="str">
        <f>IF(VLOOKUP($A19,Sheet1!$A:$AA,MATCH(E$1,Sheet1!$A$1:$AA$1,0),FALSE)=0,"",VLOOKUP($A19,Sheet1!$A:$AA,MATCH(E$1,Sheet1!$A$1:$AA$1,0),FALSE))</f>
        <v/>
      </c>
      <c r="F19" t="str">
        <f>IF(VLOOKUP($A19,Sheet1!$A:$AA,MATCH(F$1,Sheet1!$A$1:$AA$1,0),FALSE)=0,"",VLOOKUP($A19,Sheet1!$A:$AA,MATCH(F$1,Sheet1!$A$1:$AA$1,0),FALSE))</f>
        <v/>
      </c>
      <c r="G19" t="str">
        <f>IF(VLOOKUP($A19,Sheet1!$A:$AA,MATCH(G$1,Sheet1!$A$1:$AA$1,0),FALSE)=0,"",VLOOKUP($A19,Sheet1!$A:$AA,MATCH(G$1,Sheet1!$A$1:$AA$1,0),FALSE))</f>
        <v/>
      </c>
      <c r="H19" t="str">
        <f>IF(VLOOKUP($A19,Sheet1!$A:$AA,MATCH(H$1,Sheet1!$A$1:$AA$1,0),FALSE)=0,"",VLOOKUP($A19,Sheet1!$A:$AA,MATCH(H$1,Sheet1!$A$1:$AA$1,0),FALSE))</f>
        <v/>
      </c>
      <c r="I19" t="str">
        <f>IF(VLOOKUP($A19,Sheet1!$A:$AA,MATCH(I$1,Sheet1!$A$1:$AA$1,0),FALSE)=0,"",VLOOKUP($A19,Sheet1!$A:$AA,MATCH(I$1,Sheet1!$A$1:$AA$1,0),FALSE))</f>
        <v/>
      </c>
      <c r="J19" t="str">
        <f>IF(VLOOKUP($A19,Sheet1!$A:$AA,MATCH(J$1,Sheet1!$A$1:$AA$1,0),FALSE)=0,"",VLOOKUP($A19,Sheet1!$A:$AA,MATCH(J$1,Sheet1!$A$1:$AA$1,0),FALSE))</f>
        <v/>
      </c>
      <c r="K19" t="str">
        <f>IF(VLOOKUP($A19,Sheet1!$A:$AA,MATCH(K$1,Sheet1!$A$1:$AA$1,0),FALSE)=0,"",VLOOKUP($A19,Sheet1!$A:$AA,MATCH(K$1,Sheet1!$A$1:$AA$1,0),FALSE))</f>
        <v>ANDALUZA</v>
      </c>
      <c r="L19" t="str">
        <f>IF(VLOOKUP($A19,Sheet1!$A:$AA,MATCH(L$1,Sheet1!$A$1:$AA$1,0),FALSE)=0,"",VLOOKUP($A19,Sheet1!$A:$AA,MATCH(L$1,Sheet1!$A$1:$AA$1,0),FALSE))</f>
        <v/>
      </c>
      <c r="M19" t="str">
        <f>IF(VLOOKUP($A19,Sheet1!$A:$AA,MATCH(M$1,Sheet1!$A$1:$AA$1,0),FALSE)=0,"",VLOOKUP($A19,Sheet1!$A:$AA,MATCH(M$1,Sheet1!$A$1:$AA$1,0),FALSE))</f>
        <v/>
      </c>
      <c r="N19" t="str">
        <f>IF(VLOOKUP($A19,Sheet1!$A:$AA,MATCH(N$1,Sheet1!$A$1:$AA$1,0),FALSE)=0,"",VLOOKUP($A19,Sheet1!$A:$AA,MATCH(N$1,Sheet1!$A$1:$AA$1,0),FALSE))</f>
        <v/>
      </c>
      <c r="O19" t="str">
        <f>IF(VLOOKUP($A19,Sheet1!$A:$AA,MATCH(O$1,Sheet1!$A$1:$AA$1,0),FALSE)=0,"",VLOOKUP($A19,Sheet1!$A:$AA,MATCH(O$1,Sheet1!$A$1:$AA$1,0),FALSE))</f>
        <v/>
      </c>
      <c r="P19" t="str">
        <f>IF(VLOOKUP($A19,Sheet1!$A:$AA,MATCH(P$1,Sheet1!$A$1:$AA$1,0),FALSE)=0,"",VLOOKUP($A19,Sheet1!$A:$AA,MATCH(P$1,Sheet1!$A$1:$AA$1,0),FALSE))</f>
        <v/>
      </c>
      <c r="Q19" t="str">
        <f>IF(VLOOKUP($A19,Sheet1!$A:$AA,MATCH(Q$1,Sheet1!$A$1:$AA$1,0),FALSE)=0,"",VLOOKUP($A19,Sheet1!$A:$AA,MATCH(Q$1,Sheet1!$A$1:$AA$1,0),FALSE))</f>
        <v>M</v>
      </c>
      <c r="R19" s="2">
        <f>IF(VLOOKUP($A19,Sheet1!$A:$AA,MATCH(R$1,Sheet1!$A$1:$AA$1,0),FALSE)=0,"",VLOOKUP($A19,Sheet1!$A:$AA,MATCH(R$1,Sheet1!$A$1:$AA$1,0),FALSE))</f>
        <v>27296</v>
      </c>
      <c r="AA19">
        <f ca="1">IF(VLOOKUP($A19,Sheet1!$A:$AA,MATCH(AA$1,Sheet1!$A$1:$AA$1,0),FALSE)=0,"",VLOOKUP($A19,Sheet1!$A:$AA,MATCH(AA$1,Sheet1!$A$1:$AA$1,0),FALSE))</f>
        <v>51</v>
      </c>
    </row>
    <row r="20" spans="1:27" x14ac:dyDescent="0.25">
      <c r="A20">
        <v>16947428</v>
      </c>
      <c r="B20" t="str">
        <f>IF(VLOOKUP($A20,Sheet1!$A:$AA,MATCH(B$1,Sheet1!$A$1:$AA$1,0),FALSE)=0,"",VLOOKUP($A20,Sheet1!$A:$AA,MATCH(B$1,Sheet1!$A$1:$AA$1,0),FALSE))</f>
        <v>OTERO DELGADO, JAVIER</v>
      </c>
      <c r="C20" t="str">
        <f>IF(VLOOKUP($A20,Sheet1!$A:$AA,MATCH(C$1,Sheet1!$A$1:$AA$1,0),FALSE)=0,"",VLOOKUP($A20,Sheet1!$A:$AA,MATCH(C$1,Sheet1!$A$1:$AA$1,0),FALSE))</f>
        <v>OTERO DELGADO</v>
      </c>
      <c r="D20" t="str">
        <f>IF(VLOOKUP($A20,Sheet1!$A:$AA,MATCH(D$1,Sheet1!$A$1:$AA$1,0),FALSE)=0,"",VLOOKUP($A20,Sheet1!$A:$AA,MATCH(D$1,Sheet1!$A$1:$AA$1,0),FALSE))</f>
        <v>JAVIER</v>
      </c>
      <c r="E20" t="str">
        <f>IF(VLOOKUP($A20,Sheet1!$A:$AA,MATCH(E$1,Sheet1!$A$1:$AA$1,0),FALSE)=0,"",VLOOKUP($A20,Sheet1!$A:$AA,MATCH(E$1,Sheet1!$A$1:$AA$1,0),FALSE))</f>
        <v/>
      </c>
      <c r="F20" t="str">
        <f>IF(VLOOKUP($A20,Sheet1!$A:$AA,MATCH(F$1,Sheet1!$A$1:$AA$1,0),FALSE)=0,"",VLOOKUP($A20,Sheet1!$A:$AA,MATCH(F$1,Sheet1!$A$1:$AA$1,0),FALSE))</f>
        <v/>
      </c>
      <c r="G20" t="str">
        <f>IF(VLOOKUP($A20,Sheet1!$A:$AA,MATCH(G$1,Sheet1!$A$1:$AA$1,0),FALSE)=0,"",VLOOKUP($A20,Sheet1!$A:$AA,MATCH(G$1,Sheet1!$A$1:$AA$1,0),FALSE))</f>
        <v/>
      </c>
      <c r="H20" t="str">
        <f>IF(VLOOKUP($A20,Sheet1!$A:$AA,MATCH(H$1,Sheet1!$A$1:$AA$1,0),FALSE)=0,"",VLOOKUP($A20,Sheet1!$A:$AA,MATCH(H$1,Sheet1!$A$1:$AA$1,0),FALSE))</f>
        <v/>
      </c>
      <c r="I20" t="str">
        <f>IF(VLOOKUP($A20,Sheet1!$A:$AA,MATCH(I$1,Sheet1!$A$1:$AA$1,0),FALSE)=0,"",VLOOKUP($A20,Sheet1!$A:$AA,MATCH(I$1,Sheet1!$A$1:$AA$1,0),FALSE))</f>
        <v/>
      </c>
      <c r="J20" t="str">
        <f>IF(VLOOKUP($A20,Sheet1!$A:$AA,MATCH(J$1,Sheet1!$A$1:$AA$1,0),FALSE)=0,"",VLOOKUP($A20,Sheet1!$A:$AA,MATCH(J$1,Sheet1!$A$1:$AA$1,0),FALSE))</f>
        <v/>
      </c>
      <c r="K20" t="str">
        <f>IF(VLOOKUP($A20,Sheet1!$A:$AA,MATCH(K$1,Sheet1!$A$1:$AA$1,0),FALSE)=0,"",VLOOKUP($A20,Sheet1!$A:$AA,MATCH(K$1,Sheet1!$A$1:$AA$1,0),FALSE))</f>
        <v>ANDALUZA</v>
      </c>
      <c r="L20" t="str">
        <f>IF(VLOOKUP($A20,Sheet1!$A:$AA,MATCH(L$1,Sheet1!$A$1:$AA$1,0),FALSE)=0,"",VLOOKUP($A20,Sheet1!$A:$AA,MATCH(L$1,Sheet1!$A$1:$AA$1,0),FALSE))</f>
        <v/>
      </c>
      <c r="M20" t="str">
        <f>IF(VLOOKUP($A20,Sheet1!$A:$AA,MATCH(M$1,Sheet1!$A$1:$AA$1,0),FALSE)=0,"",VLOOKUP($A20,Sheet1!$A:$AA,MATCH(M$1,Sheet1!$A$1:$AA$1,0),FALSE))</f>
        <v/>
      </c>
      <c r="N20" t="str">
        <f>IF(VLOOKUP($A20,Sheet1!$A:$AA,MATCH(N$1,Sheet1!$A$1:$AA$1,0),FALSE)=0,"",VLOOKUP($A20,Sheet1!$A:$AA,MATCH(N$1,Sheet1!$A$1:$AA$1,0),FALSE))</f>
        <v/>
      </c>
      <c r="O20" t="str">
        <f>IF(VLOOKUP($A20,Sheet1!$A:$AA,MATCH(O$1,Sheet1!$A$1:$AA$1,0),FALSE)=0,"",VLOOKUP($A20,Sheet1!$A:$AA,MATCH(O$1,Sheet1!$A$1:$AA$1,0),FALSE))</f>
        <v/>
      </c>
      <c r="P20" t="str">
        <f>IF(VLOOKUP($A20,Sheet1!$A:$AA,MATCH(P$1,Sheet1!$A$1:$AA$1,0),FALSE)=0,"",VLOOKUP($A20,Sheet1!$A:$AA,MATCH(P$1,Sheet1!$A$1:$AA$1,0),FALSE))</f>
        <v/>
      </c>
      <c r="Q20" t="str">
        <f>IF(VLOOKUP($A20,Sheet1!$A:$AA,MATCH(Q$1,Sheet1!$A$1:$AA$1,0),FALSE)=0,"",VLOOKUP($A20,Sheet1!$A:$AA,MATCH(Q$1,Sheet1!$A$1:$AA$1,0),FALSE))</f>
        <v>M</v>
      </c>
      <c r="R20" s="2">
        <f>IF(VLOOKUP($A20,Sheet1!$A:$AA,MATCH(R$1,Sheet1!$A$1:$AA$1,0),FALSE)=0,"",VLOOKUP($A20,Sheet1!$A:$AA,MATCH(R$1,Sheet1!$A$1:$AA$1,0),FALSE))</f>
        <v>26914</v>
      </c>
      <c r="AA20">
        <f ca="1">IF(VLOOKUP($A20,Sheet1!$A:$AA,MATCH(AA$1,Sheet1!$A$1:$AA$1,0),FALSE)=0,"",VLOOKUP($A20,Sheet1!$A:$AA,MATCH(AA$1,Sheet1!$A$1:$AA$1,0),FALSE))</f>
        <v>52</v>
      </c>
    </row>
    <row r="21" spans="1:27" x14ac:dyDescent="0.25">
      <c r="A21">
        <v>16951669</v>
      </c>
      <c r="B21" t="str">
        <f>IF(VLOOKUP($A21,Sheet1!$A:$AA,MATCH(B$1,Sheet1!$A$1:$AA$1,0),FALSE)=0,"",VLOOKUP($A21,Sheet1!$A:$AA,MATCH(B$1,Sheet1!$A$1:$AA$1,0),FALSE))</f>
        <v>SáNCHEZ RODRíGUEZ, PEDRO LUIS</v>
      </c>
      <c r="C21" t="str">
        <f>IF(VLOOKUP($A21,Sheet1!$A:$AA,MATCH(C$1,Sheet1!$A$1:$AA$1,0),FALSE)=0,"",VLOOKUP($A21,Sheet1!$A:$AA,MATCH(C$1,Sheet1!$A$1:$AA$1,0),FALSE))</f>
        <v>SáNCHEZ RODRíGUEZ</v>
      </c>
      <c r="D21" t="str">
        <f>IF(VLOOKUP($A21,Sheet1!$A:$AA,MATCH(D$1,Sheet1!$A$1:$AA$1,0),FALSE)=0,"",VLOOKUP($A21,Sheet1!$A:$AA,MATCH(D$1,Sheet1!$A$1:$AA$1,0),FALSE))</f>
        <v>PEDRO LUIS</v>
      </c>
      <c r="E21" t="str">
        <f>IF(VLOOKUP($A21,Sheet1!$A:$AA,MATCH(E$1,Sheet1!$A$1:$AA$1,0),FALSE)=0,"",VLOOKUP($A21,Sheet1!$A:$AA,MATCH(E$1,Sheet1!$A$1:$AA$1,0),FALSE))</f>
        <v/>
      </c>
      <c r="F21" t="str">
        <f>IF(VLOOKUP($A21,Sheet1!$A:$AA,MATCH(F$1,Sheet1!$A$1:$AA$1,0),FALSE)=0,"",VLOOKUP($A21,Sheet1!$A:$AA,MATCH(F$1,Sheet1!$A$1:$AA$1,0),FALSE))</f>
        <v/>
      </c>
      <c r="G21" t="str">
        <f>IF(VLOOKUP($A21,Sheet1!$A:$AA,MATCH(G$1,Sheet1!$A$1:$AA$1,0),FALSE)=0,"",VLOOKUP($A21,Sheet1!$A:$AA,MATCH(G$1,Sheet1!$A$1:$AA$1,0),FALSE))</f>
        <v/>
      </c>
      <c r="H21" t="str">
        <f>IF(VLOOKUP($A21,Sheet1!$A:$AA,MATCH(H$1,Sheet1!$A$1:$AA$1,0),FALSE)=0,"",VLOOKUP($A21,Sheet1!$A:$AA,MATCH(H$1,Sheet1!$A$1:$AA$1,0),FALSE))</f>
        <v/>
      </c>
      <c r="I21" t="str">
        <f>IF(VLOOKUP($A21,Sheet1!$A:$AA,MATCH(I$1,Sheet1!$A$1:$AA$1,0),FALSE)=0,"",VLOOKUP($A21,Sheet1!$A:$AA,MATCH(I$1,Sheet1!$A$1:$AA$1,0),FALSE))</f>
        <v/>
      </c>
      <c r="J21" t="str">
        <f>IF(VLOOKUP($A21,Sheet1!$A:$AA,MATCH(J$1,Sheet1!$A$1:$AA$1,0),FALSE)=0,"",VLOOKUP($A21,Sheet1!$A:$AA,MATCH(J$1,Sheet1!$A$1:$AA$1,0),FALSE))</f>
        <v/>
      </c>
      <c r="K21" t="str">
        <f>IF(VLOOKUP($A21,Sheet1!$A:$AA,MATCH(K$1,Sheet1!$A$1:$AA$1,0),FALSE)=0,"",VLOOKUP($A21,Sheet1!$A:$AA,MATCH(K$1,Sheet1!$A$1:$AA$1,0),FALSE))</f>
        <v>ANDALUZA</v>
      </c>
      <c r="L21" t="str">
        <f>IF(VLOOKUP($A21,Sheet1!$A:$AA,MATCH(L$1,Sheet1!$A$1:$AA$1,0),FALSE)=0,"",VLOOKUP($A21,Sheet1!$A:$AA,MATCH(L$1,Sheet1!$A$1:$AA$1,0),FALSE))</f>
        <v/>
      </c>
      <c r="M21" t="str">
        <f>IF(VLOOKUP($A21,Sheet1!$A:$AA,MATCH(M$1,Sheet1!$A$1:$AA$1,0),FALSE)=0,"",VLOOKUP($A21,Sheet1!$A:$AA,MATCH(M$1,Sheet1!$A$1:$AA$1,0),FALSE))</f>
        <v/>
      </c>
      <c r="N21" t="str">
        <f>IF(VLOOKUP($A21,Sheet1!$A:$AA,MATCH(N$1,Sheet1!$A$1:$AA$1,0),FALSE)=0,"",VLOOKUP($A21,Sheet1!$A:$AA,MATCH(N$1,Sheet1!$A$1:$AA$1,0),FALSE))</f>
        <v/>
      </c>
      <c r="O21" t="str">
        <f>IF(VLOOKUP($A21,Sheet1!$A:$AA,MATCH(O$1,Sheet1!$A$1:$AA$1,0),FALSE)=0,"",VLOOKUP($A21,Sheet1!$A:$AA,MATCH(O$1,Sheet1!$A$1:$AA$1,0),FALSE))</f>
        <v/>
      </c>
      <c r="P21" t="str">
        <f>IF(VLOOKUP($A21,Sheet1!$A:$AA,MATCH(P$1,Sheet1!$A$1:$AA$1,0),FALSE)=0,"",VLOOKUP($A21,Sheet1!$A:$AA,MATCH(P$1,Sheet1!$A$1:$AA$1,0),FALSE))</f>
        <v/>
      </c>
      <c r="Q21" t="str">
        <f>IF(VLOOKUP($A21,Sheet1!$A:$AA,MATCH(Q$1,Sheet1!$A$1:$AA$1,0),FALSE)=0,"",VLOOKUP($A21,Sheet1!$A:$AA,MATCH(Q$1,Sheet1!$A$1:$AA$1,0),FALSE))</f>
        <v>M</v>
      </c>
      <c r="R21" s="2">
        <f>IF(VLOOKUP($A21,Sheet1!$A:$AA,MATCH(R$1,Sheet1!$A$1:$AA$1,0),FALSE)=0,"",VLOOKUP($A21,Sheet1!$A:$AA,MATCH(R$1,Sheet1!$A$1:$AA$1,0),FALSE))</f>
        <v>27214</v>
      </c>
      <c r="AA21">
        <f ca="1">IF(VLOOKUP($A21,Sheet1!$A:$AA,MATCH(AA$1,Sheet1!$A$1:$AA$1,0),FALSE)=0,"",VLOOKUP($A21,Sheet1!$A:$AA,MATCH(AA$1,Sheet1!$A$1:$AA$1,0),FALSE))</f>
        <v>51</v>
      </c>
    </row>
    <row r="22" spans="1:27" x14ac:dyDescent="0.25">
      <c r="A22">
        <v>16951726</v>
      </c>
      <c r="B22" t="str">
        <f>IF(VLOOKUP($A22,Sheet1!$A:$AA,MATCH(B$1,Sheet1!$A$1:$AA$1,0),FALSE)=0,"",VLOOKUP($A22,Sheet1!$A:$AA,MATCH(B$1,Sheet1!$A$1:$AA$1,0),FALSE))</f>
        <v>MILLON SOTO, CELIA</v>
      </c>
      <c r="C22" t="str">
        <f>IF(VLOOKUP($A22,Sheet1!$A:$AA,MATCH(C$1,Sheet1!$A$1:$AA$1,0),FALSE)=0,"",VLOOKUP($A22,Sheet1!$A:$AA,MATCH(C$1,Sheet1!$A$1:$AA$1,0),FALSE))</f>
        <v>MILLON SOTO</v>
      </c>
      <c r="D22" t="str">
        <f>IF(VLOOKUP($A22,Sheet1!$A:$AA,MATCH(D$1,Sheet1!$A$1:$AA$1,0),FALSE)=0,"",VLOOKUP($A22,Sheet1!$A:$AA,MATCH(D$1,Sheet1!$A$1:$AA$1,0),FALSE))</f>
        <v>CELIA</v>
      </c>
      <c r="E22" t="str">
        <f>IF(VLOOKUP($A22,Sheet1!$A:$AA,MATCH(E$1,Sheet1!$A$1:$AA$1,0),FALSE)=0,"",VLOOKUP($A22,Sheet1!$A:$AA,MATCH(E$1,Sheet1!$A$1:$AA$1,0),FALSE))</f>
        <v/>
      </c>
      <c r="F22" t="str">
        <f>IF(VLOOKUP($A22,Sheet1!$A:$AA,MATCH(F$1,Sheet1!$A$1:$AA$1,0),FALSE)=0,"",VLOOKUP($A22,Sheet1!$A:$AA,MATCH(F$1,Sheet1!$A$1:$AA$1,0),FALSE))</f>
        <v/>
      </c>
      <c r="G22" t="str">
        <f>IF(VLOOKUP($A22,Sheet1!$A:$AA,MATCH(G$1,Sheet1!$A$1:$AA$1,0),FALSE)=0,"",VLOOKUP($A22,Sheet1!$A:$AA,MATCH(G$1,Sheet1!$A$1:$AA$1,0),FALSE))</f>
        <v/>
      </c>
      <c r="H22" t="str">
        <f>IF(VLOOKUP($A22,Sheet1!$A:$AA,MATCH(H$1,Sheet1!$A$1:$AA$1,0),FALSE)=0,"",VLOOKUP($A22,Sheet1!$A:$AA,MATCH(H$1,Sheet1!$A$1:$AA$1,0),FALSE))</f>
        <v/>
      </c>
      <c r="I22" t="str">
        <f>IF(VLOOKUP($A22,Sheet1!$A:$AA,MATCH(I$1,Sheet1!$A$1:$AA$1,0),FALSE)=0,"",VLOOKUP($A22,Sheet1!$A:$AA,MATCH(I$1,Sheet1!$A$1:$AA$1,0),FALSE))</f>
        <v/>
      </c>
      <c r="J22" t="str">
        <f>IF(VLOOKUP($A22,Sheet1!$A:$AA,MATCH(J$1,Sheet1!$A$1:$AA$1,0),FALSE)=0,"",VLOOKUP($A22,Sheet1!$A:$AA,MATCH(J$1,Sheet1!$A$1:$AA$1,0),FALSE))</f>
        <v/>
      </c>
      <c r="K22" t="str">
        <f>IF(VLOOKUP($A22,Sheet1!$A:$AA,MATCH(K$1,Sheet1!$A$1:$AA$1,0),FALSE)=0,"",VLOOKUP($A22,Sheet1!$A:$AA,MATCH(K$1,Sheet1!$A$1:$AA$1,0),FALSE))</f>
        <v>ANDALUZA</v>
      </c>
      <c r="L22" t="str">
        <f>IF(VLOOKUP($A22,Sheet1!$A:$AA,MATCH(L$1,Sheet1!$A$1:$AA$1,0),FALSE)=0,"",VLOOKUP($A22,Sheet1!$A:$AA,MATCH(L$1,Sheet1!$A$1:$AA$1,0),FALSE))</f>
        <v/>
      </c>
      <c r="M22" t="str">
        <f>IF(VLOOKUP($A22,Sheet1!$A:$AA,MATCH(M$1,Sheet1!$A$1:$AA$1,0),FALSE)=0,"",VLOOKUP($A22,Sheet1!$A:$AA,MATCH(M$1,Sheet1!$A$1:$AA$1,0),FALSE))</f>
        <v/>
      </c>
      <c r="N22" t="str">
        <f>IF(VLOOKUP($A22,Sheet1!$A:$AA,MATCH(N$1,Sheet1!$A$1:$AA$1,0),FALSE)=0,"",VLOOKUP($A22,Sheet1!$A:$AA,MATCH(N$1,Sheet1!$A$1:$AA$1,0),FALSE))</f>
        <v/>
      </c>
      <c r="O22" t="str">
        <f>IF(VLOOKUP($A22,Sheet1!$A:$AA,MATCH(O$1,Sheet1!$A$1:$AA$1,0),FALSE)=0,"",VLOOKUP($A22,Sheet1!$A:$AA,MATCH(O$1,Sheet1!$A$1:$AA$1,0),FALSE))</f>
        <v/>
      </c>
      <c r="P22" t="str">
        <f>IF(VLOOKUP($A22,Sheet1!$A:$AA,MATCH(P$1,Sheet1!$A$1:$AA$1,0),FALSE)=0,"",VLOOKUP($A22,Sheet1!$A:$AA,MATCH(P$1,Sheet1!$A$1:$AA$1,0),FALSE))</f>
        <v/>
      </c>
      <c r="Q22" t="str">
        <f>IF(VLOOKUP($A22,Sheet1!$A:$AA,MATCH(Q$1,Sheet1!$A$1:$AA$1,0),FALSE)=0,"",VLOOKUP($A22,Sheet1!$A:$AA,MATCH(Q$1,Sheet1!$A$1:$AA$1,0),FALSE))</f>
        <v>F</v>
      </c>
      <c r="R22" s="2">
        <f>IF(VLOOKUP($A22,Sheet1!$A:$AA,MATCH(R$1,Sheet1!$A$1:$AA$1,0),FALSE)=0,"",VLOOKUP($A22,Sheet1!$A:$AA,MATCH(R$1,Sheet1!$A$1:$AA$1,0),FALSE))</f>
        <v>34304</v>
      </c>
      <c r="AA22">
        <f ca="1">IF(VLOOKUP($A22,Sheet1!$A:$AA,MATCH(AA$1,Sheet1!$A$1:$AA$1,0),FALSE)=0,"",VLOOKUP($A22,Sheet1!$A:$AA,MATCH(AA$1,Sheet1!$A$1:$AA$1,0),FALSE))</f>
        <v>32</v>
      </c>
    </row>
    <row r="23" spans="1:27" x14ac:dyDescent="0.25">
      <c r="A23">
        <v>16952021</v>
      </c>
      <c r="B23" t="str">
        <f>IF(VLOOKUP($A23,Sheet1!$A:$AA,MATCH(B$1,Sheet1!$A$1:$AA$1,0),FALSE)=0,"",VLOOKUP($A23,Sheet1!$A:$AA,MATCH(B$1,Sheet1!$A$1:$AA$1,0),FALSE))</f>
        <v>BLANCO VILLEGAS, SAMUEL</v>
      </c>
      <c r="C23" t="str">
        <f>IF(VLOOKUP($A23,Sheet1!$A:$AA,MATCH(C$1,Sheet1!$A$1:$AA$1,0),FALSE)=0,"",VLOOKUP($A23,Sheet1!$A:$AA,MATCH(C$1,Sheet1!$A$1:$AA$1,0),FALSE))</f>
        <v>BLANCO VILLEGAS</v>
      </c>
      <c r="D23" t="str">
        <f>IF(VLOOKUP($A23,Sheet1!$A:$AA,MATCH(D$1,Sheet1!$A$1:$AA$1,0),FALSE)=0,"",VLOOKUP($A23,Sheet1!$A:$AA,MATCH(D$1,Sheet1!$A$1:$AA$1,0),FALSE))</f>
        <v>SAMUEL</v>
      </c>
      <c r="E23" t="str">
        <f>IF(VLOOKUP($A23,Sheet1!$A:$AA,MATCH(E$1,Sheet1!$A$1:$AA$1,0),FALSE)=0,"",VLOOKUP($A23,Sheet1!$A:$AA,MATCH(E$1,Sheet1!$A$1:$AA$1,0),FALSE))</f>
        <v/>
      </c>
      <c r="F23" t="str">
        <f>IF(VLOOKUP($A23,Sheet1!$A:$AA,MATCH(F$1,Sheet1!$A$1:$AA$1,0),FALSE)=0,"",VLOOKUP($A23,Sheet1!$A:$AA,MATCH(F$1,Sheet1!$A$1:$AA$1,0),FALSE))</f>
        <v/>
      </c>
      <c r="G23" t="str">
        <f>IF(VLOOKUP($A23,Sheet1!$A:$AA,MATCH(G$1,Sheet1!$A$1:$AA$1,0),FALSE)=0,"",VLOOKUP($A23,Sheet1!$A:$AA,MATCH(G$1,Sheet1!$A$1:$AA$1,0),FALSE))</f>
        <v/>
      </c>
      <c r="H23" t="str">
        <f>IF(VLOOKUP($A23,Sheet1!$A:$AA,MATCH(H$1,Sheet1!$A$1:$AA$1,0),FALSE)=0,"",VLOOKUP($A23,Sheet1!$A:$AA,MATCH(H$1,Sheet1!$A$1:$AA$1,0),FALSE))</f>
        <v/>
      </c>
      <c r="I23" t="str">
        <f>IF(VLOOKUP($A23,Sheet1!$A:$AA,MATCH(I$1,Sheet1!$A$1:$AA$1,0),FALSE)=0,"",VLOOKUP($A23,Sheet1!$A:$AA,MATCH(I$1,Sheet1!$A$1:$AA$1,0),FALSE))</f>
        <v/>
      </c>
      <c r="J23" t="str">
        <f>IF(VLOOKUP($A23,Sheet1!$A:$AA,MATCH(J$1,Sheet1!$A$1:$AA$1,0),FALSE)=0,"",VLOOKUP($A23,Sheet1!$A:$AA,MATCH(J$1,Sheet1!$A$1:$AA$1,0),FALSE))</f>
        <v/>
      </c>
      <c r="K23" t="str">
        <f>IF(VLOOKUP($A23,Sheet1!$A:$AA,MATCH(K$1,Sheet1!$A$1:$AA$1,0),FALSE)=0,"",VLOOKUP($A23,Sheet1!$A:$AA,MATCH(K$1,Sheet1!$A$1:$AA$1,0),FALSE))</f>
        <v>ANDALUZA</v>
      </c>
      <c r="L23" t="str">
        <f>IF(VLOOKUP($A23,Sheet1!$A:$AA,MATCH(L$1,Sheet1!$A$1:$AA$1,0),FALSE)=0,"",VLOOKUP($A23,Sheet1!$A:$AA,MATCH(L$1,Sheet1!$A$1:$AA$1,0),FALSE))</f>
        <v/>
      </c>
      <c r="M23" t="str">
        <f>IF(VLOOKUP($A23,Sheet1!$A:$AA,MATCH(M$1,Sheet1!$A$1:$AA$1,0),FALSE)=0,"",VLOOKUP($A23,Sheet1!$A:$AA,MATCH(M$1,Sheet1!$A$1:$AA$1,0),FALSE))</f>
        <v/>
      </c>
      <c r="N23" t="str">
        <f>IF(VLOOKUP($A23,Sheet1!$A:$AA,MATCH(N$1,Sheet1!$A$1:$AA$1,0),FALSE)=0,"",VLOOKUP($A23,Sheet1!$A:$AA,MATCH(N$1,Sheet1!$A$1:$AA$1,0),FALSE))</f>
        <v/>
      </c>
      <c r="O23" t="str">
        <f>IF(VLOOKUP($A23,Sheet1!$A:$AA,MATCH(O$1,Sheet1!$A$1:$AA$1,0),FALSE)=0,"",VLOOKUP($A23,Sheet1!$A:$AA,MATCH(O$1,Sheet1!$A$1:$AA$1,0),FALSE))</f>
        <v/>
      </c>
      <c r="P23" t="str">
        <f>IF(VLOOKUP($A23,Sheet1!$A:$AA,MATCH(P$1,Sheet1!$A$1:$AA$1,0),FALSE)=0,"",VLOOKUP($A23,Sheet1!$A:$AA,MATCH(P$1,Sheet1!$A$1:$AA$1,0),FALSE))</f>
        <v/>
      </c>
      <c r="Q23" t="str">
        <f>IF(VLOOKUP($A23,Sheet1!$A:$AA,MATCH(Q$1,Sheet1!$A$1:$AA$1,0),FALSE)=0,"",VLOOKUP($A23,Sheet1!$A:$AA,MATCH(Q$1,Sheet1!$A$1:$AA$1,0),FALSE))</f>
        <v>M</v>
      </c>
      <c r="R23" s="2">
        <f>IF(VLOOKUP($A23,Sheet1!$A:$AA,MATCH(R$1,Sheet1!$A$1:$AA$1,0),FALSE)=0,"",VLOOKUP($A23,Sheet1!$A:$AA,MATCH(R$1,Sheet1!$A$1:$AA$1,0),FALSE))</f>
        <v>37609</v>
      </c>
      <c r="AA23">
        <f ca="1">IF(VLOOKUP($A23,Sheet1!$A:$AA,MATCH(AA$1,Sheet1!$A$1:$AA$1,0),FALSE)=0,"",VLOOKUP($A23,Sheet1!$A:$AA,MATCH(AA$1,Sheet1!$A$1:$AA$1,0),FALSE))</f>
        <v>23</v>
      </c>
    </row>
    <row r="24" spans="1:27" x14ac:dyDescent="0.25">
      <c r="A24">
        <v>16952261</v>
      </c>
      <c r="B24" t="str">
        <f>IF(VLOOKUP($A24,Sheet1!$A:$AA,MATCH(B$1,Sheet1!$A$1:$AA$1,0),FALSE)=0,"",VLOOKUP($A24,Sheet1!$A:$AA,MATCH(B$1,Sheet1!$A$1:$AA$1,0),FALSE))</f>
        <v>GARCíA TORRES, PATRICIA</v>
      </c>
      <c r="C24" t="str">
        <f>IF(VLOOKUP($A24,Sheet1!$A:$AA,MATCH(C$1,Sheet1!$A$1:$AA$1,0),FALSE)=0,"",VLOOKUP($A24,Sheet1!$A:$AA,MATCH(C$1,Sheet1!$A$1:$AA$1,0),FALSE))</f>
        <v>GARCíA TORRES</v>
      </c>
      <c r="D24" t="str">
        <f>IF(VLOOKUP($A24,Sheet1!$A:$AA,MATCH(D$1,Sheet1!$A$1:$AA$1,0),FALSE)=0,"",VLOOKUP($A24,Sheet1!$A:$AA,MATCH(D$1,Sheet1!$A$1:$AA$1,0),FALSE))</f>
        <v>PATRICIA</v>
      </c>
      <c r="E24" t="str">
        <f>IF(VLOOKUP($A24,Sheet1!$A:$AA,MATCH(E$1,Sheet1!$A$1:$AA$1,0),FALSE)=0,"",VLOOKUP($A24,Sheet1!$A:$AA,MATCH(E$1,Sheet1!$A$1:$AA$1,0),FALSE))</f>
        <v/>
      </c>
      <c r="F24" t="str">
        <f>IF(VLOOKUP($A24,Sheet1!$A:$AA,MATCH(F$1,Sheet1!$A$1:$AA$1,0),FALSE)=0,"",VLOOKUP($A24,Sheet1!$A:$AA,MATCH(F$1,Sheet1!$A$1:$AA$1,0),FALSE))</f>
        <v/>
      </c>
      <c r="G24" t="str">
        <f>IF(VLOOKUP($A24,Sheet1!$A:$AA,MATCH(G$1,Sheet1!$A$1:$AA$1,0),FALSE)=0,"",VLOOKUP($A24,Sheet1!$A:$AA,MATCH(G$1,Sheet1!$A$1:$AA$1,0),FALSE))</f>
        <v/>
      </c>
      <c r="H24" t="str">
        <f>IF(VLOOKUP($A24,Sheet1!$A:$AA,MATCH(H$1,Sheet1!$A$1:$AA$1,0),FALSE)=0,"",VLOOKUP($A24,Sheet1!$A:$AA,MATCH(H$1,Sheet1!$A$1:$AA$1,0),FALSE))</f>
        <v/>
      </c>
      <c r="I24" t="str">
        <f>IF(VLOOKUP($A24,Sheet1!$A:$AA,MATCH(I$1,Sheet1!$A$1:$AA$1,0),FALSE)=0,"",VLOOKUP($A24,Sheet1!$A:$AA,MATCH(I$1,Sheet1!$A$1:$AA$1,0),FALSE))</f>
        <v/>
      </c>
      <c r="J24" t="str">
        <f>IF(VLOOKUP($A24,Sheet1!$A:$AA,MATCH(J$1,Sheet1!$A$1:$AA$1,0),FALSE)=0,"",VLOOKUP($A24,Sheet1!$A:$AA,MATCH(J$1,Sheet1!$A$1:$AA$1,0),FALSE))</f>
        <v/>
      </c>
      <c r="K24" t="str">
        <f>IF(VLOOKUP($A24,Sheet1!$A:$AA,MATCH(K$1,Sheet1!$A$1:$AA$1,0),FALSE)=0,"",VLOOKUP($A24,Sheet1!$A:$AA,MATCH(K$1,Sheet1!$A$1:$AA$1,0),FALSE))</f>
        <v>ANDALUZA</v>
      </c>
      <c r="L24" t="str">
        <f>IF(VLOOKUP($A24,Sheet1!$A:$AA,MATCH(L$1,Sheet1!$A$1:$AA$1,0),FALSE)=0,"",VLOOKUP($A24,Sheet1!$A:$AA,MATCH(L$1,Sheet1!$A$1:$AA$1,0),FALSE))</f>
        <v/>
      </c>
      <c r="M24" t="str">
        <f>IF(VLOOKUP($A24,Sheet1!$A:$AA,MATCH(M$1,Sheet1!$A$1:$AA$1,0),FALSE)=0,"",VLOOKUP($A24,Sheet1!$A:$AA,MATCH(M$1,Sheet1!$A$1:$AA$1,0),FALSE))</f>
        <v/>
      </c>
      <c r="N24" t="str">
        <f>IF(VLOOKUP($A24,Sheet1!$A:$AA,MATCH(N$1,Sheet1!$A$1:$AA$1,0),FALSE)=0,"",VLOOKUP($A24,Sheet1!$A:$AA,MATCH(N$1,Sheet1!$A$1:$AA$1,0),FALSE))</f>
        <v/>
      </c>
      <c r="O24" t="str">
        <f>IF(VLOOKUP($A24,Sheet1!$A:$AA,MATCH(O$1,Sheet1!$A$1:$AA$1,0),FALSE)=0,"",VLOOKUP($A24,Sheet1!$A:$AA,MATCH(O$1,Sheet1!$A$1:$AA$1,0),FALSE))</f>
        <v/>
      </c>
      <c r="P24" t="str">
        <f>IF(VLOOKUP($A24,Sheet1!$A:$AA,MATCH(P$1,Sheet1!$A$1:$AA$1,0),FALSE)=0,"",VLOOKUP($A24,Sheet1!$A:$AA,MATCH(P$1,Sheet1!$A$1:$AA$1,0),FALSE))</f>
        <v/>
      </c>
      <c r="Q24" t="str">
        <f>IF(VLOOKUP($A24,Sheet1!$A:$AA,MATCH(Q$1,Sheet1!$A$1:$AA$1,0),FALSE)=0,"",VLOOKUP($A24,Sheet1!$A:$AA,MATCH(Q$1,Sheet1!$A$1:$AA$1,0),FALSE))</f>
        <v>F</v>
      </c>
      <c r="R24" s="2">
        <f>IF(VLOOKUP($A24,Sheet1!$A:$AA,MATCH(R$1,Sheet1!$A$1:$AA$1,0),FALSE)=0,"",VLOOKUP($A24,Sheet1!$A:$AA,MATCH(R$1,Sheet1!$A$1:$AA$1,0),FALSE))</f>
        <v>32946</v>
      </c>
      <c r="AA24">
        <f ca="1">IF(VLOOKUP($A24,Sheet1!$A:$AA,MATCH(AA$1,Sheet1!$A$1:$AA$1,0),FALSE)=0,"",VLOOKUP($A24,Sheet1!$A:$AA,MATCH(AA$1,Sheet1!$A$1:$AA$1,0),FALSE))</f>
        <v>35</v>
      </c>
    </row>
    <row r="25" spans="1:27" x14ac:dyDescent="0.25">
      <c r="A25">
        <v>16952360</v>
      </c>
      <c r="B25" t="str">
        <f>IF(VLOOKUP($A25,Sheet1!$A:$AA,MATCH(B$1,Sheet1!$A$1:$AA$1,0),FALSE)=0,"",VLOOKUP($A25,Sheet1!$A:$AA,MATCH(B$1,Sheet1!$A$1:$AA$1,0),FALSE))</f>
        <v>CASQUERO HERRERO, ANTONIO</v>
      </c>
      <c r="C25" t="str">
        <f>IF(VLOOKUP($A25,Sheet1!$A:$AA,MATCH(C$1,Sheet1!$A$1:$AA$1,0),FALSE)=0,"",VLOOKUP($A25,Sheet1!$A:$AA,MATCH(C$1,Sheet1!$A$1:$AA$1,0),FALSE))</f>
        <v>CASQUERO HERRERO</v>
      </c>
      <c r="D25" t="str">
        <f>IF(VLOOKUP($A25,Sheet1!$A:$AA,MATCH(D$1,Sheet1!$A$1:$AA$1,0),FALSE)=0,"",VLOOKUP($A25,Sheet1!$A:$AA,MATCH(D$1,Sheet1!$A$1:$AA$1,0),FALSE))</f>
        <v>ANTONIO</v>
      </c>
      <c r="E25" t="str">
        <f>IF(VLOOKUP($A25,Sheet1!$A:$AA,MATCH(E$1,Sheet1!$A$1:$AA$1,0),FALSE)=0,"",VLOOKUP($A25,Sheet1!$A:$AA,MATCH(E$1,Sheet1!$A$1:$AA$1,0),FALSE))</f>
        <v/>
      </c>
      <c r="F25" t="str">
        <f>IF(VLOOKUP($A25,Sheet1!$A:$AA,MATCH(F$1,Sheet1!$A$1:$AA$1,0),FALSE)=0,"",VLOOKUP($A25,Sheet1!$A:$AA,MATCH(F$1,Sheet1!$A$1:$AA$1,0),FALSE))</f>
        <v/>
      </c>
      <c r="G25" t="str">
        <f>IF(VLOOKUP($A25,Sheet1!$A:$AA,MATCH(G$1,Sheet1!$A$1:$AA$1,0),FALSE)=0,"",VLOOKUP($A25,Sheet1!$A:$AA,MATCH(G$1,Sheet1!$A$1:$AA$1,0),FALSE))</f>
        <v/>
      </c>
      <c r="H25" t="str">
        <f>IF(VLOOKUP($A25,Sheet1!$A:$AA,MATCH(H$1,Sheet1!$A$1:$AA$1,0),FALSE)=0,"",VLOOKUP($A25,Sheet1!$A:$AA,MATCH(H$1,Sheet1!$A$1:$AA$1,0),FALSE))</f>
        <v/>
      </c>
      <c r="I25" t="str">
        <f>IF(VLOOKUP($A25,Sheet1!$A:$AA,MATCH(I$1,Sheet1!$A$1:$AA$1,0),FALSE)=0,"",VLOOKUP($A25,Sheet1!$A:$AA,MATCH(I$1,Sheet1!$A$1:$AA$1,0),FALSE))</f>
        <v/>
      </c>
      <c r="J25" t="str">
        <f>IF(VLOOKUP($A25,Sheet1!$A:$AA,MATCH(J$1,Sheet1!$A$1:$AA$1,0),FALSE)=0,"",VLOOKUP($A25,Sheet1!$A:$AA,MATCH(J$1,Sheet1!$A$1:$AA$1,0),FALSE))</f>
        <v/>
      </c>
      <c r="K25" t="str">
        <f>IF(VLOOKUP($A25,Sheet1!$A:$AA,MATCH(K$1,Sheet1!$A$1:$AA$1,0),FALSE)=0,"",VLOOKUP($A25,Sheet1!$A:$AA,MATCH(K$1,Sheet1!$A$1:$AA$1,0),FALSE))</f>
        <v>ANDALUZA</v>
      </c>
      <c r="L25" t="str">
        <f>IF(VLOOKUP($A25,Sheet1!$A:$AA,MATCH(L$1,Sheet1!$A$1:$AA$1,0),FALSE)=0,"",VLOOKUP($A25,Sheet1!$A:$AA,MATCH(L$1,Sheet1!$A$1:$AA$1,0),FALSE))</f>
        <v/>
      </c>
      <c r="M25" t="str">
        <f>IF(VLOOKUP($A25,Sheet1!$A:$AA,MATCH(M$1,Sheet1!$A$1:$AA$1,0),FALSE)=0,"",VLOOKUP($A25,Sheet1!$A:$AA,MATCH(M$1,Sheet1!$A$1:$AA$1,0),FALSE))</f>
        <v/>
      </c>
      <c r="N25" t="str">
        <f>IF(VLOOKUP($A25,Sheet1!$A:$AA,MATCH(N$1,Sheet1!$A$1:$AA$1,0),FALSE)=0,"",VLOOKUP($A25,Sheet1!$A:$AA,MATCH(N$1,Sheet1!$A$1:$AA$1,0),FALSE))</f>
        <v/>
      </c>
      <c r="O25" t="str">
        <f>IF(VLOOKUP($A25,Sheet1!$A:$AA,MATCH(O$1,Sheet1!$A$1:$AA$1,0),FALSE)=0,"",VLOOKUP($A25,Sheet1!$A:$AA,MATCH(O$1,Sheet1!$A$1:$AA$1,0),FALSE))</f>
        <v/>
      </c>
      <c r="P25" t="str">
        <f>IF(VLOOKUP($A25,Sheet1!$A:$AA,MATCH(P$1,Sheet1!$A$1:$AA$1,0),FALSE)=0,"",VLOOKUP($A25,Sheet1!$A:$AA,MATCH(P$1,Sheet1!$A$1:$AA$1,0),FALSE))</f>
        <v/>
      </c>
      <c r="Q25" t="str">
        <f>IF(VLOOKUP($A25,Sheet1!$A:$AA,MATCH(Q$1,Sheet1!$A$1:$AA$1,0),FALSE)=0,"",VLOOKUP($A25,Sheet1!$A:$AA,MATCH(Q$1,Sheet1!$A$1:$AA$1,0),FALSE))</f>
        <v>M</v>
      </c>
      <c r="R25" s="2">
        <f>IF(VLOOKUP($A25,Sheet1!$A:$AA,MATCH(R$1,Sheet1!$A$1:$AA$1,0),FALSE)=0,"",VLOOKUP($A25,Sheet1!$A:$AA,MATCH(R$1,Sheet1!$A$1:$AA$1,0),FALSE))</f>
        <v>30828</v>
      </c>
      <c r="AA25">
        <f ca="1">IF(VLOOKUP($A25,Sheet1!$A:$AA,MATCH(AA$1,Sheet1!$A$1:$AA$1,0),FALSE)=0,"",VLOOKUP($A25,Sheet1!$A:$AA,MATCH(AA$1,Sheet1!$A$1:$AA$1,0),FALSE))</f>
        <v>41</v>
      </c>
    </row>
    <row r="26" spans="1:27" x14ac:dyDescent="0.25">
      <c r="A26">
        <v>16952378</v>
      </c>
      <c r="B26" t="str">
        <f>IF(VLOOKUP($A26,Sheet1!$A:$AA,MATCH(B$1,Sheet1!$A$1:$AA$1,0),FALSE)=0,"",VLOOKUP($A26,Sheet1!$A:$AA,MATCH(B$1,Sheet1!$A$1:$AA$1,0),FALSE))</f>
        <v>BÁEZ FERNÁNDEZ, VÍCTOR</v>
      </c>
      <c r="C26" t="str">
        <f>IF(VLOOKUP($A26,Sheet1!$A:$AA,MATCH(C$1,Sheet1!$A$1:$AA$1,0),FALSE)=0,"",VLOOKUP($A26,Sheet1!$A:$AA,MATCH(C$1,Sheet1!$A$1:$AA$1,0),FALSE))</f>
        <v>BÁEZ FERNÁNDEZ</v>
      </c>
      <c r="D26" t="str">
        <f>IF(VLOOKUP($A26,Sheet1!$A:$AA,MATCH(D$1,Sheet1!$A$1:$AA$1,0),FALSE)=0,"",VLOOKUP($A26,Sheet1!$A:$AA,MATCH(D$1,Sheet1!$A$1:$AA$1,0),FALSE))</f>
        <v>VÍCTOR</v>
      </c>
      <c r="E26" t="str">
        <f>IF(VLOOKUP($A26,Sheet1!$A:$AA,MATCH(E$1,Sheet1!$A$1:$AA$1,0),FALSE)=0,"",VLOOKUP($A26,Sheet1!$A:$AA,MATCH(E$1,Sheet1!$A$1:$AA$1,0),FALSE))</f>
        <v/>
      </c>
      <c r="F26" t="str">
        <f>IF(VLOOKUP($A26,Sheet1!$A:$AA,MATCH(F$1,Sheet1!$A$1:$AA$1,0),FALSE)=0,"",VLOOKUP($A26,Sheet1!$A:$AA,MATCH(F$1,Sheet1!$A$1:$AA$1,0),FALSE))</f>
        <v/>
      </c>
      <c r="G26" t="str">
        <f>IF(VLOOKUP($A26,Sheet1!$A:$AA,MATCH(G$1,Sheet1!$A$1:$AA$1,0),FALSE)=0,"",VLOOKUP($A26,Sheet1!$A:$AA,MATCH(G$1,Sheet1!$A$1:$AA$1,0),FALSE))</f>
        <v/>
      </c>
      <c r="H26" t="str">
        <f>IF(VLOOKUP($A26,Sheet1!$A:$AA,MATCH(H$1,Sheet1!$A$1:$AA$1,0),FALSE)=0,"",VLOOKUP($A26,Sheet1!$A:$AA,MATCH(H$1,Sheet1!$A$1:$AA$1,0),FALSE))</f>
        <v/>
      </c>
      <c r="I26" t="str">
        <f>IF(VLOOKUP($A26,Sheet1!$A:$AA,MATCH(I$1,Sheet1!$A$1:$AA$1,0),FALSE)=0,"",VLOOKUP($A26,Sheet1!$A:$AA,MATCH(I$1,Sheet1!$A$1:$AA$1,0),FALSE))</f>
        <v/>
      </c>
      <c r="J26" t="str">
        <f>IF(VLOOKUP($A26,Sheet1!$A:$AA,MATCH(J$1,Sheet1!$A$1:$AA$1,0),FALSE)=0,"",VLOOKUP($A26,Sheet1!$A:$AA,MATCH(J$1,Sheet1!$A$1:$AA$1,0),FALSE))</f>
        <v/>
      </c>
      <c r="K26" t="str">
        <f>IF(VLOOKUP($A26,Sheet1!$A:$AA,MATCH(K$1,Sheet1!$A$1:$AA$1,0),FALSE)=0,"",VLOOKUP($A26,Sheet1!$A:$AA,MATCH(K$1,Sheet1!$A$1:$AA$1,0),FALSE))</f>
        <v>ANDALUZA</v>
      </c>
      <c r="L26" t="str">
        <f>IF(VLOOKUP($A26,Sheet1!$A:$AA,MATCH(L$1,Sheet1!$A$1:$AA$1,0),FALSE)=0,"",VLOOKUP($A26,Sheet1!$A:$AA,MATCH(L$1,Sheet1!$A$1:$AA$1,0),FALSE))</f>
        <v/>
      </c>
      <c r="M26" t="str">
        <f>IF(VLOOKUP($A26,Sheet1!$A:$AA,MATCH(M$1,Sheet1!$A$1:$AA$1,0),FALSE)=0,"",VLOOKUP($A26,Sheet1!$A:$AA,MATCH(M$1,Sheet1!$A$1:$AA$1,0),FALSE))</f>
        <v/>
      </c>
      <c r="N26" t="str">
        <f>IF(VLOOKUP($A26,Sheet1!$A:$AA,MATCH(N$1,Sheet1!$A$1:$AA$1,0),FALSE)=0,"",VLOOKUP($A26,Sheet1!$A:$AA,MATCH(N$1,Sheet1!$A$1:$AA$1,0),FALSE))</f>
        <v/>
      </c>
      <c r="O26" t="str">
        <f>IF(VLOOKUP($A26,Sheet1!$A:$AA,MATCH(O$1,Sheet1!$A$1:$AA$1,0),FALSE)=0,"",VLOOKUP($A26,Sheet1!$A:$AA,MATCH(O$1,Sheet1!$A$1:$AA$1,0),FALSE))</f>
        <v/>
      </c>
      <c r="P26" t="str">
        <f>IF(VLOOKUP($A26,Sheet1!$A:$AA,MATCH(P$1,Sheet1!$A$1:$AA$1,0),FALSE)=0,"",VLOOKUP($A26,Sheet1!$A:$AA,MATCH(P$1,Sheet1!$A$1:$AA$1,0),FALSE))</f>
        <v/>
      </c>
      <c r="Q26" t="str">
        <f>IF(VLOOKUP($A26,Sheet1!$A:$AA,MATCH(Q$1,Sheet1!$A$1:$AA$1,0),FALSE)=0,"",VLOOKUP($A26,Sheet1!$A:$AA,MATCH(Q$1,Sheet1!$A$1:$AA$1,0),FALSE))</f>
        <v>M</v>
      </c>
      <c r="R26" s="2">
        <f>IF(VLOOKUP($A26,Sheet1!$A:$AA,MATCH(R$1,Sheet1!$A$1:$AA$1,0),FALSE)=0,"",VLOOKUP($A26,Sheet1!$A:$AA,MATCH(R$1,Sheet1!$A$1:$AA$1,0),FALSE))</f>
        <v>30723</v>
      </c>
      <c r="AA26">
        <f ca="1">IF(VLOOKUP($A26,Sheet1!$A:$AA,MATCH(AA$1,Sheet1!$A$1:$AA$1,0),FALSE)=0,"",VLOOKUP($A26,Sheet1!$A:$AA,MATCH(AA$1,Sheet1!$A$1:$AA$1,0),FALSE))</f>
        <v>41</v>
      </c>
    </row>
    <row r="27" spans="1:27" x14ac:dyDescent="0.25">
      <c r="A27">
        <v>16952451</v>
      </c>
      <c r="B27" t="str">
        <f>IF(VLOOKUP($A27,Sheet1!$A:$AA,MATCH(B$1,Sheet1!$A$1:$AA$1,0),FALSE)=0,"",VLOOKUP($A27,Sheet1!$A:$AA,MATCH(B$1,Sheet1!$A$1:$AA$1,0),FALSE))</f>
        <v>PINTOS MORALES, FRANCISCO JAVIER</v>
      </c>
      <c r="C27" t="str">
        <f>IF(VLOOKUP($A27,Sheet1!$A:$AA,MATCH(C$1,Sheet1!$A$1:$AA$1,0),FALSE)=0,"",VLOOKUP($A27,Sheet1!$A:$AA,MATCH(C$1,Sheet1!$A$1:$AA$1,0),FALSE))</f>
        <v>PINTOS MORALES</v>
      </c>
      <c r="D27" t="str">
        <f>IF(VLOOKUP($A27,Sheet1!$A:$AA,MATCH(D$1,Sheet1!$A$1:$AA$1,0),FALSE)=0,"",VLOOKUP($A27,Sheet1!$A:$AA,MATCH(D$1,Sheet1!$A$1:$AA$1,0),FALSE))</f>
        <v>FRANCISCO JAVIER</v>
      </c>
      <c r="E27" t="str">
        <f>IF(VLOOKUP($A27,Sheet1!$A:$AA,MATCH(E$1,Sheet1!$A$1:$AA$1,0),FALSE)=0,"",VLOOKUP($A27,Sheet1!$A:$AA,MATCH(E$1,Sheet1!$A$1:$AA$1,0),FALSE))</f>
        <v/>
      </c>
      <c r="F27" t="str">
        <f>IF(VLOOKUP($A27,Sheet1!$A:$AA,MATCH(F$1,Sheet1!$A$1:$AA$1,0),FALSE)=0,"",VLOOKUP($A27,Sheet1!$A:$AA,MATCH(F$1,Sheet1!$A$1:$AA$1,0),FALSE))</f>
        <v/>
      </c>
      <c r="G27" t="str">
        <f>IF(VLOOKUP($A27,Sheet1!$A:$AA,MATCH(G$1,Sheet1!$A$1:$AA$1,0),FALSE)=0,"",VLOOKUP($A27,Sheet1!$A:$AA,MATCH(G$1,Sheet1!$A$1:$AA$1,0),FALSE))</f>
        <v/>
      </c>
      <c r="H27" t="str">
        <f>IF(VLOOKUP($A27,Sheet1!$A:$AA,MATCH(H$1,Sheet1!$A$1:$AA$1,0),FALSE)=0,"",VLOOKUP($A27,Sheet1!$A:$AA,MATCH(H$1,Sheet1!$A$1:$AA$1,0),FALSE))</f>
        <v/>
      </c>
      <c r="I27" t="str">
        <f>IF(VLOOKUP($A27,Sheet1!$A:$AA,MATCH(I$1,Sheet1!$A$1:$AA$1,0),FALSE)=0,"",VLOOKUP($A27,Sheet1!$A:$AA,MATCH(I$1,Sheet1!$A$1:$AA$1,0),FALSE))</f>
        <v/>
      </c>
      <c r="J27" t="str">
        <f>IF(VLOOKUP($A27,Sheet1!$A:$AA,MATCH(J$1,Sheet1!$A$1:$AA$1,0),FALSE)=0,"",VLOOKUP($A27,Sheet1!$A:$AA,MATCH(J$1,Sheet1!$A$1:$AA$1,0),FALSE))</f>
        <v/>
      </c>
      <c r="K27" t="str">
        <f>IF(VLOOKUP($A27,Sheet1!$A:$AA,MATCH(K$1,Sheet1!$A$1:$AA$1,0),FALSE)=0,"",VLOOKUP($A27,Sheet1!$A:$AA,MATCH(K$1,Sheet1!$A$1:$AA$1,0),FALSE))</f>
        <v>ANDALUZA</v>
      </c>
      <c r="L27" t="str">
        <f>IF(VLOOKUP($A27,Sheet1!$A:$AA,MATCH(L$1,Sheet1!$A$1:$AA$1,0),FALSE)=0,"",VLOOKUP($A27,Sheet1!$A:$AA,MATCH(L$1,Sheet1!$A$1:$AA$1,0),FALSE))</f>
        <v/>
      </c>
      <c r="M27" t="str">
        <f>IF(VLOOKUP($A27,Sheet1!$A:$AA,MATCH(M$1,Sheet1!$A$1:$AA$1,0),FALSE)=0,"",VLOOKUP($A27,Sheet1!$A:$AA,MATCH(M$1,Sheet1!$A$1:$AA$1,0),FALSE))</f>
        <v/>
      </c>
      <c r="N27" t="str">
        <f>IF(VLOOKUP($A27,Sheet1!$A:$AA,MATCH(N$1,Sheet1!$A$1:$AA$1,0),FALSE)=0,"",VLOOKUP($A27,Sheet1!$A:$AA,MATCH(N$1,Sheet1!$A$1:$AA$1,0),FALSE))</f>
        <v/>
      </c>
      <c r="O27" t="str">
        <f>IF(VLOOKUP($A27,Sheet1!$A:$AA,MATCH(O$1,Sheet1!$A$1:$AA$1,0),FALSE)=0,"",VLOOKUP($A27,Sheet1!$A:$AA,MATCH(O$1,Sheet1!$A$1:$AA$1,0),FALSE))</f>
        <v/>
      </c>
      <c r="P27" t="str">
        <f>IF(VLOOKUP($A27,Sheet1!$A:$AA,MATCH(P$1,Sheet1!$A$1:$AA$1,0),FALSE)=0,"",VLOOKUP($A27,Sheet1!$A:$AA,MATCH(P$1,Sheet1!$A$1:$AA$1,0),FALSE))</f>
        <v/>
      </c>
      <c r="Q27" t="str">
        <f>IF(VLOOKUP($A27,Sheet1!$A:$AA,MATCH(Q$1,Sheet1!$A$1:$AA$1,0),FALSE)=0,"",VLOOKUP($A27,Sheet1!$A:$AA,MATCH(Q$1,Sheet1!$A$1:$AA$1,0),FALSE))</f>
        <v>M</v>
      </c>
      <c r="R27" s="2">
        <f>IF(VLOOKUP($A27,Sheet1!$A:$AA,MATCH(R$1,Sheet1!$A$1:$AA$1,0),FALSE)=0,"",VLOOKUP($A27,Sheet1!$A:$AA,MATCH(R$1,Sheet1!$A$1:$AA$1,0),FALSE))</f>
        <v>24865</v>
      </c>
      <c r="AA27">
        <f ca="1">IF(VLOOKUP($A27,Sheet1!$A:$AA,MATCH(AA$1,Sheet1!$A$1:$AA$1,0),FALSE)=0,"",VLOOKUP($A27,Sheet1!$A:$AA,MATCH(AA$1,Sheet1!$A$1:$AA$1,0),FALSE))</f>
        <v>57</v>
      </c>
    </row>
    <row r="28" spans="1:27" x14ac:dyDescent="0.25">
      <c r="A28">
        <v>16952576</v>
      </c>
      <c r="B28" t="str">
        <f>IF(VLOOKUP($A28,Sheet1!$A:$AA,MATCH(B$1,Sheet1!$A$1:$AA$1,0),FALSE)=0,"",VLOOKUP($A28,Sheet1!$A:$AA,MATCH(B$1,Sheet1!$A$1:$AA$1,0),FALSE))</f>
        <v>Garrido, Javier</v>
      </c>
      <c r="C28" t="str">
        <f>IF(VLOOKUP($A28,Sheet1!$A:$AA,MATCH(C$1,Sheet1!$A$1:$AA$1,0),FALSE)=0,"",VLOOKUP($A28,Sheet1!$A:$AA,MATCH(C$1,Sheet1!$A$1:$AA$1,0),FALSE))</f>
        <v>Garrido</v>
      </c>
      <c r="D28" t="str">
        <f>IF(VLOOKUP($A28,Sheet1!$A:$AA,MATCH(D$1,Sheet1!$A$1:$AA$1,0),FALSE)=0,"",VLOOKUP($A28,Sheet1!$A:$AA,MATCH(D$1,Sheet1!$A$1:$AA$1,0),FALSE))</f>
        <v>Javier</v>
      </c>
      <c r="E28" t="str">
        <f>IF(VLOOKUP($A28,Sheet1!$A:$AA,MATCH(E$1,Sheet1!$A$1:$AA$1,0),FALSE)=0,"",VLOOKUP($A28,Sheet1!$A:$AA,MATCH(E$1,Sheet1!$A$1:$AA$1,0),FALSE))</f>
        <v/>
      </c>
      <c r="F28" t="str">
        <f>IF(VLOOKUP($A28,Sheet1!$A:$AA,MATCH(F$1,Sheet1!$A$1:$AA$1,0),FALSE)=0,"",VLOOKUP($A28,Sheet1!$A:$AA,MATCH(F$1,Sheet1!$A$1:$AA$1,0),FALSE))</f>
        <v/>
      </c>
      <c r="G28" t="str">
        <f>IF(VLOOKUP($A28,Sheet1!$A:$AA,MATCH(G$1,Sheet1!$A$1:$AA$1,0),FALSE)=0,"",VLOOKUP($A28,Sheet1!$A:$AA,MATCH(G$1,Sheet1!$A$1:$AA$1,0),FALSE))</f>
        <v/>
      </c>
      <c r="H28" t="str">
        <f>IF(VLOOKUP($A28,Sheet1!$A:$AA,MATCH(H$1,Sheet1!$A$1:$AA$1,0),FALSE)=0,"",VLOOKUP($A28,Sheet1!$A:$AA,MATCH(H$1,Sheet1!$A$1:$AA$1,0),FALSE))</f>
        <v/>
      </c>
      <c r="I28" t="str">
        <f>IF(VLOOKUP($A28,Sheet1!$A:$AA,MATCH(I$1,Sheet1!$A$1:$AA$1,0),FALSE)=0,"",VLOOKUP($A28,Sheet1!$A:$AA,MATCH(I$1,Sheet1!$A$1:$AA$1,0),FALSE))</f>
        <v/>
      </c>
      <c r="J28" t="str">
        <f>IF(VLOOKUP($A28,Sheet1!$A:$AA,MATCH(J$1,Sheet1!$A$1:$AA$1,0),FALSE)=0,"",VLOOKUP($A28,Sheet1!$A:$AA,MATCH(J$1,Sheet1!$A$1:$AA$1,0),FALSE))</f>
        <v/>
      </c>
      <c r="K28" t="str">
        <f>IF(VLOOKUP($A28,Sheet1!$A:$AA,MATCH(K$1,Sheet1!$A$1:$AA$1,0),FALSE)=0,"",VLOOKUP($A28,Sheet1!$A:$AA,MATCH(K$1,Sheet1!$A$1:$AA$1,0),FALSE))</f>
        <v>ANDALUZA</v>
      </c>
      <c r="L28" t="str">
        <f>IF(VLOOKUP($A28,Sheet1!$A:$AA,MATCH(L$1,Sheet1!$A$1:$AA$1,0),FALSE)=0,"",VLOOKUP($A28,Sheet1!$A:$AA,MATCH(L$1,Sheet1!$A$1:$AA$1,0),FALSE))</f>
        <v/>
      </c>
      <c r="M28" t="str">
        <f>IF(VLOOKUP($A28,Sheet1!$A:$AA,MATCH(M$1,Sheet1!$A$1:$AA$1,0),FALSE)=0,"",VLOOKUP($A28,Sheet1!$A:$AA,MATCH(M$1,Sheet1!$A$1:$AA$1,0),FALSE))</f>
        <v/>
      </c>
      <c r="N28" t="str">
        <f>IF(VLOOKUP($A28,Sheet1!$A:$AA,MATCH(N$1,Sheet1!$A$1:$AA$1,0),FALSE)=0,"",VLOOKUP($A28,Sheet1!$A:$AA,MATCH(N$1,Sheet1!$A$1:$AA$1,0),FALSE))</f>
        <v/>
      </c>
      <c r="O28" t="str">
        <f>IF(VLOOKUP($A28,Sheet1!$A:$AA,MATCH(O$1,Sheet1!$A$1:$AA$1,0),FALSE)=0,"",VLOOKUP($A28,Sheet1!$A:$AA,MATCH(O$1,Sheet1!$A$1:$AA$1,0),FALSE))</f>
        <v/>
      </c>
      <c r="P28" t="str">
        <f>IF(VLOOKUP($A28,Sheet1!$A:$AA,MATCH(P$1,Sheet1!$A$1:$AA$1,0),FALSE)=0,"",VLOOKUP($A28,Sheet1!$A:$AA,MATCH(P$1,Sheet1!$A$1:$AA$1,0),FALSE))</f>
        <v/>
      </c>
      <c r="Q28" t="str">
        <f>IF(VLOOKUP($A28,Sheet1!$A:$AA,MATCH(Q$1,Sheet1!$A$1:$AA$1,0),FALSE)=0,"",VLOOKUP($A28,Sheet1!$A:$AA,MATCH(Q$1,Sheet1!$A$1:$AA$1,0),FALSE))</f>
        <v>M</v>
      </c>
      <c r="R28" s="2">
        <f>IF(VLOOKUP($A28,Sheet1!$A:$AA,MATCH(R$1,Sheet1!$A$1:$AA$1,0),FALSE)=0,"",VLOOKUP($A28,Sheet1!$A:$AA,MATCH(R$1,Sheet1!$A$1:$AA$1,0),FALSE))</f>
        <v>36526</v>
      </c>
      <c r="AA28">
        <f ca="1">IF(VLOOKUP($A28,Sheet1!$A:$AA,MATCH(AA$1,Sheet1!$A$1:$AA$1,0),FALSE)=0,"",VLOOKUP($A28,Sheet1!$A:$AA,MATCH(AA$1,Sheet1!$A$1:$AA$1,0),FALSE))</f>
        <v>25</v>
      </c>
    </row>
    <row r="29" spans="1:27" x14ac:dyDescent="0.25">
      <c r="A29">
        <v>16952584</v>
      </c>
      <c r="B29" t="str">
        <f>IF(VLOOKUP($A29,Sheet1!$A:$AA,MATCH(B$1,Sheet1!$A$1:$AA$1,0),FALSE)=0,"",VLOOKUP($A29,Sheet1!$A:$AA,MATCH(B$1,Sheet1!$A$1:$AA$1,0),FALSE))</f>
        <v>MONTAÑO MONTAÑO, MIGUEL</v>
      </c>
      <c r="C29" t="str">
        <f>IF(VLOOKUP($A29,Sheet1!$A:$AA,MATCH(C$1,Sheet1!$A$1:$AA$1,0),FALSE)=0,"",VLOOKUP($A29,Sheet1!$A:$AA,MATCH(C$1,Sheet1!$A$1:$AA$1,0),FALSE))</f>
        <v>MONTAÑO MONTAÑO</v>
      </c>
      <c r="D29" t="str">
        <f>IF(VLOOKUP($A29,Sheet1!$A:$AA,MATCH(D$1,Sheet1!$A$1:$AA$1,0),FALSE)=0,"",VLOOKUP($A29,Sheet1!$A:$AA,MATCH(D$1,Sheet1!$A$1:$AA$1,0),FALSE))</f>
        <v>MIGUEL</v>
      </c>
      <c r="E29" t="str">
        <f>IF(VLOOKUP($A29,Sheet1!$A:$AA,MATCH(E$1,Sheet1!$A$1:$AA$1,0),FALSE)=0,"",VLOOKUP($A29,Sheet1!$A:$AA,MATCH(E$1,Sheet1!$A$1:$AA$1,0),FALSE))</f>
        <v/>
      </c>
      <c r="F29" t="str">
        <f>IF(VLOOKUP($A29,Sheet1!$A:$AA,MATCH(F$1,Sheet1!$A$1:$AA$1,0),FALSE)=0,"",VLOOKUP($A29,Sheet1!$A:$AA,MATCH(F$1,Sheet1!$A$1:$AA$1,0),FALSE))</f>
        <v/>
      </c>
      <c r="G29" t="str">
        <f>IF(VLOOKUP($A29,Sheet1!$A:$AA,MATCH(G$1,Sheet1!$A$1:$AA$1,0),FALSE)=0,"",VLOOKUP($A29,Sheet1!$A:$AA,MATCH(G$1,Sheet1!$A$1:$AA$1,0),FALSE))</f>
        <v/>
      </c>
      <c r="H29" t="str">
        <f>IF(VLOOKUP($A29,Sheet1!$A:$AA,MATCH(H$1,Sheet1!$A$1:$AA$1,0),FALSE)=0,"",VLOOKUP($A29,Sheet1!$A:$AA,MATCH(H$1,Sheet1!$A$1:$AA$1,0),FALSE))</f>
        <v/>
      </c>
      <c r="I29" t="str">
        <f>IF(VLOOKUP($A29,Sheet1!$A:$AA,MATCH(I$1,Sheet1!$A$1:$AA$1,0),FALSE)=0,"",VLOOKUP($A29,Sheet1!$A:$AA,MATCH(I$1,Sheet1!$A$1:$AA$1,0),FALSE))</f>
        <v/>
      </c>
      <c r="J29" t="str">
        <f>IF(VLOOKUP($A29,Sheet1!$A:$AA,MATCH(J$1,Sheet1!$A$1:$AA$1,0),FALSE)=0,"",VLOOKUP($A29,Sheet1!$A:$AA,MATCH(J$1,Sheet1!$A$1:$AA$1,0),FALSE))</f>
        <v/>
      </c>
      <c r="K29" t="str">
        <f>IF(VLOOKUP($A29,Sheet1!$A:$AA,MATCH(K$1,Sheet1!$A$1:$AA$1,0),FALSE)=0,"",VLOOKUP($A29,Sheet1!$A:$AA,MATCH(K$1,Sheet1!$A$1:$AA$1,0),FALSE))</f>
        <v>ANDALUZA</v>
      </c>
      <c r="L29" t="str">
        <f>IF(VLOOKUP($A29,Sheet1!$A:$AA,MATCH(L$1,Sheet1!$A$1:$AA$1,0),FALSE)=0,"",VLOOKUP($A29,Sheet1!$A:$AA,MATCH(L$1,Sheet1!$A$1:$AA$1,0),FALSE))</f>
        <v/>
      </c>
      <c r="M29" t="str">
        <f>IF(VLOOKUP($A29,Sheet1!$A:$AA,MATCH(M$1,Sheet1!$A$1:$AA$1,0),FALSE)=0,"",VLOOKUP($A29,Sheet1!$A:$AA,MATCH(M$1,Sheet1!$A$1:$AA$1,0),FALSE))</f>
        <v/>
      </c>
      <c r="N29" t="str">
        <f>IF(VLOOKUP($A29,Sheet1!$A:$AA,MATCH(N$1,Sheet1!$A$1:$AA$1,0),FALSE)=0,"",VLOOKUP($A29,Sheet1!$A:$AA,MATCH(N$1,Sheet1!$A$1:$AA$1,0),FALSE))</f>
        <v/>
      </c>
      <c r="O29" t="str">
        <f>IF(VLOOKUP($A29,Sheet1!$A:$AA,MATCH(O$1,Sheet1!$A$1:$AA$1,0),FALSE)=0,"",VLOOKUP($A29,Sheet1!$A:$AA,MATCH(O$1,Sheet1!$A$1:$AA$1,0),FALSE))</f>
        <v/>
      </c>
      <c r="P29" t="str">
        <f>IF(VLOOKUP($A29,Sheet1!$A:$AA,MATCH(P$1,Sheet1!$A$1:$AA$1,0),FALSE)=0,"",VLOOKUP($A29,Sheet1!$A:$AA,MATCH(P$1,Sheet1!$A$1:$AA$1,0),FALSE))</f>
        <v/>
      </c>
      <c r="Q29" t="str">
        <f>IF(VLOOKUP($A29,Sheet1!$A:$AA,MATCH(Q$1,Sheet1!$A$1:$AA$1,0),FALSE)=0,"",VLOOKUP($A29,Sheet1!$A:$AA,MATCH(Q$1,Sheet1!$A$1:$AA$1,0),FALSE))</f>
        <v>M</v>
      </c>
      <c r="R29" s="2">
        <f>IF(VLOOKUP($A29,Sheet1!$A:$AA,MATCH(R$1,Sheet1!$A$1:$AA$1,0),FALSE)=0,"",VLOOKUP($A29,Sheet1!$A:$AA,MATCH(R$1,Sheet1!$A$1:$AA$1,0),FALSE))</f>
        <v>23352</v>
      </c>
      <c r="AA29">
        <f ca="1">IF(VLOOKUP($A29,Sheet1!$A:$AA,MATCH(AA$1,Sheet1!$A$1:$AA$1,0),FALSE)=0,"",VLOOKUP($A29,Sheet1!$A:$AA,MATCH(AA$1,Sheet1!$A$1:$AA$1,0),FALSE))</f>
        <v>62</v>
      </c>
    </row>
    <row r="30" spans="1:27" x14ac:dyDescent="0.25">
      <c r="A30">
        <v>16952716</v>
      </c>
      <c r="B30" t="str">
        <f>IF(VLOOKUP($A30,Sheet1!$A:$AA,MATCH(B$1,Sheet1!$A$1:$AA$1,0),FALSE)=0,"",VLOOKUP($A30,Sheet1!$A:$AA,MATCH(B$1,Sheet1!$A$1:$AA$1,0),FALSE))</f>
        <v>CASQUERO TOMAS, VICTORIA</v>
      </c>
      <c r="C30" t="str">
        <f>IF(VLOOKUP($A30,Sheet1!$A:$AA,MATCH(C$1,Sheet1!$A$1:$AA$1,0),FALSE)=0,"",VLOOKUP($A30,Sheet1!$A:$AA,MATCH(C$1,Sheet1!$A$1:$AA$1,0),FALSE))</f>
        <v>CASQUERO TOMAS</v>
      </c>
      <c r="D30" t="str">
        <f>IF(VLOOKUP($A30,Sheet1!$A:$AA,MATCH(D$1,Sheet1!$A$1:$AA$1,0),FALSE)=0,"",VLOOKUP($A30,Sheet1!$A:$AA,MATCH(D$1,Sheet1!$A$1:$AA$1,0),FALSE))</f>
        <v>VICTORIA</v>
      </c>
      <c r="E30" t="str">
        <f>IF(VLOOKUP($A30,Sheet1!$A:$AA,MATCH(E$1,Sheet1!$A$1:$AA$1,0),FALSE)=0,"",VLOOKUP($A30,Sheet1!$A:$AA,MATCH(E$1,Sheet1!$A$1:$AA$1,0),FALSE))</f>
        <v/>
      </c>
      <c r="F30" t="str">
        <f>IF(VLOOKUP($A30,Sheet1!$A:$AA,MATCH(F$1,Sheet1!$A$1:$AA$1,0),FALSE)=0,"",VLOOKUP($A30,Sheet1!$A:$AA,MATCH(F$1,Sheet1!$A$1:$AA$1,0),FALSE))</f>
        <v/>
      </c>
      <c r="G30" t="str">
        <f>IF(VLOOKUP($A30,Sheet1!$A:$AA,MATCH(G$1,Sheet1!$A$1:$AA$1,0),FALSE)=0,"",VLOOKUP($A30,Sheet1!$A:$AA,MATCH(G$1,Sheet1!$A$1:$AA$1,0),FALSE))</f>
        <v/>
      </c>
      <c r="H30" t="str">
        <f>IF(VLOOKUP($A30,Sheet1!$A:$AA,MATCH(H$1,Sheet1!$A$1:$AA$1,0),FALSE)=0,"",VLOOKUP($A30,Sheet1!$A:$AA,MATCH(H$1,Sheet1!$A$1:$AA$1,0),FALSE))</f>
        <v/>
      </c>
      <c r="I30" t="str">
        <f>IF(VLOOKUP($A30,Sheet1!$A:$AA,MATCH(I$1,Sheet1!$A$1:$AA$1,0),FALSE)=0,"",VLOOKUP($A30,Sheet1!$A:$AA,MATCH(I$1,Sheet1!$A$1:$AA$1,0),FALSE))</f>
        <v/>
      </c>
      <c r="J30" t="str">
        <f>IF(VLOOKUP($A30,Sheet1!$A:$AA,MATCH(J$1,Sheet1!$A$1:$AA$1,0),FALSE)=0,"",VLOOKUP($A30,Sheet1!$A:$AA,MATCH(J$1,Sheet1!$A$1:$AA$1,0),FALSE))</f>
        <v/>
      </c>
      <c r="K30" t="str">
        <f>IF(VLOOKUP($A30,Sheet1!$A:$AA,MATCH(K$1,Sheet1!$A$1:$AA$1,0),FALSE)=0,"",VLOOKUP($A30,Sheet1!$A:$AA,MATCH(K$1,Sheet1!$A$1:$AA$1,0),FALSE))</f>
        <v>ANDALUZA</v>
      </c>
      <c r="L30" t="str">
        <f>IF(VLOOKUP($A30,Sheet1!$A:$AA,MATCH(L$1,Sheet1!$A$1:$AA$1,0),FALSE)=0,"",VLOOKUP($A30,Sheet1!$A:$AA,MATCH(L$1,Sheet1!$A$1:$AA$1,0),FALSE))</f>
        <v/>
      </c>
      <c r="M30" t="str">
        <f>IF(VLOOKUP($A30,Sheet1!$A:$AA,MATCH(M$1,Sheet1!$A$1:$AA$1,0),FALSE)=0,"",VLOOKUP($A30,Sheet1!$A:$AA,MATCH(M$1,Sheet1!$A$1:$AA$1,0),FALSE))</f>
        <v/>
      </c>
      <c r="N30" t="str">
        <f>IF(VLOOKUP($A30,Sheet1!$A:$AA,MATCH(N$1,Sheet1!$A$1:$AA$1,0),FALSE)=0,"",VLOOKUP($A30,Sheet1!$A:$AA,MATCH(N$1,Sheet1!$A$1:$AA$1,0),FALSE))</f>
        <v/>
      </c>
      <c r="O30" t="str">
        <f>IF(VLOOKUP($A30,Sheet1!$A:$AA,MATCH(O$1,Sheet1!$A$1:$AA$1,0),FALSE)=0,"",VLOOKUP($A30,Sheet1!$A:$AA,MATCH(O$1,Sheet1!$A$1:$AA$1,0),FALSE))</f>
        <v/>
      </c>
      <c r="P30" t="str">
        <f>IF(VLOOKUP($A30,Sheet1!$A:$AA,MATCH(P$1,Sheet1!$A$1:$AA$1,0),FALSE)=0,"",VLOOKUP($A30,Sheet1!$A:$AA,MATCH(P$1,Sheet1!$A$1:$AA$1,0),FALSE))</f>
        <v/>
      </c>
      <c r="Q30" t="str">
        <f>IF(VLOOKUP($A30,Sheet1!$A:$AA,MATCH(Q$1,Sheet1!$A$1:$AA$1,0),FALSE)=0,"",VLOOKUP($A30,Sheet1!$A:$AA,MATCH(Q$1,Sheet1!$A$1:$AA$1,0),FALSE))</f>
        <v>F</v>
      </c>
      <c r="R30" s="2">
        <f>IF(VLOOKUP($A30,Sheet1!$A:$AA,MATCH(R$1,Sheet1!$A$1:$AA$1,0),FALSE)=0,"",VLOOKUP($A30,Sheet1!$A:$AA,MATCH(R$1,Sheet1!$A$1:$AA$1,0),FALSE))</f>
        <v>23323</v>
      </c>
      <c r="AA30">
        <f ca="1">IF(VLOOKUP($A30,Sheet1!$A:$AA,MATCH(AA$1,Sheet1!$A$1:$AA$1,0),FALSE)=0,"",VLOOKUP($A30,Sheet1!$A:$AA,MATCH(AA$1,Sheet1!$A$1:$AA$1,0),FALSE))</f>
        <v>62</v>
      </c>
    </row>
    <row r="31" spans="1:27" x14ac:dyDescent="0.25">
      <c r="A31">
        <v>16952807</v>
      </c>
      <c r="B31" t="str">
        <f>IF(VLOOKUP($A31,Sheet1!$A:$AA,MATCH(B$1,Sheet1!$A$1:$AA$1,0),FALSE)=0,"",VLOOKUP($A31,Sheet1!$A:$AA,MATCH(B$1,Sheet1!$A$1:$AA$1,0),FALSE))</f>
        <v>VALDÉS MUÑOZ, INMA</v>
      </c>
      <c r="C31" t="str">
        <f>IF(VLOOKUP($A31,Sheet1!$A:$AA,MATCH(C$1,Sheet1!$A$1:$AA$1,0),FALSE)=0,"",VLOOKUP($A31,Sheet1!$A:$AA,MATCH(C$1,Sheet1!$A$1:$AA$1,0),FALSE))</f>
        <v>VALDÉS MUÑOZ</v>
      </c>
      <c r="D31" t="str">
        <f>IF(VLOOKUP($A31,Sheet1!$A:$AA,MATCH(D$1,Sheet1!$A$1:$AA$1,0),FALSE)=0,"",VLOOKUP($A31,Sheet1!$A:$AA,MATCH(D$1,Sheet1!$A$1:$AA$1,0),FALSE))</f>
        <v>INMA</v>
      </c>
      <c r="E31" t="str">
        <f>IF(VLOOKUP($A31,Sheet1!$A:$AA,MATCH(E$1,Sheet1!$A$1:$AA$1,0),FALSE)=0,"",VLOOKUP($A31,Sheet1!$A:$AA,MATCH(E$1,Sheet1!$A$1:$AA$1,0),FALSE))</f>
        <v/>
      </c>
      <c r="F31" t="str">
        <f>IF(VLOOKUP($A31,Sheet1!$A:$AA,MATCH(F$1,Sheet1!$A$1:$AA$1,0),FALSE)=0,"",VLOOKUP($A31,Sheet1!$A:$AA,MATCH(F$1,Sheet1!$A$1:$AA$1,0),FALSE))</f>
        <v/>
      </c>
      <c r="G31" t="str">
        <f>IF(VLOOKUP($A31,Sheet1!$A:$AA,MATCH(G$1,Sheet1!$A$1:$AA$1,0),FALSE)=0,"",VLOOKUP($A31,Sheet1!$A:$AA,MATCH(G$1,Sheet1!$A$1:$AA$1,0),FALSE))</f>
        <v/>
      </c>
      <c r="H31" t="str">
        <f>IF(VLOOKUP($A31,Sheet1!$A:$AA,MATCH(H$1,Sheet1!$A$1:$AA$1,0),FALSE)=0,"",VLOOKUP($A31,Sheet1!$A:$AA,MATCH(H$1,Sheet1!$A$1:$AA$1,0),FALSE))</f>
        <v/>
      </c>
      <c r="I31" t="str">
        <f>IF(VLOOKUP($A31,Sheet1!$A:$AA,MATCH(I$1,Sheet1!$A$1:$AA$1,0),FALSE)=0,"",VLOOKUP($A31,Sheet1!$A:$AA,MATCH(I$1,Sheet1!$A$1:$AA$1,0),FALSE))</f>
        <v/>
      </c>
      <c r="J31" t="str">
        <f>IF(VLOOKUP($A31,Sheet1!$A:$AA,MATCH(J$1,Sheet1!$A$1:$AA$1,0),FALSE)=0,"",VLOOKUP($A31,Sheet1!$A:$AA,MATCH(J$1,Sheet1!$A$1:$AA$1,0),FALSE))</f>
        <v/>
      </c>
      <c r="K31" t="str">
        <f>IF(VLOOKUP($A31,Sheet1!$A:$AA,MATCH(K$1,Sheet1!$A$1:$AA$1,0),FALSE)=0,"",VLOOKUP($A31,Sheet1!$A:$AA,MATCH(K$1,Sheet1!$A$1:$AA$1,0),FALSE))</f>
        <v>ANDALUZA</v>
      </c>
      <c r="L31" t="str">
        <f>IF(VLOOKUP($A31,Sheet1!$A:$AA,MATCH(L$1,Sheet1!$A$1:$AA$1,0),FALSE)=0,"",VLOOKUP($A31,Sheet1!$A:$AA,MATCH(L$1,Sheet1!$A$1:$AA$1,0),FALSE))</f>
        <v/>
      </c>
      <c r="M31" t="str">
        <f>IF(VLOOKUP($A31,Sheet1!$A:$AA,MATCH(M$1,Sheet1!$A$1:$AA$1,0),FALSE)=0,"",VLOOKUP($A31,Sheet1!$A:$AA,MATCH(M$1,Sheet1!$A$1:$AA$1,0),FALSE))</f>
        <v/>
      </c>
      <c r="N31" t="str">
        <f>IF(VLOOKUP($A31,Sheet1!$A:$AA,MATCH(N$1,Sheet1!$A$1:$AA$1,0),FALSE)=0,"",VLOOKUP($A31,Sheet1!$A:$AA,MATCH(N$1,Sheet1!$A$1:$AA$1,0),FALSE))</f>
        <v/>
      </c>
      <c r="O31" t="str">
        <f>IF(VLOOKUP($A31,Sheet1!$A:$AA,MATCH(O$1,Sheet1!$A$1:$AA$1,0),FALSE)=0,"",VLOOKUP($A31,Sheet1!$A:$AA,MATCH(O$1,Sheet1!$A$1:$AA$1,0),FALSE))</f>
        <v/>
      </c>
      <c r="P31" t="str">
        <f>IF(VLOOKUP($A31,Sheet1!$A:$AA,MATCH(P$1,Sheet1!$A$1:$AA$1,0),FALSE)=0,"",VLOOKUP($A31,Sheet1!$A:$AA,MATCH(P$1,Sheet1!$A$1:$AA$1,0),FALSE))</f>
        <v/>
      </c>
      <c r="Q31" t="str">
        <f>IF(VLOOKUP($A31,Sheet1!$A:$AA,MATCH(Q$1,Sheet1!$A$1:$AA$1,0),FALSE)=0,"",VLOOKUP($A31,Sheet1!$A:$AA,MATCH(Q$1,Sheet1!$A$1:$AA$1,0),FALSE))</f>
        <v>F</v>
      </c>
      <c r="R31" s="2">
        <f>IF(VLOOKUP($A31,Sheet1!$A:$AA,MATCH(R$1,Sheet1!$A$1:$AA$1,0),FALSE)=0,"",VLOOKUP($A31,Sheet1!$A:$AA,MATCH(R$1,Sheet1!$A$1:$AA$1,0),FALSE))</f>
        <v>31426</v>
      </c>
      <c r="AA31">
        <f ca="1">IF(VLOOKUP($A31,Sheet1!$A:$AA,MATCH(AA$1,Sheet1!$A$1:$AA$1,0),FALSE)=0,"",VLOOKUP($A31,Sheet1!$A:$AA,MATCH(AA$1,Sheet1!$A$1:$AA$1,0),FALSE))</f>
        <v>39</v>
      </c>
    </row>
    <row r="32" spans="1:27" x14ac:dyDescent="0.25">
      <c r="A32">
        <v>16952849</v>
      </c>
      <c r="B32" t="str">
        <f>IF(VLOOKUP($A32,Sheet1!$A:$AA,MATCH(B$1,Sheet1!$A$1:$AA$1,0),FALSE)=0,"",VLOOKUP($A32,Sheet1!$A:$AA,MATCH(B$1,Sheet1!$A$1:$AA$1,0),FALSE))</f>
        <v>Centeno, Sergio</v>
      </c>
      <c r="C32" t="str">
        <f>IF(VLOOKUP($A32,Sheet1!$A:$AA,MATCH(C$1,Sheet1!$A$1:$AA$1,0),FALSE)=0,"",VLOOKUP($A32,Sheet1!$A:$AA,MATCH(C$1,Sheet1!$A$1:$AA$1,0),FALSE))</f>
        <v>Centeno</v>
      </c>
      <c r="D32" t="str">
        <f>IF(VLOOKUP($A32,Sheet1!$A:$AA,MATCH(D$1,Sheet1!$A$1:$AA$1,0),FALSE)=0,"",VLOOKUP($A32,Sheet1!$A:$AA,MATCH(D$1,Sheet1!$A$1:$AA$1,0),FALSE))</f>
        <v>Sergio</v>
      </c>
      <c r="E32" t="str">
        <f>IF(VLOOKUP($A32,Sheet1!$A:$AA,MATCH(E$1,Sheet1!$A$1:$AA$1,0),FALSE)=0,"",VLOOKUP($A32,Sheet1!$A:$AA,MATCH(E$1,Sheet1!$A$1:$AA$1,0),FALSE))</f>
        <v/>
      </c>
      <c r="F32" t="str">
        <f>IF(VLOOKUP($A32,Sheet1!$A:$AA,MATCH(F$1,Sheet1!$A$1:$AA$1,0),FALSE)=0,"",VLOOKUP($A32,Sheet1!$A:$AA,MATCH(F$1,Sheet1!$A$1:$AA$1,0),FALSE))</f>
        <v/>
      </c>
      <c r="G32" t="str">
        <f>IF(VLOOKUP($A32,Sheet1!$A:$AA,MATCH(G$1,Sheet1!$A$1:$AA$1,0),FALSE)=0,"",VLOOKUP($A32,Sheet1!$A:$AA,MATCH(G$1,Sheet1!$A$1:$AA$1,0),FALSE))</f>
        <v/>
      </c>
      <c r="H32" t="str">
        <f>IF(VLOOKUP($A32,Sheet1!$A:$AA,MATCH(H$1,Sheet1!$A$1:$AA$1,0),FALSE)=0,"",VLOOKUP($A32,Sheet1!$A:$AA,MATCH(H$1,Sheet1!$A$1:$AA$1,0),FALSE))</f>
        <v/>
      </c>
      <c r="I32" t="str">
        <f>IF(VLOOKUP($A32,Sheet1!$A:$AA,MATCH(I$1,Sheet1!$A$1:$AA$1,0),FALSE)=0,"",VLOOKUP($A32,Sheet1!$A:$AA,MATCH(I$1,Sheet1!$A$1:$AA$1,0),FALSE))</f>
        <v/>
      </c>
      <c r="J32" t="str">
        <f>IF(VLOOKUP($A32,Sheet1!$A:$AA,MATCH(J$1,Sheet1!$A$1:$AA$1,0),FALSE)=0,"",VLOOKUP($A32,Sheet1!$A:$AA,MATCH(J$1,Sheet1!$A$1:$AA$1,0),FALSE))</f>
        <v/>
      </c>
      <c r="K32" t="str">
        <f>IF(VLOOKUP($A32,Sheet1!$A:$AA,MATCH(K$1,Sheet1!$A$1:$AA$1,0),FALSE)=0,"",VLOOKUP($A32,Sheet1!$A:$AA,MATCH(K$1,Sheet1!$A$1:$AA$1,0),FALSE))</f>
        <v>ANDALUZA</v>
      </c>
      <c r="L32" t="str">
        <f>IF(VLOOKUP($A32,Sheet1!$A:$AA,MATCH(L$1,Sheet1!$A$1:$AA$1,0),FALSE)=0,"",VLOOKUP($A32,Sheet1!$A:$AA,MATCH(L$1,Sheet1!$A$1:$AA$1,0),FALSE))</f>
        <v/>
      </c>
      <c r="M32" t="str">
        <f>IF(VLOOKUP($A32,Sheet1!$A:$AA,MATCH(M$1,Sheet1!$A$1:$AA$1,0),FALSE)=0,"",VLOOKUP($A32,Sheet1!$A:$AA,MATCH(M$1,Sheet1!$A$1:$AA$1,0),FALSE))</f>
        <v/>
      </c>
      <c r="N32" t="str">
        <f>IF(VLOOKUP($A32,Sheet1!$A:$AA,MATCH(N$1,Sheet1!$A$1:$AA$1,0),FALSE)=0,"",VLOOKUP($A32,Sheet1!$A:$AA,MATCH(N$1,Sheet1!$A$1:$AA$1,0),FALSE))</f>
        <v/>
      </c>
      <c r="O32" t="str">
        <f>IF(VLOOKUP($A32,Sheet1!$A:$AA,MATCH(O$1,Sheet1!$A$1:$AA$1,0),FALSE)=0,"",VLOOKUP($A32,Sheet1!$A:$AA,MATCH(O$1,Sheet1!$A$1:$AA$1,0),FALSE))</f>
        <v/>
      </c>
      <c r="P32" t="str">
        <f>IF(VLOOKUP($A32,Sheet1!$A:$AA,MATCH(P$1,Sheet1!$A$1:$AA$1,0),FALSE)=0,"",VLOOKUP($A32,Sheet1!$A:$AA,MATCH(P$1,Sheet1!$A$1:$AA$1,0),FALSE))</f>
        <v/>
      </c>
      <c r="Q32" t="str">
        <f>IF(VLOOKUP($A32,Sheet1!$A:$AA,MATCH(Q$1,Sheet1!$A$1:$AA$1,0),FALSE)=0,"",VLOOKUP($A32,Sheet1!$A:$AA,MATCH(Q$1,Sheet1!$A$1:$AA$1,0),FALSE))</f>
        <v>M</v>
      </c>
      <c r="R32" s="2">
        <f>IF(VLOOKUP($A32,Sheet1!$A:$AA,MATCH(R$1,Sheet1!$A$1:$AA$1,0),FALSE)=0,"",VLOOKUP($A32,Sheet1!$A:$AA,MATCH(R$1,Sheet1!$A$1:$AA$1,0),FALSE))</f>
        <v>26299</v>
      </c>
      <c r="AA32">
        <f ca="1">IF(VLOOKUP($A32,Sheet1!$A:$AA,MATCH(AA$1,Sheet1!$A$1:$AA$1,0),FALSE)=0,"",VLOOKUP($A32,Sheet1!$A:$AA,MATCH(AA$1,Sheet1!$A$1:$AA$1,0),FALSE))</f>
        <v>53</v>
      </c>
    </row>
    <row r="33" spans="1:27" x14ac:dyDescent="0.25">
      <c r="A33">
        <v>16952873</v>
      </c>
      <c r="B33" t="str">
        <f>IF(VLOOKUP($A33,Sheet1!$A:$AA,MATCH(B$1,Sheet1!$A$1:$AA$1,0),FALSE)=0,"",VLOOKUP($A33,Sheet1!$A:$AA,MATCH(B$1,Sheet1!$A$1:$AA$1,0),FALSE))</f>
        <v>SKIRROW, ALEX</v>
      </c>
      <c r="C33" t="str">
        <f>IF(VLOOKUP($A33,Sheet1!$A:$AA,MATCH(C$1,Sheet1!$A$1:$AA$1,0),FALSE)=0,"",VLOOKUP($A33,Sheet1!$A:$AA,MATCH(C$1,Sheet1!$A$1:$AA$1,0),FALSE))</f>
        <v>SKIRROW</v>
      </c>
      <c r="D33" t="str">
        <f>IF(VLOOKUP($A33,Sheet1!$A:$AA,MATCH(D$1,Sheet1!$A$1:$AA$1,0),FALSE)=0,"",VLOOKUP($A33,Sheet1!$A:$AA,MATCH(D$1,Sheet1!$A$1:$AA$1,0),FALSE))</f>
        <v>ALEX</v>
      </c>
      <c r="E33" t="str">
        <f>IF(VLOOKUP($A33,Sheet1!$A:$AA,MATCH(E$1,Sheet1!$A$1:$AA$1,0),FALSE)=0,"",VLOOKUP($A33,Sheet1!$A:$AA,MATCH(E$1,Sheet1!$A$1:$AA$1,0),FALSE))</f>
        <v/>
      </c>
      <c r="F33" t="str">
        <f>IF(VLOOKUP($A33,Sheet1!$A:$AA,MATCH(F$1,Sheet1!$A$1:$AA$1,0),FALSE)=0,"",VLOOKUP($A33,Sheet1!$A:$AA,MATCH(F$1,Sheet1!$A$1:$AA$1,0),FALSE))</f>
        <v/>
      </c>
      <c r="G33" t="str">
        <f>IF(VLOOKUP($A33,Sheet1!$A:$AA,MATCH(G$1,Sheet1!$A$1:$AA$1,0),FALSE)=0,"",VLOOKUP($A33,Sheet1!$A:$AA,MATCH(G$1,Sheet1!$A$1:$AA$1,0),FALSE))</f>
        <v/>
      </c>
      <c r="H33" t="str">
        <f>IF(VLOOKUP($A33,Sheet1!$A:$AA,MATCH(H$1,Sheet1!$A$1:$AA$1,0),FALSE)=0,"",VLOOKUP($A33,Sheet1!$A:$AA,MATCH(H$1,Sheet1!$A$1:$AA$1,0),FALSE))</f>
        <v/>
      </c>
      <c r="I33" t="str">
        <f>IF(VLOOKUP($A33,Sheet1!$A:$AA,MATCH(I$1,Sheet1!$A$1:$AA$1,0),FALSE)=0,"",VLOOKUP($A33,Sheet1!$A:$AA,MATCH(I$1,Sheet1!$A$1:$AA$1,0),FALSE))</f>
        <v/>
      </c>
      <c r="J33" t="str">
        <f>IF(VLOOKUP($A33,Sheet1!$A:$AA,MATCH(J$1,Sheet1!$A$1:$AA$1,0),FALSE)=0,"",VLOOKUP($A33,Sheet1!$A:$AA,MATCH(J$1,Sheet1!$A$1:$AA$1,0),FALSE))</f>
        <v/>
      </c>
      <c r="K33" t="str">
        <f>IF(VLOOKUP($A33,Sheet1!$A:$AA,MATCH(K$1,Sheet1!$A$1:$AA$1,0),FALSE)=0,"",VLOOKUP($A33,Sheet1!$A:$AA,MATCH(K$1,Sheet1!$A$1:$AA$1,0),FALSE))</f>
        <v>ANDALUZA</v>
      </c>
      <c r="L33" t="str">
        <f>IF(VLOOKUP($A33,Sheet1!$A:$AA,MATCH(L$1,Sheet1!$A$1:$AA$1,0),FALSE)=0,"",VLOOKUP($A33,Sheet1!$A:$AA,MATCH(L$1,Sheet1!$A$1:$AA$1,0),FALSE))</f>
        <v/>
      </c>
      <c r="M33" t="str">
        <f>IF(VLOOKUP($A33,Sheet1!$A:$AA,MATCH(M$1,Sheet1!$A$1:$AA$1,0),FALSE)=0,"",VLOOKUP($A33,Sheet1!$A:$AA,MATCH(M$1,Sheet1!$A$1:$AA$1,0),FALSE))</f>
        <v/>
      </c>
      <c r="N33" t="str">
        <f>IF(VLOOKUP($A33,Sheet1!$A:$AA,MATCH(N$1,Sheet1!$A$1:$AA$1,0),FALSE)=0,"",VLOOKUP($A33,Sheet1!$A:$AA,MATCH(N$1,Sheet1!$A$1:$AA$1,0),FALSE))</f>
        <v/>
      </c>
      <c r="O33" t="str">
        <f>IF(VLOOKUP($A33,Sheet1!$A:$AA,MATCH(O$1,Sheet1!$A$1:$AA$1,0),FALSE)=0,"",VLOOKUP($A33,Sheet1!$A:$AA,MATCH(O$1,Sheet1!$A$1:$AA$1,0),FALSE))</f>
        <v/>
      </c>
      <c r="P33" t="str">
        <f>IF(VLOOKUP($A33,Sheet1!$A:$AA,MATCH(P$1,Sheet1!$A$1:$AA$1,0),FALSE)=0,"",VLOOKUP($A33,Sheet1!$A:$AA,MATCH(P$1,Sheet1!$A$1:$AA$1,0),FALSE))</f>
        <v/>
      </c>
      <c r="Q33" t="str">
        <f>IF(VLOOKUP($A33,Sheet1!$A:$AA,MATCH(Q$1,Sheet1!$A$1:$AA$1,0),FALSE)=0,"",VLOOKUP($A33,Sheet1!$A:$AA,MATCH(Q$1,Sheet1!$A$1:$AA$1,0),FALSE))</f>
        <v>M</v>
      </c>
      <c r="R33" s="2">
        <f>IF(VLOOKUP($A33,Sheet1!$A:$AA,MATCH(R$1,Sheet1!$A$1:$AA$1,0),FALSE)=0,"",VLOOKUP($A33,Sheet1!$A:$AA,MATCH(R$1,Sheet1!$A$1:$AA$1,0),FALSE))</f>
        <v>32026</v>
      </c>
      <c r="AA33">
        <f ca="1">IF(VLOOKUP($A33,Sheet1!$A:$AA,MATCH(AA$1,Sheet1!$A$1:$AA$1,0),FALSE)=0,"",VLOOKUP($A33,Sheet1!$A:$AA,MATCH(AA$1,Sheet1!$A$1:$AA$1,0),FALSE))</f>
        <v>38</v>
      </c>
    </row>
    <row r="34" spans="1:27" x14ac:dyDescent="0.25">
      <c r="A34">
        <v>16952881</v>
      </c>
      <c r="B34" t="str">
        <f>IF(VLOOKUP($A34,Sheet1!$A:$AA,MATCH(B$1,Sheet1!$A$1:$AA$1,0),FALSE)=0,"",VLOOKUP($A34,Sheet1!$A:$AA,MATCH(B$1,Sheet1!$A$1:$AA$1,0),FALSE))</f>
        <v>GARCíA CORRALES, FRANCISCO JESúS</v>
      </c>
      <c r="C34" t="str">
        <f>IF(VLOOKUP($A34,Sheet1!$A:$AA,MATCH(C$1,Sheet1!$A$1:$AA$1,0),FALSE)=0,"",VLOOKUP($A34,Sheet1!$A:$AA,MATCH(C$1,Sheet1!$A$1:$AA$1,0),FALSE))</f>
        <v>GARCíA CORRALES</v>
      </c>
      <c r="D34" t="str">
        <f>IF(VLOOKUP($A34,Sheet1!$A:$AA,MATCH(D$1,Sheet1!$A$1:$AA$1,0),FALSE)=0,"",VLOOKUP($A34,Sheet1!$A:$AA,MATCH(D$1,Sheet1!$A$1:$AA$1,0),FALSE))</f>
        <v>FRANCISCO JESúS</v>
      </c>
      <c r="E34" t="str">
        <f>IF(VLOOKUP($A34,Sheet1!$A:$AA,MATCH(E$1,Sheet1!$A$1:$AA$1,0),FALSE)=0,"",VLOOKUP($A34,Sheet1!$A:$AA,MATCH(E$1,Sheet1!$A$1:$AA$1,0),FALSE))</f>
        <v/>
      </c>
      <c r="F34" t="str">
        <f>IF(VLOOKUP($A34,Sheet1!$A:$AA,MATCH(F$1,Sheet1!$A$1:$AA$1,0),FALSE)=0,"",VLOOKUP($A34,Sheet1!$A:$AA,MATCH(F$1,Sheet1!$A$1:$AA$1,0),FALSE))</f>
        <v/>
      </c>
      <c r="G34" t="str">
        <f>IF(VLOOKUP($A34,Sheet1!$A:$AA,MATCH(G$1,Sheet1!$A$1:$AA$1,0),FALSE)=0,"",VLOOKUP($A34,Sheet1!$A:$AA,MATCH(G$1,Sheet1!$A$1:$AA$1,0),FALSE))</f>
        <v/>
      </c>
      <c r="H34" t="str">
        <f>IF(VLOOKUP($A34,Sheet1!$A:$AA,MATCH(H$1,Sheet1!$A$1:$AA$1,0),FALSE)=0,"",VLOOKUP($A34,Sheet1!$A:$AA,MATCH(H$1,Sheet1!$A$1:$AA$1,0),FALSE))</f>
        <v/>
      </c>
      <c r="I34" t="str">
        <f>IF(VLOOKUP($A34,Sheet1!$A:$AA,MATCH(I$1,Sheet1!$A$1:$AA$1,0),FALSE)=0,"",VLOOKUP($A34,Sheet1!$A:$AA,MATCH(I$1,Sheet1!$A$1:$AA$1,0),FALSE))</f>
        <v/>
      </c>
      <c r="J34" t="str">
        <f>IF(VLOOKUP($A34,Sheet1!$A:$AA,MATCH(J$1,Sheet1!$A$1:$AA$1,0),FALSE)=0,"",VLOOKUP($A34,Sheet1!$A:$AA,MATCH(J$1,Sheet1!$A$1:$AA$1,0),FALSE))</f>
        <v/>
      </c>
      <c r="K34" t="str">
        <f>IF(VLOOKUP($A34,Sheet1!$A:$AA,MATCH(K$1,Sheet1!$A$1:$AA$1,0),FALSE)=0,"",VLOOKUP($A34,Sheet1!$A:$AA,MATCH(K$1,Sheet1!$A$1:$AA$1,0),FALSE))</f>
        <v>ANDALUZA</v>
      </c>
      <c r="L34" t="str">
        <f>IF(VLOOKUP($A34,Sheet1!$A:$AA,MATCH(L$1,Sheet1!$A$1:$AA$1,0),FALSE)=0,"",VLOOKUP($A34,Sheet1!$A:$AA,MATCH(L$1,Sheet1!$A$1:$AA$1,0),FALSE))</f>
        <v/>
      </c>
      <c r="M34" t="str">
        <f>IF(VLOOKUP($A34,Sheet1!$A:$AA,MATCH(M$1,Sheet1!$A$1:$AA$1,0),FALSE)=0,"",VLOOKUP($A34,Sheet1!$A:$AA,MATCH(M$1,Sheet1!$A$1:$AA$1,0),FALSE))</f>
        <v/>
      </c>
      <c r="N34" t="str">
        <f>IF(VLOOKUP($A34,Sheet1!$A:$AA,MATCH(N$1,Sheet1!$A$1:$AA$1,0),FALSE)=0,"",VLOOKUP($A34,Sheet1!$A:$AA,MATCH(N$1,Sheet1!$A$1:$AA$1,0),FALSE))</f>
        <v/>
      </c>
      <c r="O34" t="str">
        <f>IF(VLOOKUP($A34,Sheet1!$A:$AA,MATCH(O$1,Sheet1!$A$1:$AA$1,0),FALSE)=0,"",VLOOKUP($A34,Sheet1!$A:$AA,MATCH(O$1,Sheet1!$A$1:$AA$1,0),FALSE))</f>
        <v/>
      </c>
      <c r="P34" t="str">
        <f>IF(VLOOKUP($A34,Sheet1!$A:$AA,MATCH(P$1,Sheet1!$A$1:$AA$1,0),FALSE)=0,"",VLOOKUP($A34,Sheet1!$A:$AA,MATCH(P$1,Sheet1!$A$1:$AA$1,0),FALSE))</f>
        <v/>
      </c>
      <c r="Q34" t="str">
        <f>IF(VLOOKUP($A34,Sheet1!$A:$AA,MATCH(Q$1,Sheet1!$A$1:$AA$1,0),FALSE)=0,"",VLOOKUP($A34,Sheet1!$A:$AA,MATCH(Q$1,Sheet1!$A$1:$AA$1,0),FALSE))</f>
        <v>M</v>
      </c>
      <c r="R34" s="2">
        <f>IF(VLOOKUP($A34,Sheet1!$A:$AA,MATCH(R$1,Sheet1!$A$1:$AA$1,0),FALSE)=0,"",VLOOKUP($A34,Sheet1!$A:$AA,MATCH(R$1,Sheet1!$A$1:$AA$1,0),FALSE))</f>
        <v>35607</v>
      </c>
      <c r="AA34">
        <f ca="1">IF(VLOOKUP($A34,Sheet1!$A:$AA,MATCH(AA$1,Sheet1!$A$1:$AA$1,0),FALSE)=0,"",VLOOKUP($A34,Sheet1!$A:$AA,MATCH(AA$1,Sheet1!$A$1:$AA$1,0),FALSE))</f>
        <v>28</v>
      </c>
    </row>
    <row r="35" spans="1:27" x14ac:dyDescent="0.25">
      <c r="A35">
        <v>16952906</v>
      </c>
      <c r="B35" t="str">
        <f>IF(VLOOKUP($A35,Sheet1!$A:$AA,MATCH(B$1,Sheet1!$A$1:$AA$1,0),FALSE)=0,"",VLOOKUP($A35,Sheet1!$A:$AA,MATCH(B$1,Sheet1!$A$1:$AA$1,0),FALSE))</f>
        <v>BLANCO ASSANELLI, VANESA NOELIA</v>
      </c>
      <c r="C35" t="str">
        <f>IF(VLOOKUP($A35,Sheet1!$A:$AA,MATCH(C$1,Sheet1!$A$1:$AA$1,0),FALSE)=0,"",VLOOKUP($A35,Sheet1!$A:$AA,MATCH(C$1,Sheet1!$A$1:$AA$1,0),FALSE))</f>
        <v>BLANCO ASSANELLI</v>
      </c>
      <c r="D35" t="str">
        <f>IF(VLOOKUP($A35,Sheet1!$A:$AA,MATCH(D$1,Sheet1!$A$1:$AA$1,0),FALSE)=0,"",VLOOKUP($A35,Sheet1!$A:$AA,MATCH(D$1,Sheet1!$A$1:$AA$1,0),FALSE))</f>
        <v>VANESA NOELIA</v>
      </c>
      <c r="E35" t="str">
        <f>IF(VLOOKUP($A35,Sheet1!$A:$AA,MATCH(E$1,Sheet1!$A$1:$AA$1,0),FALSE)=0,"",VLOOKUP($A35,Sheet1!$A:$AA,MATCH(E$1,Sheet1!$A$1:$AA$1,0),FALSE))</f>
        <v/>
      </c>
      <c r="F35" t="str">
        <f>IF(VLOOKUP($A35,Sheet1!$A:$AA,MATCH(F$1,Sheet1!$A$1:$AA$1,0),FALSE)=0,"",VLOOKUP($A35,Sheet1!$A:$AA,MATCH(F$1,Sheet1!$A$1:$AA$1,0),FALSE))</f>
        <v/>
      </c>
      <c r="G35" t="str">
        <f>IF(VLOOKUP($A35,Sheet1!$A:$AA,MATCH(G$1,Sheet1!$A$1:$AA$1,0),FALSE)=0,"",VLOOKUP($A35,Sheet1!$A:$AA,MATCH(G$1,Sheet1!$A$1:$AA$1,0),FALSE))</f>
        <v/>
      </c>
      <c r="H35" t="str">
        <f>IF(VLOOKUP($A35,Sheet1!$A:$AA,MATCH(H$1,Sheet1!$A$1:$AA$1,0),FALSE)=0,"",VLOOKUP($A35,Sheet1!$A:$AA,MATCH(H$1,Sheet1!$A$1:$AA$1,0),FALSE))</f>
        <v/>
      </c>
      <c r="I35" t="str">
        <f>IF(VLOOKUP($A35,Sheet1!$A:$AA,MATCH(I$1,Sheet1!$A$1:$AA$1,0),FALSE)=0,"",VLOOKUP($A35,Sheet1!$A:$AA,MATCH(I$1,Sheet1!$A$1:$AA$1,0),FALSE))</f>
        <v/>
      </c>
      <c r="J35" t="str">
        <f>IF(VLOOKUP($A35,Sheet1!$A:$AA,MATCH(J$1,Sheet1!$A$1:$AA$1,0),FALSE)=0,"",VLOOKUP($A35,Sheet1!$A:$AA,MATCH(J$1,Sheet1!$A$1:$AA$1,0),FALSE))</f>
        <v/>
      </c>
      <c r="K35" t="str">
        <f>IF(VLOOKUP($A35,Sheet1!$A:$AA,MATCH(K$1,Sheet1!$A$1:$AA$1,0),FALSE)=0,"",VLOOKUP($A35,Sheet1!$A:$AA,MATCH(K$1,Sheet1!$A$1:$AA$1,0),FALSE))</f>
        <v>ANDALUZA</v>
      </c>
      <c r="L35" t="str">
        <f>IF(VLOOKUP($A35,Sheet1!$A:$AA,MATCH(L$1,Sheet1!$A$1:$AA$1,0),FALSE)=0,"",VLOOKUP($A35,Sheet1!$A:$AA,MATCH(L$1,Sheet1!$A$1:$AA$1,0),FALSE))</f>
        <v/>
      </c>
      <c r="M35" t="str">
        <f>IF(VLOOKUP($A35,Sheet1!$A:$AA,MATCH(M$1,Sheet1!$A$1:$AA$1,0),FALSE)=0,"",VLOOKUP($A35,Sheet1!$A:$AA,MATCH(M$1,Sheet1!$A$1:$AA$1,0),FALSE))</f>
        <v/>
      </c>
      <c r="N35" t="str">
        <f>IF(VLOOKUP($A35,Sheet1!$A:$AA,MATCH(N$1,Sheet1!$A$1:$AA$1,0),FALSE)=0,"",VLOOKUP($A35,Sheet1!$A:$AA,MATCH(N$1,Sheet1!$A$1:$AA$1,0),FALSE))</f>
        <v/>
      </c>
      <c r="O35" t="str">
        <f>IF(VLOOKUP($A35,Sheet1!$A:$AA,MATCH(O$1,Sheet1!$A$1:$AA$1,0),FALSE)=0,"",VLOOKUP($A35,Sheet1!$A:$AA,MATCH(O$1,Sheet1!$A$1:$AA$1,0),FALSE))</f>
        <v/>
      </c>
      <c r="P35" t="str">
        <f>IF(VLOOKUP($A35,Sheet1!$A:$AA,MATCH(P$1,Sheet1!$A$1:$AA$1,0),FALSE)=0,"",VLOOKUP($A35,Sheet1!$A:$AA,MATCH(P$1,Sheet1!$A$1:$AA$1,0),FALSE))</f>
        <v/>
      </c>
      <c r="Q35" t="str">
        <f>IF(VLOOKUP($A35,Sheet1!$A:$AA,MATCH(Q$1,Sheet1!$A$1:$AA$1,0),FALSE)=0,"",VLOOKUP($A35,Sheet1!$A:$AA,MATCH(Q$1,Sheet1!$A$1:$AA$1,0),FALSE))</f>
        <v>F</v>
      </c>
      <c r="R35" s="2">
        <f>IF(VLOOKUP($A35,Sheet1!$A:$AA,MATCH(R$1,Sheet1!$A$1:$AA$1,0),FALSE)=0,"",VLOOKUP($A35,Sheet1!$A:$AA,MATCH(R$1,Sheet1!$A$1:$AA$1,0),FALSE))</f>
        <v>27996</v>
      </c>
      <c r="AA35">
        <f ca="1">IF(VLOOKUP($A35,Sheet1!$A:$AA,MATCH(AA$1,Sheet1!$A$1:$AA$1,0),FALSE)=0,"",VLOOKUP($A35,Sheet1!$A:$AA,MATCH(AA$1,Sheet1!$A$1:$AA$1,0),FALSE))</f>
        <v>49</v>
      </c>
    </row>
    <row r="36" spans="1:27" x14ac:dyDescent="0.25">
      <c r="A36">
        <v>16952914</v>
      </c>
      <c r="B36" t="str">
        <f>IF(VLOOKUP($A36,Sheet1!$A:$AA,MATCH(B$1,Sheet1!$A$1:$AA$1,0),FALSE)=0,"",VLOOKUP($A36,Sheet1!$A:$AA,MATCH(B$1,Sheet1!$A$1:$AA$1,0),FALSE))</f>
        <v>APARICIO VELASCO, JOSE MARIA</v>
      </c>
      <c r="C36" t="str">
        <f>IF(VLOOKUP($A36,Sheet1!$A:$AA,MATCH(C$1,Sheet1!$A$1:$AA$1,0),FALSE)=0,"",VLOOKUP($A36,Sheet1!$A:$AA,MATCH(C$1,Sheet1!$A$1:$AA$1,0),FALSE))</f>
        <v>APARICIO VELASCO</v>
      </c>
      <c r="D36" t="str">
        <f>IF(VLOOKUP($A36,Sheet1!$A:$AA,MATCH(D$1,Sheet1!$A$1:$AA$1,0),FALSE)=0,"",VLOOKUP($A36,Sheet1!$A:$AA,MATCH(D$1,Sheet1!$A$1:$AA$1,0),FALSE))</f>
        <v>JOSE MARIA</v>
      </c>
      <c r="E36" t="str">
        <f>IF(VLOOKUP($A36,Sheet1!$A:$AA,MATCH(E$1,Sheet1!$A$1:$AA$1,0),FALSE)=0,"",VLOOKUP($A36,Sheet1!$A:$AA,MATCH(E$1,Sheet1!$A$1:$AA$1,0),FALSE))</f>
        <v/>
      </c>
      <c r="F36" t="str">
        <f>IF(VLOOKUP($A36,Sheet1!$A:$AA,MATCH(F$1,Sheet1!$A$1:$AA$1,0),FALSE)=0,"",VLOOKUP($A36,Sheet1!$A:$AA,MATCH(F$1,Sheet1!$A$1:$AA$1,0),FALSE))</f>
        <v/>
      </c>
      <c r="G36" t="str">
        <f>IF(VLOOKUP($A36,Sheet1!$A:$AA,MATCH(G$1,Sheet1!$A$1:$AA$1,0),FALSE)=0,"",VLOOKUP($A36,Sheet1!$A:$AA,MATCH(G$1,Sheet1!$A$1:$AA$1,0),FALSE))</f>
        <v/>
      </c>
      <c r="H36" t="str">
        <f>IF(VLOOKUP($A36,Sheet1!$A:$AA,MATCH(H$1,Sheet1!$A$1:$AA$1,0),FALSE)=0,"",VLOOKUP($A36,Sheet1!$A:$AA,MATCH(H$1,Sheet1!$A$1:$AA$1,0),FALSE))</f>
        <v/>
      </c>
      <c r="I36" t="str">
        <f>IF(VLOOKUP($A36,Sheet1!$A:$AA,MATCH(I$1,Sheet1!$A$1:$AA$1,0),FALSE)=0,"",VLOOKUP($A36,Sheet1!$A:$AA,MATCH(I$1,Sheet1!$A$1:$AA$1,0),FALSE))</f>
        <v/>
      </c>
      <c r="J36" t="str">
        <f>IF(VLOOKUP($A36,Sheet1!$A:$AA,MATCH(J$1,Sheet1!$A$1:$AA$1,0),FALSE)=0,"",VLOOKUP($A36,Sheet1!$A:$AA,MATCH(J$1,Sheet1!$A$1:$AA$1,0),FALSE))</f>
        <v/>
      </c>
      <c r="K36" t="str">
        <f>IF(VLOOKUP($A36,Sheet1!$A:$AA,MATCH(K$1,Sheet1!$A$1:$AA$1,0),FALSE)=0,"",VLOOKUP($A36,Sheet1!$A:$AA,MATCH(K$1,Sheet1!$A$1:$AA$1,0),FALSE))</f>
        <v>ANDALUZA</v>
      </c>
      <c r="L36" t="str">
        <f>IF(VLOOKUP($A36,Sheet1!$A:$AA,MATCH(L$1,Sheet1!$A$1:$AA$1,0),FALSE)=0,"",VLOOKUP($A36,Sheet1!$A:$AA,MATCH(L$1,Sheet1!$A$1:$AA$1,0),FALSE))</f>
        <v/>
      </c>
      <c r="M36" t="str">
        <f>IF(VLOOKUP($A36,Sheet1!$A:$AA,MATCH(M$1,Sheet1!$A$1:$AA$1,0),FALSE)=0,"",VLOOKUP($A36,Sheet1!$A:$AA,MATCH(M$1,Sheet1!$A$1:$AA$1,0),FALSE))</f>
        <v/>
      </c>
      <c r="N36" t="str">
        <f>IF(VLOOKUP($A36,Sheet1!$A:$AA,MATCH(N$1,Sheet1!$A$1:$AA$1,0),FALSE)=0,"",VLOOKUP($A36,Sheet1!$A:$AA,MATCH(N$1,Sheet1!$A$1:$AA$1,0),FALSE))</f>
        <v/>
      </c>
      <c r="O36" t="str">
        <f>IF(VLOOKUP($A36,Sheet1!$A:$AA,MATCH(O$1,Sheet1!$A$1:$AA$1,0),FALSE)=0,"",VLOOKUP($A36,Sheet1!$A:$AA,MATCH(O$1,Sheet1!$A$1:$AA$1,0),FALSE))</f>
        <v/>
      </c>
      <c r="P36" t="str">
        <f>IF(VLOOKUP($A36,Sheet1!$A:$AA,MATCH(P$1,Sheet1!$A$1:$AA$1,0),FALSE)=0,"",VLOOKUP($A36,Sheet1!$A:$AA,MATCH(P$1,Sheet1!$A$1:$AA$1,0),FALSE))</f>
        <v/>
      </c>
      <c r="Q36" t="str">
        <f>IF(VLOOKUP($A36,Sheet1!$A:$AA,MATCH(Q$1,Sheet1!$A$1:$AA$1,0),FALSE)=0,"",VLOOKUP($A36,Sheet1!$A:$AA,MATCH(Q$1,Sheet1!$A$1:$AA$1,0),FALSE))</f>
        <v>M</v>
      </c>
      <c r="R36" s="2">
        <f>IF(VLOOKUP($A36,Sheet1!$A:$AA,MATCH(R$1,Sheet1!$A$1:$AA$1,0),FALSE)=0,"",VLOOKUP($A36,Sheet1!$A:$AA,MATCH(R$1,Sheet1!$A$1:$AA$1,0),FALSE))</f>
        <v>27524</v>
      </c>
      <c r="AA36">
        <f ca="1">IF(VLOOKUP($A36,Sheet1!$A:$AA,MATCH(AA$1,Sheet1!$A$1:$AA$1,0),FALSE)=0,"",VLOOKUP($A36,Sheet1!$A:$AA,MATCH(AA$1,Sheet1!$A$1:$AA$1,0),FALSE))</f>
        <v>50</v>
      </c>
    </row>
    <row r="37" spans="1:27" x14ac:dyDescent="0.25">
      <c r="A37">
        <v>16952964</v>
      </c>
      <c r="B37" t="str">
        <f>IF(VLOOKUP($A37,Sheet1!$A:$AA,MATCH(B$1,Sheet1!$A$1:$AA$1,0),FALSE)=0,"",VLOOKUP($A37,Sheet1!$A:$AA,MATCH(B$1,Sheet1!$A$1:$AA$1,0),FALSE))</f>
        <v>GARCIA PIñERO, MARIA BEGOñA</v>
      </c>
      <c r="C37" t="str">
        <f>IF(VLOOKUP($A37,Sheet1!$A:$AA,MATCH(C$1,Sheet1!$A$1:$AA$1,0),FALSE)=0,"",VLOOKUP($A37,Sheet1!$A:$AA,MATCH(C$1,Sheet1!$A$1:$AA$1,0),FALSE))</f>
        <v>GARCIA PIñERO</v>
      </c>
      <c r="D37" t="str">
        <f>IF(VLOOKUP($A37,Sheet1!$A:$AA,MATCH(D$1,Sheet1!$A$1:$AA$1,0),FALSE)=0,"",VLOOKUP($A37,Sheet1!$A:$AA,MATCH(D$1,Sheet1!$A$1:$AA$1,0),FALSE))</f>
        <v>MARIA BEGOñA</v>
      </c>
      <c r="E37" t="str">
        <f>IF(VLOOKUP($A37,Sheet1!$A:$AA,MATCH(E$1,Sheet1!$A$1:$AA$1,0),FALSE)=0,"",VLOOKUP($A37,Sheet1!$A:$AA,MATCH(E$1,Sheet1!$A$1:$AA$1,0),FALSE))</f>
        <v/>
      </c>
      <c r="F37" t="str">
        <f>IF(VLOOKUP($A37,Sheet1!$A:$AA,MATCH(F$1,Sheet1!$A$1:$AA$1,0),FALSE)=0,"",VLOOKUP($A37,Sheet1!$A:$AA,MATCH(F$1,Sheet1!$A$1:$AA$1,0),FALSE))</f>
        <v/>
      </c>
      <c r="G37" t="str">
        <f>IF(VLOOKUP($A37,Sheet1!$A:$AA,MATCH(G$1,Sheet1!$A$1:$AA$1,0),FALSE)=0,"",VLOOKUP($A37,Sheet1!$A:$AA,MATCH(G$1,Sheet1!$A$1:$AA$1,0),FALSE))</f>
        <v/>
      </c>
      <c r="H37" t="str">
        <f>IF(VLOOKUP($A37,Sheet1!$A:$AA,MATCH(H$1,Sheet1!$A$1:$AA$1,0),FALSE)=0,"",VLOOKUP($A37,Sheet1!$A:$AA,MATCH(H$1,Sheet1!$A$1:$AA$1,0),FALSE))</f>
        <v/>
      </c>
      <c r="I37" t="str">
        <f>IF(VLOOKUP($A37,Sheet1!$A:$AA,MATCH(I$1,Sheet1!$A$1:$AA$1,0),FALSE)=0,"",VLOOKUP($A37,Sheet1!$A:$AA,MATCH(I$1,Sheet1!$A$1:$AA$1,0),FALSE))</f>
        <v/>
      </c>
      <c r="J37" t="str">
        <f>IF(VLOOKUP($A37,Sheet1!$A:$AA,MATCH(J$1,Sheet1!$A$1:$AA$1,0),FALSE)=0,"",VLOOKUP($A37,Sheet1!$A:$AA,MATCH(J$1,Sheet1!$A$1:$AA$1,0),FALSE))</f>
        <v/>
      </c>
      <c r="K37" t="str">
        <f>IF(VLOOKUP($A37,Sheet1!$A:$AA,MATCH(K$1,Sheet1!$A$1:$AA$1,0),FALSE)=0,"",VLOOKUP($A37,Sheet1!$A:$AA,MATCH(K$1,Sheet1!$A$1:$AA$1,0),FALSE))</f>
        <v>ANDALUZA</v>
      </c>
      <c r="L37" t="str">
        <f>IF(VLOOKUP($A37,Sheet1!$A:$AA,MATCH(L$1,Sheet1!$A$1:$AA$1,0),FALSE)=0,"",VLOOKUP($A37,Sheet1!$A:$AA,MATCH(L$1,Sheet1!$A$1:$AA$1,0),FALSE))</f>
        <v/>
      </c>
      <c r="M37" t="str">
        <f>IF(VLOOKUP($A37,Sheet1!$A:$AA,MATCH(M$1,Sheet1!$A$1:$AA$1,0),FALSE)=0,"",VLOOKUP($A37,Sheet1!$A:$AA,MATCH(M$1,Sheet1!$A$1:$AA$1,0),FALSE))</f>
        <v/>
      </c>
      <c r="N37" t="str">
        <f>IF(VLOOKUP($A37,Sheet1!$A:$AA,MATCH(N$1,Sheet1!$A$1:$AA$1,0),FALSE)=0,"",VLOOKUP($A37,Sheet1!$A:$AA,MATCH(N$1,Sheet1!$A$1:$AA$1,0),FALSE))</f>
        <v/>
      </c>
      <c r="O37" t="str">
        <f>IF(VLOOKUP($A37,Sheet1!$A:$AA,MATCH(O$1,Sheet1!$A$1:$AA$1,0),FALSE)=0,"",VLOOKUP($A37,Sheet1!$A:$AA,MATCH(O$1,Sheet1!$A$1:$AA$1,0),FALSE))</f>
        <v/>
      </c>
      <c r="P37" t="str">
        <f>IF(VLOOKUP($A37,Sheet1!$A:$AA,MATCH(P$1,Sheet1!$A$1:$AA$1,0),FALSE)=0,"",VLOOKUP($A37,Sheet1!$A:$AA,MATCH(P$1,Sheet1!$A$1:$AA$1,0),FALSE))</f>
        <v/>
      </c>
      <c r="Q37" t="str">
        <f>IF(VLOOKUP($A37,Sheet1!$A:$AA,MATCH(Q$1,Sheet1!$A$1:$AA$1,0),FALSE)=0,"",VLOOKUP($A37,Sheet1!$A:$AA,MATCH(Q$1,Sheet1!$A$1:$AA$1,0),FALSE))</f>
        <v>F</v>
      </c>
      <c r="R37" s="2">
        <f>IF(VLOOKUP($A37,Sheet1!$A:$AA,MATCH(R$1,Sheet1!$A$1:$AA$1,0),FALSE)=0,"",VLOOKUP($A37,Sheet1!$A:$AA,MATCH(R$1,Sheet1!$A$1:$AA$1,0),FALSE))</f>
        <v>27820</v>
      </c>
      <c r="AA37">
        <f ca="1">IF(VLOOKUP($A37,Sheet1!$A:$AA,MATCH(AA$1,Sheet1!$A$1:$AA$1,0),FALSE)=0,"",VLOOKUP($A37,Sheet1!$A:$AA,MATCH(AA$1,Sheet1!$A$1:$AA$1,0),FALSE))</f>
        <v>49</v>
      </c>
    </row>
    <row r="38" spans="1:27" x14ac:dyDescent="0.25">
      <c r="A38">
        <v>16952980</v>
      </c>
      <c r="B38" t="str">
        <f>IF(VLOOKUP($A38,Sheet1!$A:$AA,MATCH(B$1,Sheet1!$A$1:$AA$1,0),FALSE)=0,"",VLOOKUP($A38,Sheet1!$A:$AA,MATCH(B$1,Sheet1!$A$1:$AA$1,0),FALSE))</f>
        <v>Arias, Ramon Arias</v>
      </c>
      <c r="C38" t="str">
        <f>IF(VLOOKUP($A38,Sheet1!$A:$AA,MATCH(C$1,Sheet1!$A$1:$AA$1,0),FALSE)=0,"",VLOOKUP($A38,Sheet1!$A:$AA,MATCH(C$1,Sheet1!$A$1:$AA$1,0),FALSE))</f>
        <v>Arias</v>
      </c>
      <c r="D38" t="str">
        <f>IF(VLOOKUP($A38,Sheet1!$A:$AA,MATCH(D$1,Sheet1!$A$1:$AA$1,0),FALSE)=0,"",VLOOKUP($A38,Sheet1!$A:$AA,MATCH(D$1,Sheet1!$A$1:$AA$1,0),FALSE))</f>
        <v>Ramon Arias</v>
      </c>
      <c r="E38" t="str">
        <f>IF(VLOOKUP($A38,Sheet1!$A:$AA,MATCH(E$1,Sheet1!$A$1:$AA$1,0),FALSE)=0,"",VLOOKUP($A38,Sheet1!$A:$AA,MATCH(E$1,Sheet1!$A$1:$AA$1,0),FALSE))</f>
        <v/>
      </c>
      <c r="F38" t="str">
        <f>IF(VLOOKUP($A38,Sheet1!$A:$AA,MATCH(F$1,Sheet1!$A$1:$AA$1,0),FALSE)=0,"",VLOOKUP($A38,Sheet1!$A:$AA,MATCH(F$1,Sheet1!$A$1:$AA$1,0),FALSE))</f>
        <v/>
      </c>
      <c r="G38" t="str">
        <f>IF(VLOOKUP($A38,Sheet1!$A:$AA,MATCH(G$1,Sheet1!$A$1:$AA$1,0),FALSE)=0,"",VLOOKUP($A38,Sheet1!$A:$AA,MATCH(G$1,Sheet1!$A$1:$AA$1,0),FALSE))</f>
        <v/>
      </c>
      <c r="H38" t="str">
        <f>IF(VLOOKUP($A38,Sheet1!$A:$AA,MATCH(H$1,Sheet1!$A$1:$AA$1,0),FALSE)=0,"",VLOOKUP($A38,Sheet1!$A:$AA,MATCH(H$1,Sheet1!$A$1:$AA$1,0),FALSE))</f>
        <v/>
      </c>
      <c r="I38" t="str">
        <f>IF(VLOOKUP($A38,Sheet1!$A:$AA,MATCH(I$1,Sheet1!$A$1:$AA$1,0),FALSE)=0,"",VLOOKUP($A38,Sheet1!$A:$AA,MATCH(I$1,Sheet1!$A$1:$AA$1,0),FALSE))</f>
        <v/>
      </c>
      <c r="J38" t="str">
        <f>IF(VLOOKUP($A38,Sheet1!$A:$AA,MATCH(J$1,Sheet1!$A$1:$AA$1,0),FALSE)=0,"",VLOOKUP($A38,Sheet1!$A:$AA,MATCH(J$1,Sheet1!$A$1:$AA$1,0),FALSE))</f>
        <v/>
      </c>
      <c r="K38" t="str">
        <f>IF(VLOOKUP($A38,Sheet1!$A:$AA,MATCH(K$1,Sheet1!$A$1:$AA$1,0),FALSE)=0,"",VLOOKUP($A38,Sheet1!$A:$AA,MATCH(K$1,Sheet1!$A$1:$AA$1,0),FALSE))</f>
        <v>ANDALUZA</v>
      </c>
      <c r="L38" t="str">
        <f>IF(VLOOKUP($A38,Sheet1!$A:$AA,MATCH(L$1,Sheet1!$A$1:$AA$1,0),FALSE)=0,"",VLOOKUP($A38,Sheet1!$A:$AA,MATCH(L$1,Sheet1!$A$1:$AA$1,0),FALSE))</f>
        <v/>
      </c>
      <c r="M38" t="str">
        <f>IF(VLOOKUP($A38,Sheet1!$A:$AA,MATCH(M$1,Sheet1!$A$1:$AA$1,0),FALSE)=0,"",VLOOKUP($A38,Sheet1!$A:$AA,MATCH(M$1,Sheet1!$A$1:$AA$1,0),FALSE))</f>
        <v/>
      </c>
      <c r="N38" t="str">
        <f>IF(VLOOKUP($A38,Sheet1!$A:$AA,MATCH(N$1,Sheet1!$A$1:$AA$1,0),FALSE)=0,"",VLOOKUP($A38,Sheet1!$A:$AA,MATCH(N$1,Sheet1!$A$1:$AA$1,0),FALSE))</f>
        <v/>
      </c>
      <c r="O38" t="str">
        <f>IF(VLOOKUP($A38,Sheet1!$A:$AA,MATCH(O$1,Sheet1!$A$1:$AA$1,0),FALSE)=0,"",VLOOKUP($A38,Sheet1!$A:$AA,MATCH(O$1,Sheet1!$A$1:$AA$1,0),FALSE))</f>
        <v/>
      </c>
      <c r="P38" t="str">
        <f>IF(VLOOKUP($A38,Sheet1!$A:$AA,MATCH(P$1,Sheet1!$A$1:$AA$1,0),FALSE)=0,"",VLOOKUP($A38,Sheet1!$A:$AA,MATCH(P$1,Sheet1!$A$1:$AA$1,0),FALSE))</f>
        <v/>
      </c>
      <c r="Q38" t="str">
        <f>IF(VLOOKUP($A38,Sheet1!$A:$AA,MATCH(Q$1,Sheet1!$A$1:$AA$1,0),FALSE)=0,"",VLOOKUP($A38,Sheet1!$A:$AA,MATCH(Q$1,Sheet1!$A$1:$AA$1,0),FALSE))</f>
        <v>M</v>
      </c>
      <c r="R38" s="2">
        <f>IF(VLOOKUP($A38,Sheet1!$A:$AA,MATCH(R$1,Sheet1!$A$1:$AA$1,0),FALSE)=0,"",VLOOKUP($A38,Sheet1!$A:$AA,MATCH(R$1,Sheet1!$A$1:$AA$1,0),FALSE))</f>
        <v>37257</v>
      </c>
      <c r="AA38">
        <f ca="1">IF(VLOOKUP($A38,Sheet1!$A:$AA,MATCH(AA$1,Sheet1!$A$1:$AA$1,0),FALSE)=0,"",VLOOKUP($A38,Sheet1!$A:$AA,MATCH(AA$1,Sheet1!$A$1:$AA$1,0),FALSE))</f>
        <v>23</v>
      </c>
    </row>
    <row r="39" spans="1:27" x14ac:dyDescent="0.25">
      <c r="A39">
        <v>16953045</v>
      </c>
      <c r="B39" t="str">
        <f>IF(VLOOKUP($A39,Sheet1!$A:$AA,MATCH(B$1,Sheet1!$A$1:$AA$1,0),FALSE)=0,"",VLOOKUP($A39,Sheet1!$A:$AA,MATCH(B$1,Sheet1!$A$1:$AA$1,0),FALSE))</f>
        <v>VARO MARTíNEZ, VANESSA</v>
      </c>
      <c r="C39" t="str">
        <f>IF(VLOOKUP($A39,Sheet1!$A:$AA,MATCH(C$1,Sheet1!$A$1:$AA$1,0),FALSE)=0,"",VLOOKUP($A39,Sheet1!$A:$AA,MATCH(C$1,Sheet1!$A$1:$AA$1,0),FALSE))</f>
        <v>VARO MARTíNEZ</v>
      </c>
      <c r="D39" t="str">
        <f>IF(VLOOKUP($A39,Sheet1!$A:$AA,MATCH(D$1,Sheet1!$A$1:$AA$1,0),FALSE)=0,"",VLOOKUP($A39,Sheet1!$A:$AA,MATCH(D$1,Sheet1!$A$1:$AA$1,0),FALSE))</f>
        <v>VANESSA</v>
      </c>
      <c r="E39" t="str">
        <f>IF(VLOOKUP($A39,Sheet1!$A:$AA,MATCH(E$1,Sheet1!$A$1:$AA$1,0),FALSE)=0,"",VLOOKUP($A39,Sheet1!$A:$AA,MATCH(E$1,Sheet1!$A$1:$AA$1,0),FALSE))</f>
        <v/>
      </c>
      <c r="F39" t="str">
        <f>IF(VLOOKUP($A39,Sheet1!$A:$AA,MATCH(F$1,Sheet1!$A$1:$AA$1,0),FALSE)=0,"",VLOOKUP($A39,Sheet1!$A:$AA,MATCH(F$1,Sheet1!$A$1:$AA$1,0),FALSE))</f>
        <v/>
      </c>
      <c r="G39" t="str">
        <f>IF(VLOOKUP($A39,Sheet1!$A:$AA,MATCH(G$1,Sheet1!$A$1:$AA$1,0),FALSE)=0,"",VLOOKUP($A39,Sheet1!$A:$AA,MATCH(G$1,Sheet1!$A$1:$AA$1,0),FALSE))</f>
        <v/>
      </c>
      <c r="H39" t="str">
        <f>IF(VLOOKUP($A39,Sheet1!$A:$AA,MATCH(H$1,Sheet1!$A$1:$AA$1,0),FALSE)=0,"",VLOOKUP($A39,Sheet1!$A:$AA,MATCH(H$1,Sheet1!$A$1:$AA$1,0),FALSE))</f>
        <v/>
      </c>
      <c r="I39" t="str">
        <f>IF(VLOOKUP($A39,Sheet1!$A:$AA,MATCH(I$1,Sheet1!$A$1:$AA$1,0),FALSE)=0,"",VLOOKUP($A39,Sheet1!$A:$AA,MATCH(I$1,Sheet1!$A$1:$AA$1,0),FALSE))</f>
        <v/>
      </c>
      <c r="J39" t="str">
        <f>IF(VLOOKUP($A39,Sheet1!$A:$AA,MATCH(J$1,Sheet1!$A$1:$AA$1,0),FALSE)=0,"",VLOOKUP($A39,Sheet1!$A:$AA,MATCH(J$1,Sheet1!$A$1:$AA$1,0),FALSE))</f>
        <v/>
      </c>
      <c r="K39" t="str">
        <f>IF(VLOOKUP($A39,Sheet1!$A:$AA,MATCH(K$1,Sheet1!$A$1:$AA$1,0),FALSE)=0,"",VLOOKUP($A39,Sheet1!$A:$AA,MATCH(K$1,Sheet1!$A$1:$AA$1,0),FALSE))</f>
        <v>ANDALUZA</v>
      </c>
      <c r="L39" t="str">
        <f>IF(VLOOKUP($A39,Sheet1!$A:$AA,MATCH(L$1,Sheet1!$A$1:$AA$1,0),FALSE)=0,"",VLOOKUP($A39,Sheet1!$A:$AA,MATCH(L$1,Sheet1!$A$1:$AA$1,0),FALSE))</f>
        <v/>
      </c>
      <c r="M39" t="str">
        <f>IF(VLOOKUP($A39,Sheet1!$A:$AA,MATCH(M$1,Sheet1!$A$1:$AA$1,0),FALSE)=0,"",VLOOKUP($A39,Sheet1!$A:$AA,MATCH(M$1,Sheet1!$A$1:$AA$1,0),FALSE))</f>
        <v/>
      </c>
      <c r="N39" t="str">
        <f>IF(VLOOKUP($A39,Sheet1!$A:$AA,MATCH(N$1,Sheet1!$A$1:$AA$1,0),FALSE)=0,"",VLOOKUP($A39,Sheet1!$A:$AA,MATCH(N$1,Sheet1!$A$1:$AA$1,0),FALSE))</f>
        <v/>
      </c>
      <c r="O39" t="str">
        <f>IF(VLOOKUP($A39,Sheet1!$A:$AA,MATCH(O$1,Sheet1!$A$1:$AA$1,0),FALSE)=0,"",VLOOKUP($A39,Sheet1!$A:$AA,MATCH(O$1,Sheet1!$A$1:$AA$1,0),FALSE))</f>
        <v/>
      </c>
      <c r="P39" t="str">
        <f>IF(VLOOKUP($A39,Sheet1!$A:$AA,MATCH(P$1,Sheet1!$A$1:$AA$1,0),FALSE)=0,"",VLOOKUP($A39,Sheet1!$A:$AA,MATCH(P$1,Sheet1!$A$1:$AA$1,0),FALSE))</f>
        <v/>
      </c>
      <c r="Q39" t="str">
        <f>IF(VLOOKUP($A39,Sheet1!$A:$AA,MATCH(Q$1,Sheet1!$A$1:$AA$1,0),FALSE)=0,"",VLOOKUP($A39,Sheet1!$A:$AA,MATCH(Q$1,Sheet1!$A$1:$AA$1,0),FALSE))</f>
        <v>F</v>
      </c>
      <c r="R39" s="2">
        <f>IF(VLOOKUP($A39,Sheet1!$A:$AA,MATCH(R$1,Sheet1!$A$1:$AA$1,0),FALSE)=0,"",VLOOKUP($A39,Sheet1!$A:$AA,MATCH(R$1,Sheet1!$A$1:$AA$1,0),FALSE))</f>
        <v>30970</v>
      </c>
      <c r="AA39">
        <f ca="1">IF(VLOOKUP($A39,Sheet1!$A:$AA,MATCH(AA$1,Sheet1!$A$1:$AA$1,0),FALSE)=0,"",VLOOKUP($A39,Sheet1!$A:$AA,MATCH(AA$1,Sheet1!$A$1:$AA$1,0),FALSE))</f>
        <v>41</v>
      </c>
    </row>
    <row r="40" spans="1:27" x14ac:dyDescent="0.25">
      <c r="A40">
        <v>16953053</v>
      </c>
      <c r="B40" t="str">
        <f>IF(VLOOKUP($A40,Sheet1!$A:$AA,MATCH(B$1,Sheet1!$A$1:$AA$1,0),FALSE)=0,"",VLOOKUP($A40,Sheet1!$A:$AA,MATCH(B$1,Sheet1!$A$1:$AA$1,0),FALSE))</f>
        <v>BALLESTEROS AGUILAR, RUBéN</v>
      </c>
      <c r="C40" t="str">
        <f>IF(VLOOKUP($A40,Sheet1!$A:$AA,MATCH(C$1,Sheet1!$A$1:$AA$1,0),FALSE)=0,"",VLOOKUP($A40,Sheet1!$A:$AA,MATCH(C$1,Sheet1!$A$1:$AA$1,0),FALSE))</f>
        <v>BALLESTEROS AGUILAR</v>
      </c>
      <c r="D40" t="str">
        <f>IF(VLOOKUP($A40,Sheet1!$A:$AA,MATCH(D$1,Sheet1!$A$1:$AA$1,0),FALSE)=0,"",VLOOKUP($A40,Sheet1!$A:$AA,MATCH(D$1,Sheet1!$A$1:$AA$1,0),FALSE))</f>
        <v>RUBéN</v>
      </c>
      <c r="E40" t="str">
        <f>IF(VLOOKUP($A40,Sheet1!$A:$AA,MATCH(E$1,Sheet1!$A$1:$AA$1,0),FALSE)=0,"",VLOOKUP($A40,Sheet1!$A:$AA,MATCH(E$1,Sheet1!$A$1:$AA$1,0),FALSE))</f>
        <v/>
      </c>
      <c r="F40" t="str">
        <f>IF(VLOOKUP($A40,Sheet1!$A:$AA,MATCH(F$1,Sheet1!$A$1:$AA$1,0),FALSE)=0,"",VLOOKUP($A40,Sheet1!$A:$AA,MATCH(F$1,Sheet1!$A$1:$AA$1,0),FALSE))</f>
        <v/>
      </c>
      <c r="G40" t="str">
        <f>IF(VLOOKUP($A40,Sheet1!$A:$AA,MATCH(G$1,Sheet1!$A$1:$AA$1,0),FALSE)=0,"",VLOOKUP($A40,Sheet1!$A:$AA,MATCH(G$1,Sheet1!$A$1:$AA$1,0),FALSE))</f>
        <v/>
      </c>
      <c r="H40" t="str">
        <f>IF(VLOOKUP($A40,Sheet1!$A:$AA,MATCH(H$1,Sheet1!$A$1:$AA$1,0),FALSE)=0,"",VLOOKUP($A40,Sheet1!$A:$AA,MATCH(H$1,Sheet1!$A$1:$AA$1,0),FALSE))</f>
        <v/>
      </c>
      <c r="I40" t="str">
        <f>IF(VLOOKUP($A40,Sheet1!$A:$AA,MATCH(I$1,Sheet1!$A$1:$AA$1,0),FALSE)=0,"",VLOOKUP($A40,Sheet1!$A:$AA,MATCH(I$1,Sheet1!$A$1:$AA$1,0),FALSE))</f>
        <v/>
      </c>
      <c r="J40" t="str">
        <f>IF(VLOOKUP($A40,Sheet1!$A:$AA,MATCH(J$1,Sheet1!$A$1:$AA$1,0),FALSE)=0,"",VLOOKUP($A40,Sheet1!$A:$AA,MATCH(J$1,Sheet1!$A$1:$AA$1,0),FALSE))</f>
        <v/>
      </c>
      <c r="K40" t="str">
        <f>IF(VLOOKUP($A40,Sheet1!$A:$AA,MATCH(K$1,Sheet1!$A$1:$AA$1,0),FALSE)=0,"",VLOOKUP($A40,Sheet1!$A:$AA,MATCH(K$1,Sheet1!$A$1:$AA$1,0),FALSE))</f>
        <v>ANDALUZA</v>
      </c>
      <c r="L40" t="str">
        <f>IF(VLOOKUP($A40,Sheet1!$A:$AA,MATCH(L$1,Sheet1!$A$1:$AA$1,0),FALSE)=0,"",VLOOKUP($A40,Sheet1!$A:$AA,MATCH(L$1,Sheet1!$A$1:$AA$1,0),FALSE))</f>
        <v/>
      </c>
      <c r="M40" t="str">
        <f>IF(VLOOKUP($A40,Sheet1!$A:$AA,MATCH(M$1,Sheet1!$A$1:$AA$1,0),FALSE)=0,"",VLOOKUP($A40,Sheet1!$A:$AA,MATCH(M$1,Sheet1!$A$1:$AA$1,0),FALSE))</f>
        <v/>
      </c>
      <c r="N40" t="str">
        <f>IF(VLOOKUP($A40,Sheet1!$A:$AA,MATCH(N$1,Sheet1!$A$1:$AA$1,0),FALSE)=0,"",VLOOKUP($A40,Sheet1!$A:$AA,MATCH(N$1,Sheet1!$A$1:$AA$1,0),FALSE))</f>
        <v/>
      </c>
      <c r="O40" t="str">
        <f>IF(VLOOKUP($A40,Sheet1!$A:$AA,MATCH(O$1,Sheet1!$A$1:$AA$1,0),FALSE)=0,"",VLOOKUP($A40,Sheet1!$A:$AA,MATCH(O$1,Sheet1!$A$1:$AA$1,0),FALSE))</f>
        <v/>
      </c>
      <c r="P40" t="str">
        <f>IF(VLOOKUP($A40,Sheet1!$A:$AA,MATCH(P$1,Sheet1!$A$1:$AA$1,0),FALSE)=0,"",VLOOKUP($A40,Sheet1!$A:$AA,MATCH(P$1,Sheet1!$A$1:$AA$1,0),FALSE))</f>
        <v/>
      </c>
      <c r="Q40" t="str">
        <f>IF(VLOOKUP($A40,Sheet1!$A:$AA,MATCH(Q$1,Sheet1!$A$1:$AA$1,0),FALSE)=0,"",VLOOKUP($A40,Sheet1!$A:$AA,MATCH(Q$1,Sheet1!$A$1:$AA$1,0),FALSE))</f>
        <v>M</v>
      </c>
      <c r="R40" s="2">
        <f>IF(VLOOKUP($A40,Sheet1!$A:$AA,MATCH(R$1,Sheet1!$A$1:$AA$1,0),FALSE)=0,"",VLOOKUP($A40,Sheet1!$A:$AA,MATCH(R$1,Sheet1!$A$1:$AA$1,0),FALSE))</f>
        <v>30091</v>
      </c>
      <c r="AA40">
        <f ca="1">IF(VLOOKUP($A40,Sheet1!$A:$AA,MATCH(AA$1,Sheet1!$A$1:$AA$1,0),FALSE)=0,"",VLOOKUP($A40,Sheet1!$A:$AA,MATCH(AA$1,Sheet1!$A$1:$AA$1,0),FALSE))</f>
        <v>43</v>
      </c>
    </row>
    <row r="41" spans="1:27" x14ac:dyDescent="0.25">
      <c r="A41">
        <v>16953061</v>
      </c>
      <c r="B41" t="str">
        <f>IF(VLOOKUP($A41,Sheet1!$A:$AA,MATCH(B$1,Sheet1!$A$1:$AA$1,0),FALSE)=0,"",VLOOKUP($A41,Sheet1!$A:$AA,MATCH(B$1,Sheet1!$A$1:$AA$1,0),FALSE))</f>
        <v>GARCíA DE LA PLAZA GUARDEñO, ANTONIO</v>
      </c>
      <c r="C41" t="str">
        <f>IF(VLOOKUP($A41,Sheet1!$A:$AA,MATCH(C$1,Sheet1!$A$1:$AA$1,0),FALSE)=0,"",VLOOKUP($A41,Sheet1!$A:$AA,MATCH(C$1,Sheet1!$A$1:$AA$1,0),FALSE))</f>
        <v>GARCíA DE LA PLAZA GUARDEñO</v>
      </c>
      <c r="D41" t="str">
        <f>IF(VLOOKUP($A41,Sheet1!$A:$AA,MATCH(D$1,Sheet1!$A$1:$AA$1,0),FALSE)=0,"",VLOOKUP($A41,Sheet1!$A:$AA,MATCH(D$1,Sheet1!$A$1:$AA$1,0),FALSE))</f>
        <v>ANTONIO</v>
      </c>
      <c r="E41" t="str">
        <f>IF(VLOOKUP($A41,Sheet1!$A:$AA,MATCH(E$1,Sheet1!$A$1:$AA$1,0),FALSE)=0,"",VLOOKUP($A41,Sheet1!$A:$AA,MATCH(E$1,Sheet1!$A$1:$AA$1,0),FALSE))</f>
        <v/>
      </c>
      <c r="F41" t="str">
        <f>IF(VLOOKUP($A41,Sheet1!$A:$AA,MATCH(F$1,Sheet1!$A$1:$AA$1,0),FALSE)=0,"",VLOOKUP($A41,Sheet1!$A:$AA,MATCH(F$1,Sheet1!$A$1:$AA$1,0),FALSE))</f>
        <v/>
      </c>
      <c r="G41" t="str">
        <f>IF(VLOOKUP($A41,Sheet1!$A:$AA,MATCH(G$1,Sheet1!$A$1:$AA$1,0),FALSE)=0,"",VLOOKUP($A41,Sheet1!$A:$AA,MATCH(G$1,Sheet1!$A$1:$AA$1,0),FALSE))</f>
        <v/>
      </c>
      <c r="H41" t="str">
        <f>IF(VLOOKUP($A41,Sheet1!$A:$AA,MATCH(H$1,Sheet1!$A$1:$AA$1,0),FALSE)=0,"",VLOOKUP($A41,Sheet1!$A:$AA,MATCH(H$1,Sheet1!$A$1:$AA$1,0),FALSE))</f>
        <v/>
      </c>
      <c r="I41" t="str">
        <f>IF(VLOOKUP($A41,Sheet1!$A:$AA,MATCH(I$1,Sheet1!$A$1:$AA$1,0),FALSE)=0,"",VLOOKUP($A41,Sheet1!$A:$AA,MATCH(I$1,Sheet1!$A$1:$AA$1,0),FALSE))</f>
        <v/>
      </c>
      <c r="J41" t="str">
        <f>IF(VLOOKUP($A41,Sheet1!$A:$AA,MATCH(J$1,Sheet1!$A$1:$AA$1,0),FALSE)=0,"",VLOOKUP($A41,Sheet1!$A:$AA,MATCH(J$1,Sheet1!$A$1:$AA$1,0),FALSE))</f>
        <v/>
      </c>
      <c r="K41" t="str">
        <f>IF(VLOOKUP($A41,Sheet1!$A:$AA,MATCH(K$1,Sheet1!$A$1:$AA$1,0),FALSE)=0,"",VLOOKUP($A41,Sheet1!$A:$AA,MATCH(K$1,Sheet1!$A$1:$AA$1,0),FALSE))</f>
        <v>ANDALUZA</v>
      </c>
      <c r="L41" t="str">
        <f>IF(VLOOKUP($A41,Sheet1!$A:$AA,MATCH(L$1,Sheet1!$A$1:$AA$1,0),FALSE)=0,"",VLOOKUP($A41,Sheet1!$A:$AA,MATCH(L$1,Sheet1!$A$1:$AA$1,0),FALSE))</f>
        <v/>
      </c>
      <c r="M41" t="str">
        <f>IF(VLOOKUP($A41,Sheet1!$A:$AA,MATCH(M$1,Sheet1!$A$1:$AA$1,0),FALSE)=0,"",VLOOKUP($A41,Sheet1!$A:$AA,MATCH(M$1,Sheet1!$A$1:$AA$1,0),FALSE))</f>
        <v/>
      </c>
      <c r="N41" t="str">
        <f>IF(VLOOKUP($A41,Sheet1!$A:$AA,MATCH(N$1,Sheet1!$A$1:$AA$1,0),FALSE)=0,"",VLOOKUP($A41,Sheet1!$A:$AA,MATCH(N$1,Sheet1!$A$1:$AA$1,0),FALSE))</f>
        <v/>
      </c>
      <c r="O41" t="str">
        <f>IF(VLOOKUP($A41,Sheet1!$A:$AA,MATCH(O$1,Sheet1!$A$1:$AA$1,0),FALSE)=0,"",VLOOKUP($A41,Sheet1!$A:$AA,MATCH(O$1,Sheet1!$A$1:$AA$1,0),FALSE))</f>
        <v/>
      </c>
      <c r="P41" t="str">
        <f>IF(VLOOKUP($A41,Sheet1!$A:$AA,MATCH(P$1,Sheet1!$A$1:$AA$1,0),FALSE)=0,"",VLOOKUP($A41,Sheet1!$A:$AA,MATCH(P$1,Sheet1!$A$1:$AA$1,0),FALSE))</f>
        <v/>
      </c>
      <c r="Q41" t="str">
        <f>IF(VLOOKUP($A41,Sheet1!$A:$AA,MATCH(Q$1,Sheet1!$A$1:$AA$1,0),FALSE)=0,"",VLOOKUP($A41,Sheet1!$A:$AA,MATCH(Q$1,Sheet1!$A$1:$AA$1,0),FALSE))</f>
        <v>M</v>
      </c>
      <c r="R41" s="2">
        <f>IF(VLOOKUP($A41,Sheet1!$A:$AA,MATCH(R$1,Sheet1!$A$1:$AA$1,0),FALSE)=0,"",VLOOKUP($A41,Sheet1!$A:$AA,MATCH(R$1,Sheet1!$A$1:$AA$1,0),FALSE))</f>
        <v>25647</v>
      </c>
      <c r="AA41">
        <f ca="1">IF(VLOOKUP($A41,Sheet1!$A:$AA,MATCH(AA$1,Sheet1!$A$1:$AA$1,0),FALSE)=0,"",VLOOKUP($A41,Sheet1!$A:$AA,MATCH(AA$1,Sheet1!$A$1:$AA$1,0),FALSE))</f>
        <v>55</v>
      </c>
    </row>
    <row r="42" spans="1:27" x14ac:dyDescent="0.25">
      <c r="A42">
        <v>16953201</v>
      </c>
      <c r="B42" t="str">
        <f>IF(VLOOKUP($A42,Sheet1!$A:$AA,MATCH(B$1,Sheet1!$A$1:$AA$1,0),FALSE)=0,"",VLOOKUP($A42,Sheet1!$A:$AA,MATCH(B$1,Sheet1!$A$1:$AA$1,0),FALSE))</f>
        <v>ROMERO MEJIAS, AUXI</v>
      </c>
      <c r="C42" t="str">
        <f>IF(VLOOKUP($A42,Sheet1!$A:$AA,MATCH(C$1,Sheet1!$A$1:$AA$1,0),FALSE)=0,"",VLOOKUP($A42,Sheet1!$A:$AA,MATCH(C$1,Sheet1!$A$1:$AA$1,0),FALSE))</f>
        <v>ROMERO MEJIAS</v>
      </c>
      <c r="D42" t="str">
        <f>IF(VLOOKUP($A42,Sheet1!$A:$AA,MATCH(D$1,Sheet1!$A$1:$AA$1,0),FALSE)=0,"",VLOOKUP($A42,Sheet1!$A:$AA,MATCH(D$1,Sheet1!$A$1:$AA$1,0),FALSE))</f>
        <v>AUXI</v>
      </c>
      <c r="E42" t="str">
        <f>IF(VLOOKUP($A42,Sheet1!$A:$AA,MATCH(E$1,Sheet1!$A$1:$AA$1,0),FALSE)=0,"",VLOOKUP($A42,Sheet1!$A:$AA,MATCH(E$1,Sheet1!$A$1:$AA$1,0),FALSE))</f>
        <v/>
      </c>
      <c r="F42" t="str">
        <f>IF(VLOOKUP($A42,Sheet1!$A:$AA,MATCH(F$1,Sheet1!$A$1:$AA$1,0),FALSE)=0,"",VLOOKUP($A42,Sheet1!$A:$AA,MATCH(F$1,Sheet1!$A$1:$AA$1,0),FALSE))</f>
        <v/>
      </c>
      <c r="G42" t="str">
        <f>IF(VLOOKUP($A42,Sheet1!$A:$AA,MATCH(G$1,Sheet1!$A$1:$AA$1,0),FALSE)=0,"",VLOOKUP($A42,Sheet1!$A:$AA,MATCH(G$1,Sheet1!$A$1:$AA$1,0),FALSE))</f>
        <v/>
      </c>
      <c r="H42" t="str">
        <f>IF(VLOOKUP($A42,Sheet1!$A:$AA,MATCH(H$1,Sheet1!$A$1:$AA$1,0),FALSE)=0,"",VLOOKUP($A42,Sheet1!$A:$AA,MATCH(H$1,Sheet1!$A$1:$AA$1,0),FALSE))</f>
        <v/>
      </c>
      <c r="I42" t="str">
        <f>IF(VLOOKUP($A42,Sheet1!$A:$AA,MATCH(I$1,Sheet1!$A$1:$AA$1,0),FALSE)=0,"",VLOOKUP($A42,Sheet1!$A:$AA,MATCH(I$1,Sheet1!$A$1:$AA$1,0),FALSE))</f>
        <v/>
      </c>
      <c r="J42" t="str">
        <f>IF(VLOOKUP($A42,Sheet1!$A:$AA,MATCH(J$1,Sheet1!$A$1:$AA$1,0),FALSE)=0,"",VLOOKUP($A42,Sheet1!$A:$AA,MATCH(J$1,Sheet1!$A$1:$AA$1,0),FALSE))</f>
        <v/>
      </c>
      <c r="K42" t="str">
        <f>IF(VLOOKUP($A42,Sheet1!$A:$AA,MATCH(K$1,Sheet1!$A$1:$AA$1,0),FALSE)=0,"",VLOOKUP($A42,Sheet1!$A:$AA,MATCH(K$1,Sheet1!$A$1:$AA$1,0),FALSE))</f>
        <v>ANDALUZA</v>
      </c>
      <c r="L42" t="str">
        <f>IF(VLOOKUP($A42,Sheet1!$A:$AA,MATCH(L$1,Sheet1!$A$1:$AA$1,0),FALSE)=0,"",VLOOKUP($A42,Sheet1!$A:$AA,MATCH(L$1,Sheet1!$A$1:$AA$1,0),FALSE))</f>
        <v/>
      </c>
      <c r="M42" t="str">
        <f>IF(VLOOKUP($A42,Sheet1!$A:$AA,MATCH(M$1,Sheet1!$A$1:$AA$1,0),FALSE)=0,"",VLOOKUP($A42,Sheet1!$A:$AA,MATCH(M$1,Sheet1!$A$1:$AA$1,0),FALSE))</f>
        <v/>
      </c>
      <c r="N42" t="str">
        <f>IF(VLOOKUP($A42,Sheet1!$A:$AA,MATCH(N$1,Sheet1!$A$1:$AA$1,0),FALSE)=0,"",VLOOKUP($A42,Sheet1!$A:$AA,MATCH(N$1,Sheet1!$A$1:$AA$1,0),FALSE))</f>
        <v/>
      </c>
      <c r="O42" t="str">
        <f>IF(VLOOKUP($A42,Sheet1!$A:$AA,MATCH(O$1,Sheet1!$A$1:$AA$1,0),FALSE)=0,"",VLOOKUP($A42,Sheet1!$A:$AA,MATCH(O$1,Sheet1!$A$1:$AA$1,0),FALSE))</f>
        <v/>
      </c>
      <c r="P42" t="str">
        <f>IF(VLOOKUP($A42,Sheet1!$A:$AA,MATCH(P$1,Sheet1!$A$1:$AA$1,0),FALSE)=0,"",VLOOKUP($A42,Sheet1!$A:$AA,MATCH(P$1,Sheet1!$A$1:$AA$1,0),FALSE))</f>
        <v/>
      </c>
      <c r="Q42" t="str">
        <f>IF(VLOOKUP($A42,Sheet1!$A:$AA,MATCH(Q$1,Sheet1!$A$1:$AA$1,0),FALSE)=0,"",VLOOKUP($A42,Sheet1!$A:$AA,MATCH(Q$1,Sheet1!$A$1:$AA$1,0),FALSE))</f>
        <v>F</v>
      </c>
      <c r="R42" s="2">
        <f>IF(VLOOKUP($A42,Sheet1!$A:$AA,MATCH(R$1,Sheet1!$A$1:$AA$1,0),FALSE)=0,"",VLOOKUP($A42,Sheet1!$A:$AA,MATCH(R$1,Sheet1!$A$1:$AA$1,0),FALSE))</f>
        <v>26442</v>
      </c>
      <c r="AA42">
        <f ca="1">IF(VLOOKUP($A42,Sheet1!$A:$AA,MATCH(AA$1,Sheet1!$A$1:$AA$1,0),FALSE)=0,"",VLOOKUP($A42,Sheet1!$A:$AA,MATCH(AA$1,Sheet1!$A$1:$AA$1,0),FALSE))</f>
        <v>53</v>
      </c>
    </row>
    <row r="43" spans="1:27" x14ac:dyDescent="0.25">
      <c r="A43">
        <v>16953227</v>
      </c>
      <c r="B43" t="str">
        <f>IF(VLOOKUP($A43,Sheet1!$A:$AA,MATCH(B$1,Sheet1!$A$1:$AA$1,0),FALSE)=0,"",VLOOKUP($A43,Sheet1!$A:$AA,MATCH(B$1,Sheet1!$A$1:$AA$1,0),FALSE))</f>
        <v>OLIVER DE TORRES, JESUS</v>
      </c>
      <c r="C43" t="str">
        <f>IF(VLOOKUP($A43,Sheet1!$A:$AA,MATCH(C$1,Sheet1!$A$1:$AA$1,0),FALSE)=0,"",VLOOKUP($A43,Sheet1!$A:$AA,MATCH(C$1,Sheet1!$A$1:$AA$1,0),FALSE))</f>
        <v>OLIVER DE TORRES</v>
      </c>
      <c r="D43" t="str">
        <f>IF(VLOOKUP($A43,Sheet1!$A:$AA,MATCH(D$1,Sheet1!$A$1:$AA$1,0),FALSE)=0,"",VLOOKUP($A43,Sheet1!$A:$AA,MATCH(D$1,Sheet1!$A$1:$AA$1,0),FALSE))</f>
        <v>JESUS</v>
      </c>
      <c r="E43" t="str">
        <f>IF(VLOOKUP($A43,Sheet1!$A:$AA,MATCH(E$1,Sheet1!$A$1:$AA$1,0),FALSE)=0,"",VLOOKUP($A43,Sheet1!$A:$AA,MATCH(E$1,Sheet1!$A$1:$AA$1,0),FALSE))</f>
        <v/>
      </c>
      <c r="F43" t="str">
        <f>IF(VLOOKUP($A43,Sheet1!$A:$AA,MATCH(F$1,Sheet1!$A$1:$AA$1,0),FALSE)=0,"",VLOOKUP($A43,Sheet1!$A:$AA,MATCH(F$1,Sheet1!$A$1:$AA$1,0),FALSE))</f>
        <v/>
      </c>
      <c r="G43" t="str">
        <f>IF(VLOOKUP($A43,Sheet1!$A:$AA,MATCH(G$1,Sheet1!$A$1:$AA$1,0),FALSE)=0,"",VLOOKUP($A43,Sheet1!$A:$AA,MATCH(G$1,Sheet1!$A$1:$AA$1,0),FALSE))</f>
        <v/>
      </c>
      <c r="H43" t="str">
        <f>IF(VLOOKUP($A43,Sheet1!$A:$AA,MATCH(H$1,Sheet1!$A$1:$AA$1,0),FALSE)=0,"",VLOOKUP($A43,Sheet1!$A:$AA,MATCH(H$1,Sheet1!$A$1:$AA$1,0),FALSE))</f>
        <v/>
      </c>
      <c r="I43" t="str">
        <f>IF(VLOOKUP($A43,Sheet1!$A:$AA,MATCH(I$1,Sheet1!$A$1:$AA$1,0),FALSE)=0,"",VLOOKUP($A43,Sheet1!$A:$AA,MATCH(I$1,Sheet1!$A$1:$AA$1,0),FALSE))</f>
        <v/>
      </c>
      <c r="J43" t="str">
        <f>IF(VLOOKUP($A43,Sheet1!$A:$AA,MATCH(J$1,Sheet1!$A$1:$AA$1,0),FALSE)=0,"",VLOOKUP($A43,Sheet1!$A:$AA,MATCH(J$1,Sheet1!$A$1:$AA$1,0),FALSE))</f>
        <v/>
      </c>
      <c r="K43" t="str">
        <f>IF(VLOOKUP($A43,Sheet1!$A:$AA,MATCH(K$1,Sheet1!$A$1:$AA$1,0),FALSE)=0,"",VLOOKUP($A43,Sheet1!$A:$AA,MATCH(K$1,Sheet1!$A$1:$AA$1,0),FALSE))</f>
        <v>ANDALUZA</v>
      </c>
      <c r="L43" t="str">
        <f>IF(VLOOKUP($A43,Sheet1!$A:$AA,MATCH(L$1,Sheet1!$A$1:$AA$1,0),FALSE)=0,"",VLOOKUP($A43,Sheet1!$A:$AA,MATCH(L$1,Sheet1!$A$1:$AA$1,0),FALSE))</f>
        <v/>
      </c>
      <c r="M43" t="str">
        <f>IF(VLOOKUP($A43,Sheet1!$A:$AA,MATCH(M$1,Sheet1!$A$1:$AA$1,0),FALSE)=0,"",VLOOKUP($A43,Sheet1!$A:$AA,MATCH(M$1,Sheet1!$A$1:$AA$1,0),FALSE))</f>
        <v/>
      </c>
      <c r="N43" t="str">
        <f>IF(VLOOKUP($A43,Sheet1!$A:$AA,MATCH(N$1,Sheet1!$A$1:$AA$1,0),FALSE)=0,"",VLOOKUP($A43,Sheet1!$A:$AA,MATCH(N$1,Sheet1!$A$1:$AA$1,0),FALSE))</f>
        <v/>
      </c>
      <c r="O43" t="str">
        <f>IF(VLOOKUP($A43,Sheet1!$A:$AA,MATCH(O$1,Sheet1!$A$1:$AA$1,0),FALSE)=0,"",VLOOKUP($A43,Sheet1!$A:$AA,MATCH(O$1,Sheet1!$A$1:$AA$1,0),FALSE))</f>
        <v/>
      </c>
      <c r="P43" t="str">
        <f>IF(VLOOKUP($A43,Sheet1!$A:$AA,MATCH(P$1,Sheet1!$A$1:$AA$1,0),FALSE)=0,"",VLOOKUP($A43,Sheet1!$A:$AA,MATCH(P$1,Sheet1!$A$1:$AA$1,0),FALSE))</f>
        <v/>
      </c>
      <c r="Q43" t="str">
        <f>IF(VLOOKUP($A43,Sheet1!$A:$AA,MATCH(Q$1,Sheet1!$A$1:$AA$1,0),FALSE)=0,"",VLOOKUP($A43,Sheet1!$A:$AA,MATCH(Q$1,Sheet1!$A$1:$AA$1,0),FALSE))</f>
        <v>M</v>
      </c>
      <c r="R43" s="2">
        <f>IF(VLOOKUP($A43,Sheet1!$A:$AA,MATCH(R$1,Sheet1!$A$1:$AA$1,0),FALSE)=0,"",VLOOKUP($A43,Sheet1!$A:$AA,MATCH(R$1,Sheet1!$A$1:$AA$1,0),FALSE))</f>
        <v>26824</v>
      </c>
      <c r="AA43">
        <f ca="1">IF(VLOOKUP($A43,Sheet1!$A:$AA,MATCH(AA$1,Sheet1!$A$1:$AA$1,0),FALSE)=0,"",VLOOKUP($A43,Sheet1!$A:$AA,MATCH(AA$1,Sheet1!$A$1:$AA$1,0),FALSE))</f>
        <v>52</v>
      </c>
    </row>
    <row r="44" spans="1:27" x14ac:dyDescent="0.25">
      <c r="A44">
        <v>16953235</v>
      </c>
      <c r="B44" t="str">
        <f>IF(VLOOKUP($A44,Sheet1!$A:$AA,MATCH(B$1,Sheet1!$A$1:$AA$1,0),FALSE)=0,"",VLOOKUP($A44,Sheet1!$A:$AA,MATCH(B$1,Sheet1!$A$1:$AA$1,0),FALSE))</f>
        <v>MORALES HERRERA, CARMEN</v>
      </c>
      <c r="C44" t="str">
        <f>IF(VLOOKUP($A44,Sheet1!$A:$AA,MATCH(C$1,Sheet1!$A$1:$AA$1,0),FALSE)=0,"",VLOOKUP($A44,Sheet1!$A:$AA,MATCH(C$1,Sheet1!$A$1:$AA$1,0),FALSE))</f>
        <v>MORALES HERRERA</v>
      </c>
      <c r="D44" t="str">
        <f>IF(VLOOKUP($A44,Sheet1!$A:$AA,MATCH(D$1,Sheet1!$A$1:$AA$1,0),FALSE)=0,"",VLOOKUP($A44,Sheet1!$A:$AA,MATCH(D$1,Sheet1!$A$1:$AA$1,0),FALSE))</f>
        <v>CARMEN</v>
      </c>
      <c r="E44" t="str">
        <f>IF(VLOOKUP($A44,Sheet1!$A:$AA,MATCH(E$1,Sheet1!$A$1:$AA$1,0),FALSE)=0,"",VLOOKUP($A44,Sheet1!$A:$AA,MATCH(E$1,Sheet1!$A$1:$AA$1,0),FALSE))</f>
        <v/>
      </c>
      <c r="F44" t="str">
        <f>IF(VLOOKUP($A44,Sheet1!$A:$AA,MATCH(F$1,Sheet1!$A$1:$AA$1,0),FALSE)=0,"",VLOOKUP($A44,Sheet1!$A:$AA,MATCH(F$1,Sheet1!$A$1:$AA$1,0),FALSE))</f>
        <v/>
      </c>
      <c r="G44" t="str">
        <f>IF(VLOOKUP($A44,Sheet1!$A:$AA,MATCH(G$1,Sheet1!$A$1:$AA$1,0),FALSE)=0,"",VLOOKUP($A44,Sheet1!$A:$AA,MATCH(G$1,Sheet1!$A$1:$AA$1,0),FALSE))</f>
        <v/>
      </c>
      <c r="H44" t="str">
        <f>IF(VLOOKUP($A44,Sheet1!$A:$AA,MATCH(H$1,Sheet1!$A$1:$AA$1,0),FALSE)=0,"",VLOOKUP($A44,Sheet1!$A:$AA,MATCH(H$1,Sheet1!$A$1:$AA$1,0),FALSE))</f>
        <v/>
      </c>
      <c r="I44" t="str">
        <f>IF(VLOOKUP($A44,Sheet1!$A:$AA,MATCH(I$1,Sheet1!$A$1:$AA$1,0),FALSE)=0,"",VLOOKUP($A44,Sheet1!$A:$AA,MATCH(I$1,Sheet1!$A$1:$AA$1,0),FALSE))</f>
        <v/>
      </c>
      <c r="J44" t="str">
        <f>IF(VLOOKUP($A44,Sheet1!$A:$AA,MATCH(J$1,Sheet1!$A$1:$AA$1,0),FALSE)=0,"",VLOOKUP($A44,Sheet1!$A:$AA,MATCH(J$1,Sheet1!$A$1:$AA$1,0),FALSE))</f>
        <v/>
      </c>
      <c r="K44" t="str">
        <f>IF(VLOOKUP($A44,Sheet1!$A:$AA,MATCH(K$1,Sheet1!$A$1:$AA$1,0),FALSE)=0,"",VLOOKUP($A44,Sheet1!$A:$AA,MATCH(K$1,Sheet1!$A$1:$AA$1,0),FALSE))</f>
        <v>ANDALUZA</v>
      </c>
      <c r="L44" t="str">
        <f>IF(VLOOKUP($A44,Sheet1!$A:$AA,MATCH(L$1,Sheet1!$A$1:$AA$1,0),FALSE)=0,"",VLOOKUP($A44,Sheet1!$A:$AA,MATCH(L$1,Sheet1!$A$1:$AA$1,0),FALSE))</f>
        <v/>
      </c>
      <c r="M44" t="str">
        <f>IF(VLOOKUP($A44,Sheet1!$A:$AA,MATCH(M$1,Sheet1!$A$1:$AA$1,0),FALSE)=0,"",VLOOKUP($A44,Sheet1!$A:$AA,MATCH(M$1,Sheet1!$A$1:$AA$1,0),FALSE))</f>
        <v/>
      </c>
      <c r="N44" t="str">
        <f>IF(VLOOKUP($A44,Sheet1!$A:$AA,MATCH(N$1,Sheet1!$A$1:$AA$1,0),FALSE)=0,"",VLOOKUP($A44,Sheet1!$A:$AA,MATCH(N$1,Sheet1!$A$1:$AA$1,0),FALSE))</f>
        <v/>
      </c>
      <c r="O44" t="str">
        <f>IF(VLOOKUP($A44,Sheet1!$A:$AA,MATCH(O$1,Sheet1!$A$1:$AA$1,0),FALSE)=0,"",VLOOKUP($A44,Sheet1!$A:$AA,MATCH(O$1,Sheet1!$A$1:$AA$1,0),FALSE))</f>
        <v/>
      </c>
      <c r="P44" t="str">
        <f>IF(VLOOKUP($A44,Sheet1!$A:$AA,MATCH(P$1,Sheet1!$A$1:$AA$1,0),FALSE)=0,"",VLOOKUP($A44,Sheet1!$A:$AA,MATCH(P$1,Sheet1!$A$1:$AA$1,0),FALSE))</f>
        <v/>
      </c>
      <c r="Q44" t="str">
        <f>IF(VLOOKUP($A44,Sheet1!$A:$AA,MATCH(Q$1,Sheet1!$A$1:$AA$1,0),FALSE)=0,"",VLOOKUP($A44,Sheet1!$A:$AA,MATCH(Q$1,Sheet1!$A$1:$AA$1,0),FALSE))</f>
        <v>F</v>
      </c>
      <c r="R44" s="2">
        <f>IF(VLOOKUP($A44,Sheet1!$A:$AA,MATCH(R$1,Sheet1!$A$1:$AA$1,0),FALSE)=0,"",VLOOKUP($A44,Sheet1!$A:$AA,MATCH(R$1,Sheet1!$A$1:$AA$1,0),FALSE))</f>
        <v>28184</v>
      </c>
      <c r="AA44">
        <f ca="1">IF(VLOOKUP($A44,Sheet1!$A:$AA,MATCH(AA$1,Sheet1!$A$1:$AA$1,0),FALSE)=0,"",VLOOKUP($A44,Sheet1!$A:$AA,MATCH(AA$1,Sheet1!$A$1:$AA$1,0),FALSE))</f>
        <v>48</v>
      </c>
    </row>
    <row r="45" spans="1:27" x14ac:dyDescent="0.25">
      <c r="A45">
        <v>16953251</v>
      </c>
      <c r="B45" t="str">
        <f>IF(VLOOKUP($A45,Sheet1!$A:$AA,MATCH(B$1,Sheet1!$A$1:$AA$1,0),FALSE)=0,"",VLOOKUP($A45,Sheet1!$A:$AA,MATCH(B$1,Sheet1!$A$1:$AA$1,0),FALSE))</f>
        <v>YANES CABRERA, ALICIA</v>
      </c>
      <c r="C45" t="str">
        <f>IF(VLOOKUP($A45,Sheet1!$A:$AA,MATCH(C$1,Sheet1!$A$1:$AA$1,0),FALSE)=0,"",VLOOKUP($A45,Sheet1!$A:$AA,MATCH(C$1,Sheet1!$A$1:$AA$1,0),FALSE))</f>
        <v>YANES CABRERA</v>
      </c>
      <c r="D45" t="str">
        <f>IF(VLOOKUP($A45,Sheet1!$A:$AA,MATCH(D$1,Sheet1!$A$1:$AA$1,0),FALSE)=0,"",VLOOKUP($A45,Sheet1!$A:$AA,MATCH(D$1,Sheet1!$A$1:$AA$1,0),FALSE))</f>
        <v>ALICIA</v>
      </c>
      <c r="E45" t="str">
        <f>IF(VLOOKUP($A45,Sheet1!$A:$AA,MATCH(E$1,Sheet1!$A$1:$AA$1,0),FALSE)=0,"",VLOOKUP($A45,Sheet1!$A:$AA,MATCH(E$1,Sheet1!$A$1:$AA$1,0),FALSE))</f>
        <v/>
      </c>
      <c r="F45" t="str">
        <f>IF(VLOOKUP($A45,Sheet1!$A:$AA,MATCH(F$1,Sheet1!$A$1:$AA$1,0),FALSE)=0,"",VLOOKUP($A45,Sheet1!$A:$AA,MATCH(F$1,Sheet1!$A$1:$AA$1,0),FALSE))</f>
        <v/>
      </c>
      <c r="G45" t="str">
        <f>IF(VLOOKUP($A45,Sheet1!$A:$AA,MATCH(G$1,Sheet1!$A$1:$AA$1,0),FALSE)=0,"",VLOOKUP($A45,Sheet1!$A:$AA,MATCH(G$1,Sheet1!$A$1:$AA$1,0),FALSE))</f>
        <v/>
      </c>
      <c r="H45" t="str">
        <f>IF(VLOOKUP($A45,Sheet1!$A:$AA,MATCH(H$1,Sheet1!$A$1:$AA$1,0),FALSE)=0,"",VLOOKUP($A45,Sheet1!$A:$AA,MATCH(H$1,Sheet1!$A$1:$AA$1,0),FALSE))</f>
        <v/>
      </c>
      <c r="I45" t="str">
        <f>IF(VLOOKUP($A45,Sheet1!$A:$AA,MATCH(I$1,Sheet1!$A$1:$AA$1,0),FALSE)=0,"",VLOOKUP($A45,Sheet1!$A:$AA,MATCH(I$1,Sheet1!$A$1:$AA$1,0),FALSE))</f>
        <v/>
      </c>
      <c r="J45" t="str">
        <f>IF(VLOOKUP($A45,Sheet1!$A:$AA,MATCH(J$1,Sheet1!$A$1:$AA$1,0),FALSE)=0,"",VLOOKUP($A45,Sheet1!$A:$AA,MATCH(J$1,Sheet1!$A$1:$AA$1,0),FALSE))</f>
        <v/>
      </c>
      <c r="K45" t="str">
        <f>IF(VLOOKUP($A45,Sheet1!$A:$AA,MATCH(K$1,Sheet1!$A$1:$AA$1,0),FALSE)=0,"",VLOOKUP($A45,Sheet1!$A:$AA,MATCH(K$1,Sheet1!$A$1:$AA$1,0),FALSE))</f>
        <v>ANDALUZA</v>
      </c>
      <c r="L45" t="str">
        <f>IF(VLOOKUP($A45,Sheet1!$A:$AA,MATCH(L$1,Sheet1!$A$1:$AA$1,0),FALSE)=0,"",VLOOKUP($A45,Sheet1!$A:$AA,MATCH(L$1,Sheet1!$A$1:$AA$1,0),FALSE))</f>
        <v/>
      </c>
      <c r="M45" t="str">
        <f>IF(VLOOKUP($A45,Sheet1!$A:$AA,MATCH(M$1,Sheet1!$A$1:$AA$1,0),FALSE)=0,"",VLOOKUP($A45,Sheet1!$A:$AA,MATCH(M$1,Sheet1!$A$1:$AA$1,0),FALSE))</f>
        <v/>
      </c>
      <c r="N45" t="str">
        <f>IF(VLOOKUP($A45,Sheet1!$A:$AA,MATCH(N$1,Sheet1!$A$1:$AA$1,0),FALSE)=0,"",VLOOKUP($A45,Sheet1!$A:$AA,MATCH(N$1,Sheet1!$A$1:$AA$1,0),FALSE))</f>
        <v/>
      </c>
      <c r="O45" t="str">
        <f>IF(VLOOKUP($A45,Sheet1!$A:$AA,MATCH(O$1,Sheet1!$A$1:$AA$1,0),FALSE)=0,"",VLOOKUP($A45,Sheet1!$A:$AA,MATCH(O$1,Sheet1!$A$1:$AA$1,0),FALSE))</f>
        <v/>
      </c>
      <c r="P45" t="str">
        <f>IF(VLOOKUP($A45,Sheet1!$A:$AA,MATCH(P$1,Sheet1!$A$1:$AA$1,0),FALSE)=0,"",VLOOKUP($A45,Sheet1!$A:$AA,MATCH(P$1,Sheet1!$A$1:$AA$1,0),FALSE))</f>
        <v/>
      </c>
      <c r="Q45" t="str">
        <f>IF(VLOOKUP($A45,Sheet1!$A:$AA,MATCH(Q$1,Sheet1!$A$1:$AA$1,0),FALSE)=0,"",VLOOKUP($A45,Sheet1!$A:$AA,MATCH(Q$1,Sheet1!$A$1:$AA$1,0),FALSE))</f>
        <v>F</v>
      </c>
      <c r="R45" s="2">
        <f>IF(VLOOKUP($A45,Sheet1!$A:$AA,MATCH(R$1,Sheet1!$A$1:$AA$1,0),FALSE)=0,"",VLOOKUP($A45,Sheet1!$A:$AA,MATCH(R$1,Sheet1!$A$1:$AA$1,0),FALSE))</f>
        <v>25737</v>
      </c>
      <c r="AA45">
        <f ca="1">IF(VLOOKUP($A45,Sheet1!$A:$AA,MATCH(AA$1,Sheet1!$A$1:$AA$1,0),FALSE)=0,"",VLOOKUP($A45,Sheet1!$A:$AA,MATCH(AA$1,Sheet1!$A$1:$AA$1,0),FALSE))</f>
        <v>55</v>
      </c>
    </row>
    <row r="46" spans="1:27" x14ac:dyDescent="0.25">
      <c r="A46">
        <v>16953334</v>
      </c>
      <c r="B46" t="str">
        <f>IF(VLOOKUP($A46,Sheet1!$A:$AA,MATCH(B$1,Sheet1!$A$1:$AA$1,0),FALSE)=0,"",VLOOKUP($A46,Sheet1!$A:$AA,MATCH(B$1,Sheet1!$A$1:$AA$1,0),FALSE))</f>
        <v>SANTIAGO OTERO, TOMAS</v>
      </c>
      <c r="C46" t="str">
        <f>IF(VLOOKUP($A46,Sheet1!$A:$AA,MATCH(C$1,Sheet1!$A$1:$AA$1,0),FALSE)=0,"",VLOOKUP($A46,Sheet1!$A:$AA,MATCH(C$1,Sheet1!$A$1:$AA$1,0),FALSE))</f>
        <v>SANTIAGO OTERO</v>
      </c>
      <c r="D46" t="str">
        <f>IF(VLOOKUP($A46,Sheet1!$A:$AA,MATCH(D$1,Sheet1!$A$1:$AA$1,0),FALSE)=0,"",VLOOKUP($A46,Sheet1!$A:$AA,MATCH(D$1,Sheet1!$A$1:$AA$1,0),FALSE))</f>
        <v>TOMAS</v>
      </c>
      <c r="E46" t="str">
        <f>IF(VLOOKUP($A46,Sheet1!$A:$AA,MATCH(E$1,Sheet1!$A$1:$AA$1,0),FALSE)=0,"",VLOOKUP($A46,Sheet1!$A:$AA,MATCH(E$1,Sheet1!$A$1:$AA$1,0),FALSE))</f>
        <v/>
      </c>
      <c r="F46" t="str">
        <f>IF(VLOOKUP($A46,Sheet1!$A:$AA,MATCH(F$1,Sheet1!$A$1:$AA$1,0),FALSE)=0,"",VLOOKUP($A46,Sheet1!$A:$AA,MATCH(F$1,Sheet1!$A$1:$AA$1,0),FALSE))</f>
        <v/>
      </c>
      <c r="G46" t="str">
        <f>IF(VLOOKUP($A46,Sheet1!$A:$AA,MATCH(G$1,Sheet1!$A$1:$AA$1,0),FALSE)=0,"",VLOOKUP($A46,Sheet1!$A:$AA,MATCH(G$1,Sheet1!$A$1:$AA$1,0),FALSE))</f>
        <v/>
      </c>
      <c r="H46" t="str">
        <f>IF(VLOOKUP($A46,Sheet1!$A:$AA,MATCH(H$1,Sheet1!$A$1:$AA$1,0),FALSE)=0,"",VLOOKUP($A46,Sheet1!$A:$AA,MATCH(H$1,Sheet1!$A$1:$AA$1,0),FALSE))</f>
        <v/>
      </c>
      <c r="I46" t="str">
        <f>IF(VLOOKUP($A46,Sheet1!$A:$AA,MATCH(I$1,Sheet1!$A$1:$AA$1,0),FALSE)=0,"",VLOOKUP($A46,Sheet1!$A:$AA,MATCH(I$1,Sheet1!$A$1:$AA$1,0),FALSE))</f>
        <v/>
      </c>
      <c r="J46" t="str">
        <f>IF(VLOOKUP($A46,Sheet1!$A:$AA,MATCH(J$1,Sheet1!$A$1:$AA$1,0),FALSE)=0,"",VLOOKUP($A46,Sheet1!$A:$AA,MATCH(J$1,Sheet1!$A$1:$AA$1,0),FALSE))</f>
        <v/>
      </c>
      <c r="K46" t="str">
        <f>IF(VLOOKUP($A46,Sheet1!$A:$AA,MATCH(K$1,Sheet1!$A$1:$AA$1,0),FALSE)=0,"",VLOOKUP($A46,Sheet1!$A:$AA,MATCH(K$1,Sheet1!$A$1:$AA$1,0),FALSE))</f>
        <v>ANDALUZA</v>
      </c>
      <c r="L46" t="str">
        <f>IF(VLOOKUP($A46,Sheet1!$A:$AA,MATCH(L$1,Sheet1!$A$1:$AA$1,0),FALSE)=0,"",VLOOKUP($A46,Sheet1!$A:$AA,MATCH(L$1,Sheet1!$A$1:$AA$1,0),FALSE))</f>
        <v/>
      </c>
      <c r="M46" t="str">
        <f>IF(VLOOKUP($A46,Sheet1!$A:$AA,MATCH(M$1,Sheet1!$A$1:$AA$1,0),FALSE)=0,"",VLOOKUP($A46,Sheet1!$A:$AA,MATCH(M$1,Sheet1!$A$1:$AA$1,0),FALSE))</f>
        <v/>
      </c>
      <c r="N46" t="str">
        <f>IF(VLOOKUP($A46,Sheet1!$A:$AA,MATCH(N$1,Sheet1!$A$1:$AA$1,0),FALSE)=0,"",VLOOKUP($A46,Sheet1!$A:$AA,MATCH(N$1,Sheet1!$A$1:$AA$1,0),FALSE))</f>
        <v/>
      </c>
      <c r="O46" t="str">
        <f>IF(VLOOKUP($A46,Sheet1!$A:$AA,MATCH(O$1,Sheet1!$A$1:$AA$1,0),FALSE)=0,"",VLOOKUP($A46,Sheet1!$A:$AA,MATCH(O$1,Sheet1!$A$1:$AA$1,0),FALSE))</f>
        <v/>
      </c>
      <c r="P46" t="str">
        <f>IF(VLOOKUP($A46,Sheet1!$A:$AA,MATCH(P$1,Sheet1!$A$1:$AA$1,0),FALSE)=0,"",VLOOKUP($A46,Sheet1!$A:$AA,MATCH(P$1,Sheet1!$A$1:$AA$1,0),FALSE))</f>
        <v/>
      </c>
      <c r="Q46" t="str">
        <f>IF(VLOOKUP($A46,Sheet1!$A:$AA,MATCH(Q$1,Sheet1!$A$1:$AA$1,0),FALSE)=0,"",VLOOKUP($A46,Sheet1!$A:$AA,MATCH(Q$1,Sheet1!$A$1:$AA$1,0),FALSE))</f>
        <v>M</v>
      </c>
      <c r="R46" s="2">
        <f>IF(VLOOKUP($A46,Sheet1!$A:$AA,MATCH(R$1,Sheet1!$A$1:$AA$1,0),FALSE)=0,"",VLOOKUP($A46,Sheet1!$A:$AA,MATCH(R$1,Sheet1!$A$1:$AA$1,0),FALSE))</f>
        <v>33812</v>
      </c>
      <c r="AA46">
        <f ca="1">IF(VLOOKUP($A46,Sheet1!$A:$AA,MATCH(AA$1,Sheet1!$A$1:$AA$1,0),FALSE)=0,"",VLOOKUP($A46,Sheet1!$A:$AA,MATCH(AA$1,Sheet1!$A$1:$AA$1,0),FALSE))</f>
        <v>33</v>
      </c>
    </row>
    <row r="47" spans="1:27" x14ac:dyDescent="0.25">
      <c r="A47">
        <v>16953342</v>
      </c>
      <c r="B47" t="str">
        <f>IF(VLOOKUP($A47,Sheet1!$A:$AA,MATCH(B$1,Sheet1!$A$1:$AA$1,0),FALSE)=0,"",VLOOKUP($A47,Sheet1!$A:$AA,MATCH(B$1,Sheet1!$A$1:$AA$1,0),FALSE))</f>
        <v>GALLEGO RUIZ-MATEOS, JAVIER</v>
      </c>
      <c r="C47" t="str">
        <f>IF(VLOOKUP($A47,Sheet1!$A:$AA,MATCH(C$1,Sheet1!$A$1:$AA$1,0),FALSE)=0,"",VLOOKUP($A47,Sheet1!$A:$AA,MATCH(C$1,Sheet1!$A$1:$AA$1,0),FALSE))</f>
        <v>GALLEGO RUIZ-MATEOS</v>
      </c>
      <c r="D47" t="str">
        <f>IF(VLOOKUP($A47,Sheet1!$A:$AA,MATCH(D$1,Sheet1!$A$1:$AA$1,0),FALSE)=0,"",VLOOKUP($A47,Sheet1!$A:$AA,MATCH(D$1,Sheet1!$A$1:$AA$1,0),FALSE))</f>
        <v>JAVIER</v>
      </c>
      <c r="E47" t="str">
        <f>IF(VLOOKUP($A47,Sheet1!$A:$AA,MATCH(E$1,Sheet1!$A$1:$AA$1,0),FALSE)=0,"",VLOOKUP($A47,Sheet1!$A:$AA,MATCH(E$1,Sheet1!$A$1:$AA$1,0),FALSE))</f>
        <v/>
      </c>
      <c r="F47" t="str">
        <f>IF(VLOOKUP($A47,Sheet1!$A:$AA,MATCH(F$1,Sheet1!$A$1:$AA$1,0),FALSE)=0,"",VLOOKUP($A47,Sheet1!$A:$AA,MATCH(F$1,Sheet1!$A$1:$AA$1,0),FALSE))</f>
        <v/>
      </c>
      <c r="G47" t="str">
        <f>IF(VLOOKUP($A47,Sheet1!$A:$AA,MATCH(G$1,Sheet1!$A$1:$AA$1,0),FALSE)=0,"",VLOOKUP($A47,Sheet1!$A:$AA,MATCH(G$1,Sheet1!$A$1:$AA$1,0),FALSE))</f>
        <v/>
      </c>
      <c r="H47" t="str">
        <f>IF(VLOOKUP($A47,Sheet1!$A:$AA,MATCH(H$1,Sheet1!$A$1:$AA$1,0),FALSE)=0,"",VLOOKUP($A47,Sheet1!$A:$AA,MATCH(H$1,Sheet1!$A$1:$AA$1,0),FALSE))</f>
        <v/>
      </c>
      <c r="I47" t="str">
        <f>IF(VLOOKUP($A47,Sheet1!$A:$AA,MATCH(I$1,Sheet1!$A$1:$AA$1,0),FALSE)=0,"",VLOOKUP($A47,Sheet1!$A:$AA,MATCH(I$1,Sheet1!$A$1:$AA$1,0),FALSE))</f>
        <v/>
      </c>
      <c r="J47" t="str">
        <f>IF(VLOOKUP($A47,Sheet1!$A:$AA,MATCH(J$1,Sheet1!$A$1:$AA$1,0),FALSE)=0,"",VLOOKUP($A47,Sheet1!$A:$AA,MATCH(J$1,Sheet1!$A$1:$AA$1,0),FALSE))</f>
        <v/>
      </c>
      <c r="K47" t="str">
        <f>IF(VLOOKUP($A47,Sheet1!$A:$AA,MATCH(K$1,Sheet1!$A$1:$AA$1,0),FALSE)=0,"",VLOOKUP($A47,Sheet1!$A:$AA,MATCH(K$1,Sheet1!$A$1:$AA$1,0),FALSE))</f>
        <v>ANDALUZA</v>
      </c>
      <c r="L47" t="str">
        <f>IF(VLOOKUP($A47,Sheet1!$A:$AA,MATCH(L$1,Sheet1!$A$1:$AA$1,0),FALSE)=0,"",VLOOKUP($A47,Sheet1!$A:$AA,MATCH(L$1,Sheet1!$A$1:$AA$1,0),FALSE))</f>
        <v/>
      </c>
      <c r="M47" t="str">
        <f>IF(VLOOKUP($A47,Sheet1!$A:$AA,MATCH(M$1,Sheet1!$A$1:$AA$1,0),FALSE)=0,"",VLOOKUP($A47,Sheet1!$A:$AA,MATCH(M$1,Sheet1!$A$1:$AA$1,0),FALSE))</f>
        <v/>
      </c>
      <c r="N47" t="str">
        <f>IF(VLOOKUP($A47,Sheet1!$A:$AA,MATCH(N$1,Sheet1!$A$1:$AA$1,0),FALSE)=0,"",VLOOKUP($A47,Sheet1!$A:$AA,MATCH(N$1,Sheet1!$A$1:$AA$1,0),FALSE))</f>
        <v/>
      </c>
      <c r="O47" t="str">
        <f>IF(VLOOKUP($A47,Sheet1!$A:$AA,MATCH(O$1,Sheet1!$A$1:$AA$1,0),FALSE)=0,"",VLOOKUP($A47,Sheet1!$A:$AA,MATCH(O$1,Sheet1!$A$1:$AA$1,0),FALSE))</f>
        <v/>
      </c>
      <c r="P47" t="str">
        <f>IF(VLOOKUP($A47,Sheet1!$A:$AA,MATCH(P$1,Sheet1!$A$1:$AA$1,0),FALSE)=0,"",VLOOKUP($A47,Sheet1!$A:$AA,MATCH(P$1,Sheet1!$A$1:$AA$1,0),FALSE))</f>
        <v/>
      </c>
      <c r="Q47" t="str">
        <f>IF(VLOOKUP($A47,Sheet1!$A:$AA,MATCH(Q$1,Sheet1!$A$1:$AA$1,0),FALSE)=0,"",VLOOKUP($A47,Sheet1!$A:$AA,MATCH(Q$1,Sheet1!$A$1:$AA$1,0),FALSE))</f>
        <v>M</v>
      </c>
      <c r="R47" s="2">
        <f>IF(VLOOKUP($A47,Sheet1!$A:$AA,MATCH(R$1,Sheet1!$A$1:$AA$1,0),FALSE)=0,"",VLOOKUP($A47,Sheet1!$A:$AA,MATCH(R$1,Sheet1!$A$1:$AA$1,0),FALSE))</f>
        <v>34913</v>
      </c>
      <c r="AA47">
        <f ca="1">IF(VLOOKUP($A47,Sheet1!$A:$AA,MATCH(AA$1,Sheet1!$A$1:$AA$1,0),FALSE)=0,"",VLOOKUP($A47,Sheet1!$A:$AA,MATCH(AA$1,Sheet1!$A$1:$AA$1,0),FALSE))</f>
        <v>30</v>
      </c>
    </row>
    <row r="48" spans="1:27" x14ac:dyDescent="0.25">
      <c r="A48">
        <v>16953392</v>
      </c>
      <c r="B48" t="str">
        <f>IF(VLOOKUP($A48,Sheet1!$A:$AA,MATCH(B$1,Sheet1!$A$1:$AA$1,0),FALSE)=0,"",VLOOKUP($A48,Sheet1!$A:$AA,MATCH(B$1,Sheet1!$A$1:$AA$1,0),FALSE))</f>
        <v>MENDOZA GUILLéN, JOSE ANTONIO</v>
      </c>
      <c r="C48" t="str">
        <f>IF(VLOOKUP($A48,Sheet1!$A:$AA,MATCH(C$1,Sheet1!$A$1:$AA$1,0),FALSE)=0,"",VLOOKUP($A48,Sheet1!$A:$AA,MATCH(C$1,Sheet1!$A$1:$AA$1,0),FALSE))</f>
        <v>MENDOZA GUILLéN</v>
      </c>
      <c r="D48" t="str">
        <f>IF(VLOOKUP($A48,Sheet1!$A:$AA,MATCH(D$1,Sheet1!$A$1:$AA$1,0),FALSE)=0,"",VLOOKUP($A48,Sheet1!$A:$AA,MATCH(D$1,Sheet1!$A$1:$AA$1,0),FALSE))</f>
        <v>JOSE ANTONIO</v>
      </c>
      <c r="E48" t="str">
        <f>IF(VLOOKUP($A48,Sheet1!$A:$AA,MATCH(E$1,Sheet1!$A$1:$AA$1,0),FALSE)=0,"",VLOOKUP($A48,Sheet1!$A:$AA,MATCH(E$1,Sheet1!$A$1:$AA$1,0),FALSE))</f>
        <v/>
      </c>
      <c r="F48" t="str">
        <f>IF(VLOOKUP($A48,Sheet1!$A:$AA,MATCH(F$1,Sheet1!$A$1:$AA$1,0),FALSE)=0,"",VLOOKUP($A48,Sheet1!$A:$AA,MATCH(F$1,Sheet1!$A$1:$AA$1,0),FALSE))</f>
        <v/>
      </c>
      <c r="G48" t="str">
        <f>IF(VLOOKUP($A48,Sheet1!$A:$AA,MATCH(G$1,Sheet1!$A$1:$AA$1,0),FALSE)=0,"",VLOOKUP($A48,Sheet1!$A:$AA,MATCH(G$1,Sheet1!$A$1:$AA$1,0),FALSE))</f>
        <v/>
      </c>
      <c r="H48" t="str">
        <f>IF(VLOOKUP($A48,Sheet1!$A:$AA,MATCH(H$1,Sheet1!$A$1:$AA$1,0),FALSE)=0,"",VLOOKUP($A48,Sheet1!$A:$AA,MATCH(H$1,Sheet1!$A$1:$AA$1,0),FALSE))</f>
        <v/>
      </c>
      <c r="I48" t="str">
        <f>IF(VLOOKUP($A48,Sheet1!$A:$AA,MATCH(I$1,Sheet1!$A$1:$AA$1,0),FALSE)=0,"",VLOOKUP($A48,Sheet1!$A:$AA,MATCH(I$1,Sheet1!$A$1:$AA$1,0),FALSE))</f>
        <v/>
      </c>
      <c r="J48" t="str">
        <f>IF(VLOOKUP($A48,Sheet1!$A:$AA,MATCH(J$1,Sheet1!$A$1:$AA$1,0),FALSE)=0,"",VLOOKUP($A48,Sheet1!$A:$AA,MATCH(J$1,Sheet1!$A$1:$AA$1,0),FALSE))</f>
        <v/>
      </c>
      <c r="K48" t="str">
        <f>IF(VLOOKUP($A48,Sheet1!$A:$AA,MATCH(K$1,Sheet1!$A$1:$AA$1,0),FALSE)=0,"",VLOOKUP($A48,Sheet1!$A:$AA,MATCH(K$1,Sheet1!$A$1:$AA$1,0),FALSE))</f>
        <v>ANDALUZA</v>
      </c>
      <c r="L48" t="str">
        <f>IF(VLOOKUP($A48,Sheet1!$A:$AA,MATCH(L$1,Sheet1!$A$1:$AA$1,0),FALSE)=0,"",VLOOKUP($A48,Sheet1!$A:$AA,MATCH(L$1,Sheet1!$A$1:$AA$1,0),FALSE))</f>
        <v/>
      </c>
      <c r="M48" t="str">
        <f>IF(VLOOKUP($A48,Sheet1!$A:$AA,MATCH(M$1,Sheet1!$A$1:$AA$1,0),FALSE)=0,"",VLOOKUP($A48,Sheet1!$A:$AA,MATCH(M$1,Sheet1!$A$1:$AA$1,0),FALSE))</f>
        <v/>
      </c>
      <c r="N48" t="str">
        <f>IF(VLOOKUP($A48,Sheet1!$A:$AA,MATCH(N$1,Sheet1!$A$1:$AA$1,0),FALSE)=0,"",VLOOKUP($A48,Sheet1!$A:$AA,MATCH(N$1,Sheet1!$A$1:$AA$1,0),FALSE))</f>
        <v/>
      </c>
      <c r="O48" t="str">
        <f>IF(VLOOKUP($A48,Sheet1!$A:$AA,MATCH(O$1,Sheet1!$A$1:$AA$1,0),FALSE)=0,"",VLOOKUP($A48,Sheet1!$A:$AA,MATCH(O$1,Sheet1!$A$1:$AA$1,0),FALSE))</f>
        <v/>
      </c>
      <c r="P48" t="str">
        <f>IF(VLOOKUP($A48,Sheet1!$A:$AA,MATCH(P$1,Sheet1!$A$1:$AA$1,0),FALSE)=0,"",VLOOKUP($A48,Sheet1!$A:$AA,MATCH(P$1,Sheet1!$A$1:$AA$1,0),FALSE))</f>
        <v/>
      </c>
      <c r="Q48" t="str">
        <f>IF(VLOOKUP($A48,Sheet1!$A:$AA,MATCH(Q$1,Sheet1!$A$1:$AA$1,0),FALSE)=0,"",VLOOKUP($A48,Sheet1!$A:$AA,MATCH(Q$1,Sheet1!$A$1:$AA$1,0),FALSE))</f>
        <v>M</v>
      </c>
      <c r="R48" s="2">
        <f>IF(VLOOKUP($A48,Sheet1!$A:$AA,MATCH(R$1,Sheet1!$A$1:$AA$1,0),FALSE)=0,"",VLOOKUP($A48,Sheet1!$A:$AA,MATCH(R$1,Sheet1!$A$1:$AA$1,0),FALSE))</f>
        <v>36196</v>
      </c>
      <c r="AA48">
        <f ca="1">IF(VLOOKUP($A48,Sheet1!$A:$AA,MATCH(AA$1,Sheet1!$A$1:$AA$1,0),FALSE)=0,"",VLOOKUP($A48,Sheet1!$A:$AA,MATCH(AA$1,Sheet1!$A$1:$AA$1,0),FALSE))</f>
        <v>26</v>
      </c>
    </row>
    <row r="49" spans="1:27" x14ac:dyDescent="0.25">
      <c r="A49">
        <v>16953459</v>
      </c>
      <c r="B49" t="str">
        <f>IF(VLOOKUP($A49,Sheet1!$A:$AA,MATCH(B$1,Sheet1!$A$1:$AA$1,0),FALSE)=0,"",VLOOKUP($A49,Sheet1!$A:$AA,MATCH(B$1,Sheet1!$A$1:$AA$1,0),FALSE))</f>
        <v>GONZáLEZ BAENA, FRANCISCO JAVIER</v>
      </c>
      <c r="C49" t="str">
        <f>IF(VLOOKUP($A49,Sheet1!$A:$AA,MATCH(C$1,Sheet1!$A$1:$AA$1,0),FALSE)=0,"",VLOOKUP($A49,Sheet1!$A:$AA,MATCH(C$1,Sheet1!$A$1:$AA$1,0),FALSE))</f>
        <v>GONZáLEZ BAENA</v>
      </c>
      <c r="D49" t="str">
        <f>IF(VLOOKUP($A49,Sheet1!$A:$AA,MATCH(D$1,Sheet1!$A$1:$AA$1,0),FALSE)=0,"",VLOOKUP($A49,Sheet1!$A:$AA,MATCH(D$1,Sheet1!$A$1:$AA$1,0),FALSE))</f>
        <v>FRANCISCO JAVIER</v>
      </c>
      <c r="E49" t="str">
        <f>IF(VLOOKUP($A49,Sheet1!$A:$AA,MATCH(E$1,Sheet1!$A$1:$AA$1,0),FALSE)=0,"",VLOOKUP($A49,Sheet1!$A:$AA,MATCH(E$1,Sheet1!$A$1:$AA$1,0),FALSE))</f>
        <v/>
      </c>
      <c r="F49" t="str">
        <f>IF(VLOOKUP($A49,Sheet1!$A:$AA,MATCH(F$1,Sheet1!$A$1:$AA$1,0),FALSE)=0,"",VLOOKUP($A49,Sheet1!$A:$AA,MATCH(F$1,Sheet1!$A$1:$AA$1,0),FALSE))</f>
        <v/>
      </c>
      <c r="G49" t="str">
        <f>IF(VLOOKUP($A49,Sheet1!$A:$AA,MATCH(G$1,Sheet1!$A$1:$AA$1,0),FALSE)=0,"",VLOOKUP($A49,Sheet1!$A:$AA,MATCH(G$1,Sheet1!$A$1:$AA$1,0),FALSE))</f>
        <v/>
      </c>
      <c r="H49" t="str">
        <f>IF(VLOOKUP($A49,Sheet1!$A:$AA,MATCH(H$1,Sheet1!$A$1:$AA$1,0),FALSE)=0,"",VLOOKUP($A49,Sheet1!$A:$AA,MATCH(H$1,Sheet1!$A$1:$AA$1,0),FALSE))</f>
        <v/>
      </c>
      <c r="I49" t="str">
        <f>IF(VLOOKUP($A49,Sheet1!$A:$AA,MATCH(I$1,Sheet1!$A$1:$AA$1,0),FALSE)=0,"",VLOOKUP($A49,Sheet1!$A:$AA,MATCH(I$1,Sheet1!$A$1:$AA$1,0),FALSE))</f>
        <v/>
      </c>
      <c r="J49" t="str">
        <f>IF(VLOOKUP($A49,Sheet1!$A:$AA,MATCH(J$1,Sheet1!$A$1:$AA$1,0),FALSE)=0,"",VLOOKUP($A49,Sheet1!$A:$AA,MATCH(J$1,Sheet1!$A$1:$AA$1,0),FALSE))</f>
        <v/>
      </c>
      <c r="K49" t="str">
        <f>IF(VLOOKUP($A49,Sheet1!$A:$AA,MATCH(K$1,Sheet1!$A$1:$AA$1,0),FALSE)=0,"",VLOOKUP($A49,Sheet1!$A:$AA,MATCH(K$1,Sheet1!$A$1:$AA$1,0),FALSE))</f>
        <v>ANDALUZA</v>
      </c>
      <c r="L49" t="str">
        <f>IF(VLOOKUP($A49,Sheet1!$A:$AA,MATCH(L$1,Sheet1!$A$1:$AA$1,0),FALSE)=0,"",VLOOKUP($A49,Sheet1!$A:$AA,MATCH(L$1,Sheet1!$A$1:$AA$1,0),FALSE))</f>
        <v/>
      </c>
      <c r="M49" t="str">
        <f>IF(VLOOKUP($A49,Sheet1!$A:$AA,MATCH(M$1,Sheet1!$A$1:$AA$1,0),FALSE)=0,"",VLOOKUP($A49,Sheet1!$A:$AA,MATCH(M$1,Sheet1!$A$1:$AA$1,0),FALSE))</f>
        <v/>
      </c>
      <c r="N49" t="str">
        <f>IF(VLOOKUP($A49,Sheet1!$A:$AA,MATCH(N$1,Sheet1!$A$1:$AA$1,0),FALSE)=0,"",VLOOKUP($A49,Sheet1!$A:$AA,MATCH(N$1,Sheet1!$A$1:$AA$1,0),FALSE))</f>
        <v/>
      </c>
      <c r="O49" t="str">
        <f>IF(VLOOKUP($A49,Sheet1!$A:$AA,MATCH(O$1,Sheet1!$A$1:$AA$1,0),FALSE)=0,"",VLOOKUP($A49,Sheet1!$A:$AA,MATCH(O$1,Sheet1!$A$1:$AA$1,0),FALSE))</f>
        <v/>
      </c>
      <c r="P49" t="str">
        <f>IF(VLOOKUP($A49,Sheet1!$A:$AA,MATCH(P$1,Sheet1!$A$1:$AA$1,0),FALSE)=0,"",VLOOKUP($A49,Sheet1!$A:$AA,MATCH(P$1,Sheet1!$A$1:$AA$1,0),FALSE))</f>
        <v/>
      </c>
      <c r="Q49" t="str">
        <f>IF(VLOOKUP($A49,Sheet1!$A:$AA,MATCH(Q$1,Sheet1!$A$1:$AA$1,0),FALSE)=0,"",VLOOKUP($A49,Sheet1!$A:$AA,MATCH(Q$1,Sheet1!$A$1:$AA$1,0),FALSE))</f>
        <v>M</v>
      </c>
      <c r="R49" s="2">
        <f>IF(VLOOKUP($A49,Sheet1!$A:$AA,MATCH(R$1,Sheet1!$A$1:$AA$1,0),FALSE)=0,"",VLOOKUP($A49,Sheet1!$A:$AA,MATCH(R$1,Sheet1!$A$1:$AA$1,0),FALSE))</f>
        <v>26325</v>
      </c>
      <c r="AA49">
        <f ca="1">IF(VLOOKUP($A49,Sheet1!$A:$AA,MATCH(AA$1,Sheet1!$A$1:$AA$1,0),FALSE)=0,"",VLOOKUP($A49,Sheet1!$A:$AA,MATCH(AA$1,Sheet1!$A$1:$AA$1,0),FALSE))</f>
        <v>53</v>
      </c>
    </row>
    <row r="50" spans="1:27" x14ac:dyDescent="0.25">
      <c r="A50">
        <v>16953996</v>
      </c>
      <c r="B50" t="str">
        <f>IF(VLOOKUP($A50,Sheet1!$A:$AA,MATCH(B$1,Sheet1!$A$1:$AA$1,0),FALSE)=0,"",VLOOKUP($A50,Sheet1!$A:$AA,MATCH(B$1,Sheet1!$A$1:$AA$1,0),FALSE))</f>
        <v>PERSSON, BJORN</v>
      </c>
      <c r="C50" t="str">
        <f>IF(VLOOKUP($A50,Sheet1!$A:$AA,MATCH(C$1,Sheet1!$A$1:$AA$1,0),FALSE)=0,"",VLOOKUP($A50,Sheet1!$A:$AA,MATCH(C$1,Sheet1!$A$1:$AA$1,0),FALSE))</f>
        <v>PERSSON</v>
      </c>
      <c r="D50" t="str">
        <f>IF(VLOOKUP($A50,Sheet1!$A:$AA,MATCH(D$1,Sheet1!$A$1:$AA$1,0),FALSE)=0,"",VLOOKUP($A50,Sheet1!$A:$AA,MATCH(D$1,Sheet1!$A$1:$AA$1,0),FALSE))</f>
        <v>BJORN</v>
      </c>
      <c r="E50" t="str">
        <f>IF(VLOOKUP($A50,Sheet1!$A:$AA,MATCH(E$1,Sheet1!$A$1:$AA$1,0),FALSE)=0,"",VLOOKUP($A50,Sheet1!$A:$AA,MATCH(E$1,Sheet1!$A$1:$AA$1,0),FALSE))</f>
        <v/>
      </c>
      <c r="F50" t="str">
        <f>IF(VLOOKUP($A50,Sheet1!$A:$AA,MATCH(F$1,Sheet1!$A$1:$AA$1,0),FALSE)=0,"",VLOOKUP($A50,Sheet1!$A:$AA,MATCH(F$1,Sheet1!$A$1:$AA$1,0),FALSE))</f>
        <v/>
      </c>
      <c r="G50" t="str">
        <f>IF(VLOOKUP($A50,Sheet1!$A:$AA,MATCH(G$1,Sheet1!$A$1:$AA$1,0),FALSE)=0,"",VLOOKUP($A50,Sheet1!$A:$AA,MATCH(G$1,Sheet1!$A$1:$AA$1,0),FALSE))</f>
        <v/>
      </c>
      <c r="H50" t="str">
        <f>IF(VLOOKUP($A50,Sheet1!$A:$AA,MATCH(H$1,Sheet1!$A$1:$AA$1,0),FALSE)=0,"",VLOOKUP($A50,Sheet1!$A:$AA,MATCH(H$1,Sheet1!$A$1:$AA$1,0),FALSE))</f>
        <v/>
      </c>
      <c r="I50" t="str">
        <f>IF(VLOOKUP($A50,Sheet1!$A:$AA,MATCH(I$1,Sheet1!$A$1:$AA$1,0),FALSE)=0,"",VLOOKUP($A50,Sheet1!$A:$AA,MATCH(I$1,Sheet1!$A$1:$AA$1,0),FALSE))</f>
        <v/>
      </c>
      <c r="J50" t="str">
        <f>IF(VLOOKUP($A50,Sheet1!$A:$AA,MATCH(J$1,Sheet1!$A$1:$AA$1,0),FALSE)=0,"",VLOOKUP($A50,Sheet1!$A:$AA,MATCH(J$1,Sheet1!$A$1:$AA$1,0),FALSE))</f>
        <v/>
      </c>
      <c r="K50" t="str">
        <f>IF(VLOOKUP($A50,Sheet1!$A:$AA,MATCH(K$1,Sheet1!$A$1:$AA$1,0),FALSE)=0,"",VLOOKUP($A50,Sheet1!$A:$AA,MATCH(K$1,Sheet1!$A$1:$AA$1,0),FALSE))</f>
        <v>ANDALUZA</v>
      </c>
      <c r="L50" t="str">
        <f>IF(VLOOKUP($A50,Sheet1!$A:$AA,MATCH(L$1,Sheet1!$A$1:$AA$1,0),FALSE)=0,"",VLOOKUP($A50,Sheet1!$A:$AA,MATCH(L$1,Sheet1!$A$1:$AA$1,0),FALSE))</f>
        <v/>
      </c>
      <c r="M50" t="str">
        <f>IF(VLOOKUP($A50,Sheet1!$A:$AA,MATCH(M$1,Sheet1!$A$1:$AA$1,0),FALSE)=0,"",VLOOKUP($A50,Sheet1!$A:$AA,MATCH(M$1,Sheet1!$A$1:$AA$1,0),FALSE))</f>
        <v/>
      </c>
      <c r="N50" t="str">
        <f>IF(VLOOKUP($A50,Sheet1!$A:$AA,MATCH(N$1,Sheet1!$A$1:$AA$1,0),FALSE)=0,"",VLOOKUP($A50,Sheet1!$A:$AA,MATCH(N$1,Sheet1!$A$1:$AA$1,0),FALSE))</f>
        <v/>
      </c>
      <c r="O50" t="str">
        <f>IF(VLOOKUP($A50,Sheet1!$A:$AA,MATCH(O$1,Sheet1!$A$1:$AA$1,0),FALSE)=0,"",VLOOKUP($A50,Sheet1!$A:$AA,MATCH(O$1,Sheet1!$A$1:$AA$1,0),FALSE))</f>
        <v/>
      </c>
      <c r="P50" t="str">
        <f>IF(VLOOKUP($A50,Sheet1!$A:$AA,MATCH(P$1,Sheet1!$A$1:$AA$1,0),FALSE)=0,"",VLOOKUP($A50,Sheet1!$A:$AA,MATCH(P$1,Sheet1!$A$1:$AA$1,0),FALSE))</f>
        <v/>
      </c>
      <c r="Q50" t="str">
        <f>IF(VLOOKUP($A50,Sheet1!$A:$AA,MATCH(Q$1,Sheet1!$A$1:$AA$1,0),FALSE)=0,"",VLOOKUP($A50,Sheet1!$A:$AA,MATCH(Q$1,Sheet1!$A$1:$AA$1,0),FALSE))</f>
        <v>M</v>
      </c>
      <c r="R50" s="2">
        <f>IF(VLOOKUP($A50,Sheet1!$A:$AA,MATCH(R$1,Sheet1!$A$1:$AA$1,0),FALSE)=0,"",VLOOKUP($A50,Sheet1!$A:$AA,MATCH(R$1,Sheet1!$A$1:$AA$1,0),FALSE))</f>
        <v>20416</v>
      </c>
      <c r="AA50">
        <f ca="1">IF(VLOOKUP($A50,Sheet1!$A:$AA,MATCH(AA$1,Sheet1!$A$1:$AA$1,0),FALSE)=0,"",VLOOKUP($A50,Sheet1!$A:$AA,MATCH(AA$1,Sheet1!$A$1:$AA$1,0),FALSE))</f>
        <v>70</v>
      </c>
    </row>
    <row r="51" spans="1:27" x14ac:dyDescent="0.25">
      <c r="A51">
        <v>16954324</v>
      </c>
      <c r="B51" t="str">
        <f>IF(VLOOKUP($A51,Sheet1!$A:$AA,MATCH(B$1,Sheet1!$A$1:$AA$1,0),FALSE)=0,"",VLOOKUP($A51,Sheet1!$A:$AA,MATCH(B$1,Sheet1!$A$1:$AA$1,0),FALSE))</f>
        <v>Gonzalez, Lucas Gonzalez</v>
      </c>
      <c r="C51" t="str">
        <f>IF(VLOOKUP($A51,Sheet1!$A:$AA,MATCH(C$1,Sheet1!$A$1:$AA$1,0),FALSE)=0,"",VLOOKUP($A51,Sheet1!$A:$AA,MATCH(C$1,Sheet1!$A$1:$AA$1,0),FALSE))</f>
        <v>Gonzalez</v>
      </c>
      <c r="D51" t="str">
        <f>IF(VLOOKUP($A51,Sheet1!$A:$AA,MATCH(D$1,Sheet1!$A$1:$AA$1,0),FALSE)=0,"",VLOOKUP($A51,Sheet1!$A:$AA,MATCH(D$1,Sheet1!$A$1:$AA$1,0),FALSE))</f>
        <v>Lucas Gonzalez</v>
      </c>
      <c r="E51" t="str">
        <f>IF(VLOOKUP($A51,Sheet1!$A:$AA,MATCH(E$1,Sheet1!$A$1:$AA$1,0),FALSE)=0,"",VLOOKUP($A51,Sheet1!$A:$AA,MATCH(E$1,Sheet1!$A$1:$AA$1,0),FALSE))</f>
        <v/>
      </c>
      <c r="F51" t="str">
        <f>IF(VLOOKUP($A51,Sheet1!$A:$AA,MATCH(F$1,Sheet1!$A$1:$AA$1,0),FALSE)=0,"",VLOOKUP($A51,Sheet1!$A:$AA,MATCH(F$1,Sheet1!$A$1:$AA$1,0),FALSE))</f>
        <v/>
      </c>
      <c r="G51" t="str">
        <f>IF(VLOOKUP($A51,Sheet1!$A:$AA,MATCH(G$1,Sheet1!$A$1:$AA$1,0),FALSE)=0,"",VLOOKUP($A51,Sheet1!$A:$AA,MATCH(G$1,Sheet1!$A$1:$AA$1,0),FALSE))</f>
        <v/>
      </c>
      <c r="H51" t="str">
        <f>IF(VLOOKUP($A51,Sheet1!$A:$AA,MATCH(H$1,Sheet1!$A$1:$AA$1,0),FALSE)=0,"",VLOOKUP($A51,Sheet1!$A:$AA,MATCH(H$1,Sheet1!$A$1:$AA$1,0),FALSE))</f>
        <v/>
      </c>
      <c r="I51" t="str">
        <f>IF(VLOOKUP($A51,Sheet1!$A:$AA,MATCH(I$1,Sheet1!$A$1:$AA$1,0),FALSE)=0,"",VLOOKUP($A51,Sheet1!$A:$AA,MATCH(I$1,Sheet1!$A$1:$AA$1,0),FALSE))</f>
        <v/>
      </c>
      <c r="J51" t="str">
        <f>IF(VLOOKUP($A51,Sheet1!$A:$AA,MATCH(J$1,Sheet1!$A$1:$AA$1,0),FALSE)=0,"",VLOOKUP($A51,Sheet1!$A:$AA,MATCH(J$1,Sheet1!$A$1:$AA$1,0),FALSE))</f>
        <v/>
      </c>
      <c r="K51" t="str">
        <f>IF(VLOOKUP($A51,Sheet1!$A:$AA,MATCH(K$1,Sheet1!$A$1:$AA$1,0),FALSE)=0,"",VLOOKUP($A51,Sheet1!$A:$AA,MATCH(K$1,Sheet1!$A$1:$AA$1,0),FALSE))</f>
        <v>ANDALUZA</v>
      </c>
      <c r="L51" t="str">
        <f>IF(VLOOKUP($A51,Sheet1!$A:$AA,MATCH(L$1,Sheet1!$A$1:$AA$1,0),FALSE)=0,"",VLOOKUP($A51,Sheet1!$A:$AA,MATCH(L$1,Sheet1!$A$1:$AA$1,0),FALSE))</f>
        <v/>
      </c>
      <c r="M51" t="str">
        <f>IF(VLOOKUP($A51,Sheet1!$A:$AA,MATCH(M$1,Sheet1!$A$1:$AA$1,0),FALSE)=0,"",VLOOKUP($A51,Sheet1!$A:$AA,MATCH(M$1,Sheet1!$A$1:$AA$1,0),FALSE))</f>
        <v/>
      </c>
      <c r="N51" t="str">
        <f>IF(VLOOKUP($A51,Sheet1!$A:$AA,MATCH(N$1,Sheet1!$A$1:$AA$1,0),FALSE)=0,"",VLOOKUP($A51,Sheet1!$A:$AA,MATCH(N$1,Sheet1!$A$1:$AA$1,0),FALSE))</f>
        <v/>
      </c>
      <c r="O51" t="str">
        <f>IF(VLOOKUP($A51,Sheet1!$A:$AA,MATCH(O$1,Sheet1!$A$1:$AA$1,0),FALSE)=0,"",VLOOKUP($A51,Sheet1!$A:$AA,MATCH(O$1,Sheet1!$A$1:$AA$1,0),FALSE))</f>
        <v/>
      </c>
      <c r="P51" t="str">
        <f>IF(VLOOKUP($A51,Sheet1!$A:$AA,MATCH(P$1,Sheet1!$A$1:$AA$1,0),FALSE)=0,"",VLOOKUP($A51,Sheet1!$A:$AA,MATCH(P$1,Sheet1!$A$1:$AA$1,0),FALSE))</f>
        <v/>
      </c>
      <c r="Q51" t="str">
        <f>IF(VLOOKUP($A51,Sheet1!$A:$AA,MATCH(Q$1,Sheet1!$A$1:$AA$1,0),FALSE)=0,"",VLOOKUP($A51,Sheet1!$A:$AA,MATCH(Q$1,Sheet1!$A$1:$AA$1,0),FALSE))</f>
        <v>M</v>
      </c>
      <c r="R51" s="2">
        <f>IF(VLOOKUP($A51,Sheet1!$A:$AA,MATCH(R$1,Sheet1!$A$1:$AA$1,0),FALSE)=0,"",VLOOKUP($A51,Sheet1!$A:$AA,MATCH(R$1,Sheet1!$A$1:$AA$1,0),FALSE))</f>
        <v>39448</v>
      </c>
      <c r="AA51">
        <f ca="1">IF(VLOOKUP($A51,Sheet1!$A:$AA,MATCH(AA$1,Sheet1!$A$1:$AA$1,0),FALSE)=0,"",VLOOKUP($A51,Sheet1!$A:$AA,MATCH(AA$1,Sheet1!$A$1:$AA$1,0),FALSE))</f>
        <v>17</v>
      </c>
    </row>
    <row r="52" spans="1:27" x14ac:dyDescent="0.25">
      <c r="A52">
        <v>16954332</v>
      </c>
      <c r="B52" t="str">
        <f>IF(VLOOKUP($A52,Sheet1!$A:$AA,MATCH(B$1,Sheet1!$A$1:$AA$1,0),FALSE)=0,"",VLOOKUP($A52,Sheet1!$A:$AA,MATCH(B$1,Sheet1!$A$1:$AA$1,0),FALSE))</f>
        <v>Costantino, Gabriela</v>
      </c>
      <c r="C52" t="str">
        <f>IF(VLOOKUP($A52,Sheet1!$A:$AA,MATCH(C$1,Sheet1!$A$1:$AA$1,0),FALSE)=0,"",VLOOKUP($A52,Sheet1!$A:$AA,MATCH(C$1,Sheet1!$A$1:$AA$1,0),FALSE))</f>
        <v>Costantino</v>
      </c>
      <c r="D52" t="str">
        <f>IF(VLOOKUP($A52,Sheet1!$A:$AA,MATCH(D$1,Sheet1!$A$1:$AA$1,0),FALSE)=0,"",VLOOKUP($A52,Sheet1!$A:$AA,MATCH(D$1,Sheet1!$A$1:$AA$1,0),FALSE))</f>
        <v>Gabriela</v>
      </c>
      <c r="E52" t="str">
        <f>IF(VLOOKUP($A52,Sheet1!$A:$AA,MATCH(E$1,Sheet1!$A$1:$AA$1,0),FALSE)=0,"",VLOOKUP($A52,Sheet1!$A:$AA,MATCH(E$1,Sheet1!$A$1:$AA$1,0),FALSE))</f>
        <v/>
      </c>
      <c r="F52" t="str">
        <f>IF(VLOOKUP($A52,Sheet1!$A:$AA,MATCH(F$1,Sheet1!$A$1:$AA$1,0),FALSE)=0,"",VLOOKUP($A52,Sheet1!$A:$AA,MATCH(F$1,Sheet1!$A$1:$AA$1,0),FALSE))</f>
        <v/>
      </c>
      <c r="G52" t="str">
        <f>IF(VLOOKUP($A52,Sheet1!$A:$AA,MATCH(G$1,Sheet1!$A$1:$AA$1,0),FALSE)=0,"",VLOOKUP($A52,Sheet1!$A:$AA,MATCH(G$1,Sheet1!$A$1:$AA$1,0),FALSE))</f>
        <v/>
      </c>
      <c r="H52" t="str">
        <f>IF(VLOOKUP($A52,Sheet1!$A:$AA,MATCH(H$1,Sheet1!$A$1:$AA$1,0),FALSE)=0,"",VLOOKUP($A52,Sheet1!$A:$AA,MATCH(H$1,Sheet1!$A$1:$AA$1,0),FALSE))</f>
        <v/>
      </c>
      <c r="I52" t="str">
        <f>IF(VLOOKUP($A52,Sheet1!$A:$AA,MATCH(I$1,Sheet1!$A$1:$AA$1,0),FALSE)=0,"",VLOOKUP($A52,Sheet1!$A:$AA,MATCH(I$1,Sheet1!$A$1:$AA$1,0),FALSE))</f>
        <v/>
      </c>
      <c r="J52" t="str">
        <f>IF(VLOOKUP($A52,Sheet1!$A:$AA,MATCH(J$1,Sheet1!$A$1:$AA$1,0),FALSE)=0,"",VLOOKUP($A52,Sheet1!$A:$AA,MATCH(J$1,Sheet1!$A$1:$AA$1,0),FALSE))</f>
        <v/>
      </c>
      <c r="K52" t="str">
        <f>IF(VLOOKUP($A52,Sheet1!$A:$AA,MATCH(K$1,Sheet1!$A$1:$AA$1,0),FALSE)=0,"",VLOOKUP($A52,Sheet1!$A:$AA,MATCH(K$1,Sheet1!$A$1:$AA$1,0),FALSE))</f>
        <v>ANDALUZA</v>
      </c>
      <c r="L52" t="str">
        <f>IF(VLOOKUP($A52,Sheet1!$A:$AA,MATCH(L$1,Sheet1!$A$1:$AA$1,0),FALSE)=0,"",VLOOKUP($A52,Sheet1!$A:$AA,MATCH(L$1,Sheet1!$A$1:$AA$1,0),FALSE))</f>
        <v/>
      </c>
      <c r="M52" t="str">
        <f>IF(VLOOKUP($A52,Sheet1!$A:$AA,MATCH(M$1,Sheet1!$A$1:$AA$1,0),FALSE)=0,"",VLOOKUP($A52,Sheet1!$A:$AA,MATCH(M$1,Sheet1!$A$1:$AA$1,0),FALSE))</f>
        <v/>
      </c>
      <c r="N52" t="str">
        <f>IF(VLOOKUP($A52,Sheet1!$A:$AA,MATCH(N$1,Sheet1!$A$1:$AA$1,0),FALSE)=0,"",VLOOKUP($A52,Sheet1!$A:$AA,MATCH(N$1,Sheet1!$A$1:$AA$1,0),FALSE))</f>
        <v/>
      </c>
      <c r="O52" t="str">
        <f>IF(VLOOKUP($A52,Sheet1!$A:$AA,MATCH(O$1,Sheet1!$A$1:$AA$1,0),FALSE)=0,"",VLOOKUP($A52,Sheet1!$A:$AA,MATCH(O$1,Sheet1!$A$1:$AA$1,0),FALSE))</f>
        <v/>
      </c>
      <c r="P52" t="str">
        <f>IF(VLOOKUP($A52,Sheet1!$A:$AA,MATCH(P$1,Sheet1!$A$1:$AA$1,0),FALSE)=0,"",VLOOKUP($A52,Sheet1!$A:$AA,MATCH(P$1,Sheet1!$A$1:$AA$1,0),FALSE))</f>
        <v/>
      </c>
      <c r="Q52" t="str">
        <f>IF(VLOOKUP($A52,Sheet1!$A:$AA,MATCH(Q$1,Sheet1!$A$1:$AA$1,0),FALSE)=0,"",VLOOKUP($A52,Sheet1!$A:$AA,MATCH(Q$1,Sheet1!$A$1:$AA$1,0),FALSE))</f>
        <v>M</v>
      </c>
      <c r="R52" s="2">
        <f>IF(VLOOKUP($A52,Sheet1!$A:$AA,MATCH(R$1,Sheet1!$A$1:$AA$1,0),FALSE)=0,"",VLOOKUP($A52,Sheet1!$A:$AA,MATCH(R$1,Sheet1!$A$1:$AA$1,0),FALSE))</f>
        <v>23377</v>
      </c>
      <c r="AA52">
        <f ca="1">IF(VLOOKUP($A52,Sheet1!$A:$AA,MATCH(AA$1,Sheet1!$A$1:$AA$1,0),FALSE)=0,"",VLOOKUP($A52,Sheet1!$A:$AA,MATCH(AA$1,Sheet1!$A$1:$AA$1,0),FALSE))</f>
        <v>61</v>
      </c>
    </row>
    <row r="53" spans="1:27" x14ac:dyDescent="0.25">
      <c r="A53">
        <v>16954382</v>
      </c>
      <c r="B53" t="str">
        <f>IF(VLOOKUP($A53,Sheet1!$A:$AA,MATCH(B$1,Sheet1!$A$1:$AA$1,0),FALSE)=0,"",VLOOKUP($A53,Sheet1!$A:$AA,MATCH(B$1,Sheet1!$A$1:$AA$1,0),FALSE))</f>
        <v>GAMIZ PONCE, CARLOS</v>
      </c>
      <c r="C53" t="str">
        <f>IF(VLOOKUP($A53,Sheet1!$A:$AA,MATCH(C$1,Sheet1!$A$1:$AA$1,0),FALSE)=0,"",VLOOKUP($A53,Sheet1!$A:$AA,MATCH(C$1,Sheet1!$A$1:$AA$1,0),FALSE))</f>
        <v>GAMIZ PONCE</v>
      </c>
      <c r="D53" t="str">
        <f>IF(VLOOKUP($A53,Sheet1!$A:$AA,MATCH(D$1,Sheet1!$A$1:$AA$1,0),FALSE)=0,"",VLOOKUP($A53,Sheet1!$A:$AA,MATCH(D$1,Sheet1!$A$1:$AA$1,0),FALSE))</f>
        <v>CARLOS</v>
      </c>
      <c r="E53" t="str">
        <f>IF(VLOOKUP($A53,Sheet1!$A:$AA,MATCH(E$1,Sheet1!$A$1:$AA$1,0),FALSE)=0,"",VLOOKUP($A53,Sheet1!$A:$AA,MATCH(E$1,Sheet1!$A$1:$AA$1,0),FALSE))</f>
        <v/>
      </c>
      <c r="F53" t="str">
        <f>IF(VLOOKUP($A53,Sheet1!$A:$AA,MATCH(F$1,Sheet1!$A$1:$AA$1,0),FALSE)=0,"",VLOOKUP($A53,Sheet1!$A:$AA,MATCH(F$1,Sheet1!$A$1:$AA$1,0),FALSE))</f>
        <v/>
      </c>
      <c r="G53" t="str">
        <f>IF(VLOOKUP($A53,Sheet1!$A:$AA,MATCH(G$1,Sheet1!$A$1:$AA$1,0),FALSE)=0,"",VLOOKUP($A53,Sheet1!$A:$AA,MATCH(G$1,Sheet1!$A$1:$AA$1,0),FALSE))</f>
        <v/>
      </c>
      <c r="H53" t="str">
        <f>IF(VLOOKUP($A53,Sheet1!$A:$AA,MATCH(H$1,Sheet1!$A$1:$AA$1,0),FALSE)=0,"",VLOOKUP($A53,Sheet1!$A:$AA,MATCH(H$1,Sheet1!$A$1:$AA$1,0),FALSE))</f>
        <v/>
      </c>
      <c r="I53" t="str">
        <f>IF(VLOOKUP($A53,Sheet1!$A:$AA,MATCH(I$1,Sheet1!$A$1:$AA$1,0),FALSE)=0,"",VLOOKUP($A53,Sheet1!$A:$AA,MATCH(I$1,Sheet1!$A$1:$AA$1,0),FALSE))</f>
        <v/>
      </c>
      <c r="J53" t="str">
        <f>IF(VLOOKUP($A53,Sheet1!$A:$AA,MATCH(J$1,Sheet1!$A$1:$AA$1,0),FALSE)=0,"",VLOOKUP($A53,Sheet1!$A:$AA,MATCH(J$1,Sheet1!$A$1:$AA$1,0),FALSE))</f>
        <v/>
      </c>
      <c r="K53" t="str">
        <f>IF(VLOOKUP($A53,Sheet1!$A:$AA,MATCH(K$1,Sheet1!$A$1:$AA$1,0),FALSE)=0,"",VLOOKUP($A53,Sheet1!$A:$AA,MATCH(K$1,Sheet1!$A$1:$AA$1,0),FALSE))</f>
        <v>ANDALUZA</v>
      </c>
      <c r="L53" t="str">
        <f>IF(VLOOKUP($A53,Sheet1!$A:$AA,MATCH(L$1,Sheet1!$A$1:$AA$1,0),FALSE)=0,"",VLOOKUP($A53,Sheet1!$A:$AA,MATCH(L$1,Sheet1!$A$1:$AA$1,0),FALSE))</f>
        <v/>
      </c>
      <c r="M53" t="str">
        <f>IF(VLOOKUP($A53,Sheet1!$A:$AA,MATCH(M$1,Sheet1!$A$1:$AA$1,0),FALSE)=0,"",VLOOKUP($A53,Sheet1!$A:$AA,MATCH(M$1,Sheet1!$A$1:$AA$1,0),FALSE))</f>
        <v/>
      </c>
      <c r="N53" t="str">
        <f>IF(VLOOKUP($A53,Sheet1!$A:$AA,MATCH(N$1,Sheet1!$A$1:$AA$1,0),FALSE)=0,"",VLOOKUP($A53,Sheet1!$A:$AA,MATCH(N$1,Sheet1!$A$1:$AA$1,0),FALSE))</f>
        <v/>
      </c>
      <c r="O53" t="str">
        <f>IF(VLOOKUP($A53,Sheet1!$A:$AA,MATCH(O$1,Sheet1!$A$1:$AA$1,0),FALSE)=0,"",VLOOKUP($A53,Sheet1!$A:$AA,MATCH(O$1,Sheet1!$A$1:$AA$1,0),FALSE))</f>
        <v/>
      </c>
      <c r="P53" t="str">
        <f>IF(VLOOKUP($A53,Sheet1!$A:$AA,MATCH(P$1,Sheet1!$A$1:$AA$1,0),FALSE)=0,"",VLOOKUP($A53,Sheet1!$A:$AA,MATCH(P$1,Sheet1!$A$1:$AA$1,0),FALSE))</f>
        <v/>
      </c>
      <c r="Q53" t="str">
        <f>IF(VLOOKUP($A53,Sheet1!$A:$AA,MATCH(Q$1,Sheet1!$A$1:$AA$1,0),FALSE)=0,"",VLOOKUP($A53,Sheet1!$A:$AA,MATCH(Q$1,Sheet1!$A$1:$AA$1,0),FALSE))</f>
        <v>M</v>
      </c>
      <c r="R53" s="2">
        <f>IF(VLOOKUP($A53,Sheet1!$A:$AA,MATCH(R$1,Sheet1!$A$1:$AA$1,0),FALSE)=0,"",VLOOKUP($A53,Sheet1!$A:$AA,MATCH(R$1,Sheet1!$A$1:$AA$1,0),FALSE))</f>
        <v>33763</v>
      </c>
      <c r="AA53">
        <f ca="1">IF(VLOOKUP($A53,Sheet1!$A:$AA,MATCH(AA$1,Sheet1!$A$1:$AA$1,0),FALSE)=0,"",VLOOKUP($A53,Sheet1!$A:$AA,MATCH(AA$1,Sheet1!$A$1:$AA$1,0),FALSE))</f>
        <v>33</v>
      </c>
    </row>
    <row r="54" spans="1:27" x14ac:dyDescent="0.25">
      <c r="A54">
        <v>16954415</v>
      </c>
      <c r="B54" t="str">
        <f>IF(VLOOKUP($A54,Sheet1!$A:$AA,MATCH(B$1,Sheet1!$A$1:$AA$1,0),FALSE)=0,"",VLOOKUP($A54,Sheet1!$A:$AA,MATCH(B$1,Sheet1!$A$1:$AA$1,0),FALSE))</f>
        <v>MESEJO PEREIRA, NOEMí</v>
      </c>
      <c r="C54" t="str">
        <f>IF(VLOOKUP($A54,Sheet1!$A:$AA,MATCH(C$1,Sheet1!$A$1:$AA$1,0),FALSE)=0,"",VLOOKUP($A54,Sheet1!$A:$AA,MATCH(C$1,Sheet1!$A$1:$AA$1,0),FALSE))</f>
        <v>MESEJO PEREIRA</v>
      </c>
      <c r="D54" t="str">
        <f>IF(VLOOKUP($A54,Sheet1!$A:$AA,MATCH(D$1,Sheet1!$A$1:$AA$1,0),FALSE)=0,"",VLOOKUP($A54,Sheet1!$A:$AA,MATCH(D$1,Sheet1!$A$1:$AA$1,0),FALSE))</f>
        <v>NOEMí</v>
      </c>
      <c r="E54" t="str">
        <f>IF(VLOOKUP($A54,Sheet1!$A:$AA,MATCH(E$1,Sheet1!$A$1:$AA$1,0),FALSE)=0,"",VLOOKUP($A54,Sheet1!$A:$AA,MATCH(E$1,Sheet1!$A$1:$AA$1,0),FALSE))</f>
        <v/>
      </c>
      <c r="F54" t="str">
        <f>IF(VLOOKUP($A54,Sheet1!$A:$AA,MATCH(F$1,Sheet1!$A$1:$AA$1,0),FALSE)=0,"",VLOOKUP($A54,Sheet1!$A:$AA,MATCH(F$1,Sheet1!$A$1:$AA$1,0),FALSE))</f>
        <v/>
      </c>
      <c r="G54" t="str">
        <f>IF(VLOOKUP($A54,Sheet1!$A:$AA,MATCH(G$1,Sheet1!$A$1:$AA$1,0),FALSE)=0,"",VLOOKUP($A54,Sheet1!$A:$AA,MATCH(G$1,Sheet1!$A$1:$AA$1,0),FALSE))</f>
        <v/>
      </c>
      <c r="H54" t="str">
        <f>IF(VLOOKUP($A54,Sheet1!$A:$AA,MATCH(H$1,Sheet1!$A$1:$AA$1,0),FALSE)=0,"",VLOOKUP($A54,Sheet1!$A:$AA,MATCH(H$1,Sheet1!$A$1:$AA$1,0),FALSE))</f>
        <v/>
      </c>
      <c r="I54" t="str">
        <f>IF(VLOOKUP($A54,Sheet1!$A:$AA,MATCH(I$1,Sheet1!$A$1:$AA$1,0),FALSE)=0,"",VLOOKUP($A54,Sheet1!$A:$AA,MATCH(I$1,Sheet1!$A$1:$AA$1,0),FALSE))</f>
        <v/>
      </c>
      <c r="J54" t="str">
        <f>IF(VLOOKUP($A54,Sheet1!$A:$AA,MATCH(J$1,Sheet1!$A$1:$AA$1,0),FALSE)=0,"",VLOOKUP($A54,Sheet1!$A:$AA,MATCH(J$1,Sheet1!$A$1:$AA$1,0),FALSE))</f>
        <v/>
      </c>
      <c r="K54" t="str">
        <f>IF(VLOOKUP($A54,Sheet1!$A:$AA,MATCH(K$1,Sheet1!$A$1:$AA$1,0),FALSE)=0,"",VLOOKUP($A54,Sheet1!$A:$AA,MATCH(K$1,Sheet1!$A$1:$AA$1,0),FALSE))</f>
        <v>ANDALUZA</v>
      </c>
      <c r="L54" t="str">
        <f>IF(VLOOKUP($A54,Sheet1!$A:$AA,MATCH(L$1,Sheet1!$A$1:$AA$1,0),FALSE)=0,"",VLOOKUP($A54,Sheet1!$A:$AA,MATCH(L$1,Sheet1!$A$1:$AA$1,0),FALSE))</f>
        <v/>
      </c>
      <c r="M54" t="str">
        <f>IF(VLOOKUP($A54,Sheet1!$A:$AA,MATCH(M$1,Sheet1!$A$1:$AA$1,0),FALSE)=0,"",VLOOKUP($A54,Sheet1!$A:$AA,MATCH(M$1,Sheet1!$A$1:$AA$1,0),FALSE))</f>
        <v/>
      </c>
      <c r="N54" t="str">
        <f>IF(VLOOKUP($A54,Sheet1!$A:$AA,MATCH(N$1,Sheet1!$A$1:$AA$1,0),FALSE)=0,"",VLOOKUP($A54,Sheet1!$A:$AA,MATCH(N$1,Sheet1!$A$1:$AA$1,0),FALSE))</f>
        <v/>
      </c>
      <c r="O54" t="str">
        <f>IF(VLOOKUP($A54,Sheet1!$A:$AA,MATCH(O$1,Sheet1!$A$1:$AA$1,0),FALSE)=0,"",VLOOKUP($A54,Sheet1!$A:$AA,MATCH(O$1,Sheet1!$A$1:$AA$1,0),FALSE))</f>
        <v/>
      </c>
      <c r="P54" t="str">
        <f>IF(VLOOKUP($A54,Sheet1!$A:$AA,MATCH(P$1,Sheet1!$A$1:$AA$1,0),FALSE)=0,"",VLOOKUP($A54,Sheet1!$A:$AA,MATCH(P$1,Sheet1!$A$1:$AA$1,0),FALSE))</f>
        <v/>
      </c>
      <c r="Q54" t="str">
        <f>IF(VLOOKUP($A54,Sheet1!$A:$AA,MATCH(Q$1,Sheet1!$A$1:$AA$1,0),FALSE)=0,"",VLOOKUP($A54,Sheet1!$A:$AA,MATCH(Q$1,Sheet1!$A$1:$AA$1,0),FALSE))</f>
        <v>M</v>
      </c>
      <c r="R54" s="2">
        <f>IF(VLOOKUP($A54,Sheet1!$A:$AA,MATCH(R$1,Sheet1!$A$1:$AA$1,0),FALSE)=0,"",VLOOKUP($A54,Sheet1!$A:$AA,MATCH(R$1,Sheet1!$A$1:$AA$1,0),FALSE))</f>
        <v>30122</v>
      </c>
      <c r="AA54">
        <f ca="1">IF(VLOOKUP($A54,Sheet1!$A:$AA,MATCH(AA$1,Sheet1!$A$1:$AA$1,0),FALSE)=0,"",VLOOKUP($A54,Sheet1!$A:$AA,MATCH(AA$1,Sheet1!$A$1:$AA$1,0),FALSE))</f>
        <v>43</v>
      </c>
    </row>
    <row r="55" spans="1:27" x14ac:dyDescent="0.25">
      <c r="A55">
        <v>16954423</v>
      </c>
      <c r="B55" t="str">
        <f>IF(VLOOKUP($A55,Sheet1!$A:$AA,MATCH(B$1,Sheet1!$A$1:$AA$1,0),FALSE)=0,"",VLOOKUP($A55,Sheet1!$A:$AA,MATCH(B$1,Sheet1!$A$1:$AA$1,0),FALSE))</f>
        <v>BARAJAS LóPEZ, FRANCISCO JAVIER</v>
      </c>
      <c r="C55" t="str">
        <f>IF(VLOOKUP($A55,Sheet1!$A:$AA,MATCH(C$1,Sheet1!$A$1:$AA$1,0),FALSE)=0,"",VLOOKUP($A55,Sheet1!$A:$AA,MATCH(C$1,Sheet1!$A$1:$AA$1,0),FALSE))</f>
        <v>BARAJAS LóPEZ</v>
      </c>
      <c r="D55" t="str">
        <f>IF(VLOOKUP($A55,Sheet1!$A:$AA,MATCH(D$1,Sheet1!$A$1:$AA$1,0),FALSE)=0,"",VLOOKUP($A55,Sheet1!$A:$AA,MATCH(D$1,Sheet1!$A$1:$AA$1,0),FALSE))</f>
        <v>FRANCISCO JAVIER</v>
      </c>
      <c r="E55" t="str">
        <f>IF(VLOOKUP($A55,Sheet1!$A:$AA,MATCH(E$1,Sheet1!$A$1:$AA$1,0),FALSE)=0,"",VLOOKUP($A55,Sheet1!$A:$AA,MATCH(E$1,Sheet1!$A$1:$AA$1,0),FALSE))</f>
        <v/>
      </c>
      <c r="F55" t="str">
        <f>IF(VLOOKUP($A55,Sheet1!$A:$AA,MATCH(F$1,Sheet1!$A$1:$AA$1,0),FALSE)=0,"",VLOOKUP($A55,Sheet1!$A:$AA,MATCH(F$1,Sheet1!$A$1:$AA$1,0),FALSE))</f>
        <v/>
      </c>
      <c r="G55" t="str">
        <f>IF(VLOOKUP($A55,Sheet1!$A:$AA,MATCH(G$1,Sheet1!$A$1:$AA$1,0),FALSE)=0,"",VLOOKUP($A55,Sheet1!$A:$AA,MATCH(G$1,Sheet1!$A$1:$AA$1,0),FALSE))</f>
        <v/>
      </c>
      <c r="H55" t="str">
        <f>IF(VLOOKUP($A55,Sheet1!$A:$AA,MATCH(H$1,Sheet1!$A$1:$AA$1,0),FALSE)=0,"",VLOOKUP($A55,Sheet1!$A:$AA,MATCH(H$1,Sheet1!$A$1:$AA$1,0),FALSE))</f>
        <v/>
      </c>
      <c r="I55" t="str">
        <f>IF(VLOOKUP($A55,Sheet1!$A:$AA,MATCH(I$1,Sheet1!$A$1:$AA$1,0),FALSE)=0,"",VLOOKUP($A55,Sheet1!$A:$AA,MATCH(I$1,Sheet1!$A$1:$AA$1,0),FALSE))</f>
        <v/>
      </c>
      <c r="J55" t="str">
        <f>IF(VLOOKUP($A55,Sheet1!$A:$AA,MATCH(J$1,Sheet1!$A$1:$AA$1,0),FALSE)=0,"",VLOOKUP($A55,Sheet1!$A:$AA,MATCH(J$1,Sheet1!$A$1:$AA$1,0),FALSE))</f>
        <v/>
      </c>
      <c r="K55" t="str">
        <f>IF(VLOOKUP($A55,Sheet1!$A:$AA,MATCH(K$1,Sheet1!$A$1:$AA$1,0),FALSE)=0,"",VLOOKUP($A55,Sheet1!$A:$AA,MATCH(K$1,Sheet1!$A$1:$AA$1,0),FALSE))</f>
        <v>ANDALUZA</v>
      </c>
      <c r="L55" t="str">
        <f>IF(VLOOKUP($A55,Sheet1!$A:$AA,MATCH(L$1,Sheet1!$A$1:$AA$1,0),FALSE)=0,"",VLOOKUP($A55,Sheet1!$A:$AA,MATCH(L$1,Sheet1!$A$1:$AA$1,0),FALSE))</f>
        <v/>
      </c>
      <c r="M55" t="str">
        <f>IF(VLOOKUP($A55,Sheet1!$A:$AA,MATCH(M$1,Sheet1!$A$1:$AA$1,0),FALSE)=0,"",VLOOKUP($A55,Sheet1!$A:$AA,MATCH(M$1,Sheet1!$A$1:$AA$1,0),FALSE))</f>
        <v/>
      </c>
      <c r="N55" t="str">
        <f>IF(VLOOKUP($A55,Sheet1!$A:$AA,MATCH(N$1,Sheet1!$A$1:$AA$1,0),FALSE)=0,"",VLOOKUP($A55,Sheet1!$A:$AA,MATCH(N$1,Sheet1!$A$1:$AA$1,0),FALSE))</f>
        <v/>
      </c>
      <c r="O55" t="str">
        <f>IF(VLOOKUP($A55,Sheet1!$A:$AA,MATCH(O$1,Sheet1!$A$1:$AA$1,0),FALSE)=0,"",VLOOKUP($A55,Sheet1!$A:$AA,MATCH(O$1,Sheet1!$A$1:$AA$1,0),FALSE))</f>
        <v/>
      </c>
      <c r="P55" t="str">
        <f>IF(VLOOKUP($A55,Sheet1!$A:$AA,MATCH(P$1,Sheet1!$A$1:$AA$1,0),FALSE)=0,"",VLOOKUP($A55,Sheet1!$A:$AA,MATCH(P$1,Sheet1!$A$1:$AA$1,0),FALSE))</f>
        <v/>
      </c>
      <c r="Q55" t="str">
        <f>IF(VLOOKUP($A55,Sheet1!$A:$AA,MATCH(Q$1,Sheet1!$A$1:$AA$1,0),FALSE)=0,"",VLOOKUP($A55,Sheet1!$A:$AA,MATCH(Q$1,Sheet1!$A$1:$AA$1,0),FALSE))</f>
        <v>M</v>
      </c>
      <c r="R55" s="2">
        <f>IF(VLOOKUP($A55,Sheet1!$A:$AA,MATCH(R$1,Sheet1!$A$1:$AA$1,0),FALSE)=0,"",VLOOKUP($A55,Sheet1!$A:$AA,MATCH(R$1,Sheet1!$A$1:$AA$1,0),FALSE))</f>
        <v>23679</v>
      </c>
      <c r="AA55">
        <f ca="1">IF(VLOOKUP($A55,Sheet1!$A:$AA,MATCH(AA$1,Sheet1!$A$1:$AA$1,0),FALSE)=0,"",VLOOKUP($A55,Sheet1!$A:$AA,MATCH(AA$1,Sheet1!$A$1:$AA$1,0),FALSE))</f>
        <v>61</v>
      </c>
    </row>
    <row r="56" spans="1:27" x14ac:dyDescent="0.25">
      <c r="A56">
        <v>16954449</v>
      </c>
      <c r="B56" t="str">
        <f>IF(VLOOKUP($A56,Sheet1!$A:$AA,MATCH(B$1,Sheet1!$A$1:$AA$1,0),FALSE)=0,"",VLOOKUP($A56,Sheet1!$A:$AA,MATCH(B$1,Sheet1!$A$1:$AA$1,0),FALSE))</f>
        <v>GARCíA SáNCHEZ, MAURO</v>
      </c>
      <c r="C56" t="str">
        <f>IF(VLOOKUP($A56,Sheet1!$A:$AA,MATCH(C$1,Sheet1!$A$1:$AA$1,0),FALSE)=0,"",VLOOKUP($A56,Sheet1!$A:$AA,MATCH(C$1,Sheet1!$A$1:$AA$1,0),FALSE))</f>
        <v>GARCíA SáNCHEZ</v>
      </c>
      <c r="D56" t="str">
        <f>IF(VLOOKUP($A56,Sheet1!$A:$AA,MATCH(D$1,Sheet1!$A$1:$AA$1,0),FALSE)=0,"",VLOOKUP($A56,Sheet1!$A:$AA,MATCH(D$1,Sheet1!$A$1:$AA$1,0),FALSE))</f>
        <v>MAURO</v>
      </c>
      <c r="E56" t="str">
        <f>IF(VLOOKUP($A56,Sheet1!$A:$AA,MATCH(E$1,Sheet1!$A$1:$AA$1,0),FALSE)=0,"",VLOOKUP($A56,Sheet1!$A:$AA,MATCH(E$1,Sheet1!$A$1:$AA$1,0),FALSE))</f>
        <v/>
      </c>
      <c r="F56" t="str">
        <f>IF(VLOOKUP($A56,Sheet1!$A:$AA,MATCH(F$1,Sheet1!$A$1:$AA$1,0),FALSE)=0,"",VLOOKUP($A56,Sheet1!$A:$AA,MATCH(F$1,Sheet1!$A$1:$AA$1,0),FALSE))</f>
        <v/>
      </c>
      <c r="G56" t="str">
        <f>IF(VLOOKUP($A56,Sheet1!$A:$AA,MATCH(G$1,Sheet1!$A$1:$AA$1,0),FALSE)=0,"",VLOOKUP($A56,Sheet1!$A:$AA,MATCH(G$1,Sheet1!$A$1:$AA$1,0),FALSE))</f>
        <v/>
      </c>
      <c r="H56" t="str">
        <f>IF(VLOOKUP($A56,Sheet1!$A:$AA,MATCH(H$1,Sheet1!$A$1:$AA$1,0),FALSE)=0,"",VLOOKUP($A56,Sheet1!$A:$AA,MATCH(H$1,Sheet1!$A$1:$AA$1,0),FALSE))</f>
        <v/>
      </c>
      <c r="I56" t="str">
        <f>IF(VLOOKUP($A56,Sheet1!$A:$AA,MATCH(I$1,Sheet1!$A$1:$AA$1,0),FALSE)=0,"",VLOOKUP($A56,Sheet1!$A:$AA,MATCH(I$1,Sheet1!$A$1:$AA$1,0),FALSE))</f>
        <v/>
      </c>
      <c r="J56" t="str">
        <f>IF(VLOOKUP($A56,Sheet1!$A:$AA,MATCH(J$1,Sheet1!$A$1:$AA$1,0),FALSE)=0,"",VLOOKUP($A56,Sheet1!$A:$AA,MATCH(J$1,Sheet1!$A$1:$AA$1,0),FALSE))</f>
        <v/>
      </c>
      <c r="K56" t="str">
        <f>IF(VLOOKUP($A56,Sheet1!$A:$AA,MATCH(K$1,Sheet1!$A$1:$AA$1,0),FALSE)=0,"",VLOOKUP($A56,Sheet1!$A:$AA,MATCH(K$1,Sheet1!$A$1:$AA$1,0),FALSE))</f>
        <v>ANDALUZA</v>
      </c>
      <c r="L56" t="str">
        <f>IF(VLOOKUP($A56,Sheet1!$A:$AA,MATCH(L$1,Sheet1!$A$1:$AA$1,0),FALSE)=0,"",VLOOKUP($A56,Sheet1!$A:$AA,MATCH(L$1,Sheet1!$A$1:$AA$1,0),FALSE))</f>
        <v/>
      </c>
      <c r="M56" t="str">
        <f>IF(VLOOKUP($A56,Sheet1!$A:$AA,MATCH(M$1,Sheet1!$A$1:$AA$1,0),FALSE)=0,"",VLOOKUP($A56,Sheet1!$A:$AA,MATCH(M$1,Sheet1!$A$1:$AA$1,0),FALSE))</f>
        <v/>
      </c>
      <c r="N56" t="str">
        <f>IF(VLOOKUP($A56,Sheet1!$A:$AA,MATCH(N$1,Sheet1!$A$1:$AA$1,0),FALSE)=0,"",VLOOKUP($A56,Sheet1!$A:$AA,MATCH(N$1,Sheet1!$A$1:$AA$1,0),FALSE))</f>
        <v/>
      </c>
      <c r="O56" t="str">
        <f>IF(VLOOKUP($A56,Sheet1!$A:$AA,MATCH(O$1,Sheet1!$A$1:$AA$1,0),FALSE)=0,"",VLOOKUP($A56,Sheet1!$A:$AA,MATCH(O$1,Sheet1!$A$1:$AA$1,0),FALSE))</f>
        <v/>
      </c>
      <c r="P56" t="str">
        <f>IF(VLOOKUP($A56,Sheet1!$A:$AA,MATCH(P$1,Sheet1!$A$1:$AA$1,0),FALSE)=0,"",VLOOKUP($A56,Sheet1!$A:$AA,MATCH(P$1,Sheet1!$A$1:$AA$1,0),FALSE))</f>
        <v/>
      </c>
      <c r="Q56" t="str">
        <f>IF(VLOOKUP($A56,Sheet1!$A:$AA,MATCH(Q$1,Sheet1!$A$1:$AA$1,0),FALSE)=0,"",VLOOKUP($A56,Sheet1!$A:$AA,MATCH(Q$1,Sheet1!$A$1:$AA$1,0),FALSE))</f>
        <v>M</v>
      </c>
      <c r="R56" s="2">
        <f>IF(VLOOKUP($A56,Sheet1!$A:$AA,MATCH(R$1,Sheet1!$A$1:$AA$1,0),FALSE)=0,"",VLOOKUP($A56,Sheet1!$A:$AA,MATCH(R$1,Sheet1!$A$1:$AA$1,0),FALSE))</f>
        <v>39355</v>
      </c>
      <c r="AA56">
        <f ca="1">IF(VLOOKUP($A56,Sheet1!$A:$AA,MATCH(AA$1,Sheet1!$A$1:$AA$1,0),FALSE)=0,"",VLOOKUP($A56,Sheet1!$A:$AA,MATCH(AA$1,Sheet1!$A$1:$AA$1,0),FALSE))</f>
        <v>18</v>
      </c>
    </row>
    <row r="57" spans="1:27" x14ac:dyDescent="0.25">
      <c r="A57">
        <v>16954473</v>
      </c>
      <c r="B57" t="str">
        <f>IF(VLOOKUP($A57,Sheet1!$A:$AA,MATCH(B$1,Sheet1!$A$1:$AA$1,0),FALSE)=0,"",VLOOKUP($A57,Sheet1!$A:$AA,MATCH(B$1,Sheet1!$A$1:$AA$1,0),FALSE))</f>
        <v>ARAGóN GUZMáN, MARIA</v>
      </c>
      <c r="C57" t="str">
        <f>IF(VLOOKUP($A57,Sheet1!$A:$AA,MATCH(C$1,Sheet1!$A$1:$AA$1,0),FALSE)=0,"",VLOOKUP($A57,Sheet1!$A:$AA,MATCH(C$1,Sheet1!$A$1:$AA$1,0),FALSE))</f>
        <v>ARAGóN GUZMáN</v>
      </c>
      <c r="D57" t="str">
        <f>IF(VLOOKUP($A57,Sheet1!$A:$AA,MATCH(D$1,Sheet1!$A$1:$AA$1,0),FALSE)=0,"",VLOOKUP($A57,Sheet1!$A:$AA,MATCH(D$1,Sheet1!$A$1:$AA$1,0),FALSE))</f>
        <v>MARIA</v>
      </c>
      <c r="E57" t="str">
        <f>IF(VLOOKUP($A57,Sheet1!$A:$AA,MATCH(E$1,Sheet1!$A$1:$AA$1,0),FALSE)=0,"",VLOOKUP($A57,Sheet1!$A:$AA,MATCH(E$1,Sheet1!$A$1:$AA$1,0),FALSE))</f>
        <v/>
      </c>
      <c r="F57" t="str">
        <f>IF(VLOOKUP($A57,Sheet1!$A:$AA,MATCH(F$1,Sheet1!$A$1:$AA$1,0),FALSE)=0,"",VLOOKUP($A57,Sheet1!$A:$AA,MATCH(F$1,Sheet1!$A$1:$AA$1,0),FALSE))</f>
        <v/>
      </c>
      <c r="G57" t="str">
        <f>IF(VLOOKUP($A57,Sheet1!$A:$AA,MATCH(G$1,Sheet1!$A$1:$AA$1,0),FALSE)=0,"",VLOOKUP($A57,Sheet1!$A:$AA,MATCH(G$1,Sheet1!$A$1:$AA$1,0),FALSE))</f>
        <v/>
      </c>
      <c r="H57" t="str">
        <f>IF(VLOOKUP($A57,Sheet1!$A:$AA,MATCH(H$1,Sheet1!$A$1:$AA$1,0),FALSE)=0,"",VLOOKUP($A57,Sheet1!$A:$AA,MATCH(H$1,Sheet1!$A$1:$AA$1,0),FALSE))</f>
        <v/>
      </c>
      <c r="I57" t="str">
        <f>IF(VLOOKUP($A57,Sheet1!$A:$AA,MATCH(I$1,Sheet1!$A$1:$AA$1,0),FALSE)=0,"",VLOOKUP($A57,Sheet1!$A:$AA,MATCH(I$1,Sheet1!$A$1:$AA$1,0),FALSE))</f>
        <v/>
      </c>
      <c r="J57" t="str">
        <f>IF(VLOOKUP($A57,Sheet1!$A:$AA,MATCH(J$1,Sheet1!$A$1:$AA$1,0),FALSE)=0,"",VLOOKUP($A57,Sheet1!$A:$AA,MATCH(J$1,Sheet1!$A$1:$AA$1,0),FALSE))</f>
        <v/>
      </c>
      <c r="K57" t="str">
        <f>IF(VLOOKUP($A57,Sheet1!$A:$AA,MATCH(K$1,Sheet1!$A$1:$AA$1,0),FALSE)=0,"",VLOOKUP($A57,Sheet1!$A:$AA,MATCH(K$1,Sheet1!$A$1:$AA$1,0),FALSE))</f>
        <v>ANDALUZA</v>
      </c>
      <c r="L57" t="str">
        <f>IF(VLOOKUP($A57,Sheet1!$A:$AA,MATCH(L$1,Sheet1!$A$1:$AA$1,0),FALSE)=0,"",VLOOKUP($A57,Sheet1!$A:$AA,MATCH(L$1,Sheet1!$A$1:$AA$1,0),FALSE))</f>
        <v/>
      </c>
      <c r="M57" t="str">
        <f>IF(VLOOKUP($A57,Sheet1!$A:$AA,MATCH(M$1,Sheet1!$A$1:$AA$1,0),FALSE)=0,"",VLOOKUP($A57,Sheet1!$A:$AA,MATCH(M$1,Sheet1!$A$1:$AA$1,0),FALSE))</f>
        <v/>
      </c>
      <c r="N57" t="str">
        <f>IF(VLOOKUP($A57,Sheet1!$A:$AA,MATCH(N$1,Sheet1!$A$1:$AA$1,0),FALSE)=0,"",VLOOKUP($A57,Sheet1!$A:$AA,MATCH(N$1,Sheet1!$A$1:$AA$1,0),FALSE))</f>
        <v/>
      </c>
      <c r="O57" t="str">
        <f>IF(VLOOKUP($A57,Sheet1!$A:$AA,MATCH(O$1,Sheet1!$A$1:$AA$1,0),FALSE)=0,"",VLOOKUP($A57,Sheet1!$A:$AA,MATCH(O$1,Sheet1!$A$1:$AA$1,0),FALSE))</f>
        <v/>
      </c>
      <c r="P57" t="str">
        <f>IF(VLOOKUP($A57,Sheet1!$A:$AA,MATCH(P$1,Sheet1!$A$1:$AA$1,0),FALSE)=0,"",VLOOKUP($A57,Sheet1!$A:$AA,MATCH(P$1,Sheet1!$A$1:$AA$1,0),FALSE))</f>
        <v/>
      </c>
      <c r="Q57" t="str">
        <f>IF(VLOOKUP($A57,Sheet1!$A:$AA,MATCH(Q$1,Sheet1!$A$1:$AA$1,0),FALSE)=0,"",VLOOKUP($A57,Sheet1!$A:$AA,MATCH(Q$1,Sheet1!$A$1:$AA$1,0),FALSE))</f>
        <v>F</v>
      </c>
      <c r="R57" s="2">
        <f>IF(VLOOKUP($A57,Sheet1!$A:$AA,MATCH(R$1,Sheet1!$A$1:$AA$1,0),FALSE)=0,"",VLOOKUP($A57,Sheet1!$A:$AA,MATCH(R$1,Sheet1!$A$1:$AA$1,0),FALSE))</f>
        <v>30448</v>
      </c>
      <c r="AA57">
        <f ca="1">IF(VLOOKUP($A57,Sheet1!$A:$AA,MATCH(AA$1,Sheet1!$A$1:$AA$1,0),FALSE)=0,"",VLOOKUP($A57,Sheet1!$A:$AA,MATCH(AA$1,Sheet1!$A$1:$AA$1,0),FALSE))</f>
        <v>42</v>
      </c>
    </row>
    <row r="58" spans="1:27" x14ac:dyDescent="0.25">
      <c r="A58">
        <v>16954481</v>
      </c>
      <c r="B58" t="str">
        <f>IF(VLOOKUP($A58,Sheet1!$A:$AA,MATCH(B$1,Sheet1!$A$1:$AA$1,0),FALSE)=0,"",VLOOKUP($A58,Sheet1!$A:$AA,MATCH(B$1,Sheet1!$A$1:$AA$1,0),FALSE))</f>
        <v>REIG CASTRO, ÓSCAR</v>
      </c>
      <c r="C58" t="str">
        <f>IF(VLOOKUP($A58,Sheet1!$A:$AA,MATCH(C$1,Sheet1!$A$1:$AA$1,0),FALSE)=0,"",VLOOKUP($A58,Sheet1!$A:$AA,MATCH(C$1,Sheet1!$A$1:$AA$1,0),FALSE))</f>
        <v>REIG CASTRO</v>
      </c>
      <c r="D58" t="str">
        <f>IF(VLOOKUP($A58,Sheet1!$A:$AA,MATCH(D$1,Sheet1!$A$1:$AA$1,0),FALSE)=0,"",VLOOKUP($A58,Sheet1!$A:$AA,MATCH(D$1,Sheet1!$A$1:$AA$1,0),FALSE))</f>
        <v>ÓSCAR</v>
      </c>
      <c r="E58" t="str">
        <f>IF(VLOOKUP($A58,Sheet1!$A:$AA,MATCH(E$1,Sheet1!$A$1:$AA$1,0),FALSE)=0,"",VLOOKUP($A58,Sheet1!$A:$AA,MATCH(E$1,Sheet1!$A$1:$AA$1,0),FALSE))</f>
        <v/>
      </c>
      <c r="F58" t="str">
        <f>IF(VLOOKUP($A58,Sheet1!$A:$AA,MATCH(F$1,Sheet1!$A$1:$AA$1,0),FALSE)=0,"",VLOOKUP($A58,Sheet1!$A:$AA,MATCH(F$1,Sheet1!$A$1:$AA$1,0),FALSE))</f>
        <v/>
      </c>
      <c r="G58" t="str">
        <f>IF(VLOOKUP($A58,Sheet1!$A:$AA,MATCH(G$1,Sheet1!$A$1:$AA$1,0),FALSE)=0,"",VLOOKUP($A58,Sheet1!$A:$AA,MATCH(G$1,Sheet1!$A$1:$AA$1,0),FALSE))</f>
        <v/>
      </c>
      <c r="H58" t="str">
        <f>IF(VLOOKUP($A58,Sheet1!$A:$AA,MATCH(H$1,Sheet1!$A$1:$AA$1,0),FALSE)=0,"",VLOOKUP($A58,Sheet1!$A:$AA,MATCH(H$1,Sheet1!$A$1:$AA$1,0),FALSE))</f>
        <v/>
      </c>
      <c r="I58" t="str">
        <f>IF(VLOOKUP($A58,Sheet1!$A:$AA,MATCH(I$1,Sheet1!$A$1:$AA$1,0),FALSE)=0,"",VLOOKUP($A58,Sheet1!$A:$AA,MATCH(I$1,Sheet1!$A$1:$AA$1,0),FALSE))</f>
        <v/>
      </c>
      <c r="J58" t="str">
        <f>IF(VLOOKUP($A58,Sheet1!$A:$AA,MATCH(J$1,Sheet1!$A$1:$AA$1,0),FALSE)=0,"",VLOOKUP($A58,Sheet1!$A:$AA,MATCH(J$1,Sheet1!$A$1:$AA$1,0),FALSE))</f>
        <v/>
      </c>
      <c r="K58" t="str">
        <f>IF(VLOOKUP($A58,Sheet1!$A:$AA,MATCH(K$1,Sheet1!$A$1:$AA$1,0),FALSE)=0,"",VLOOKUP($A58,Sheet1!$A:$AA,MATCH(K$1,Sheet1!$A$1:$AA$1,0),FALSE))</f>
        <v>ANDALUZA</v>
      </c>
      <c r="L58" t="str">
        <f>IF(VLOOKUP($A58,Sheet1!$A:$AA,MATCH(L$1,Sheet1!$A$1:$AA$1,0),FALSE)=0,"",VLOOKUP($A58,Sheet1!$A:$AA,MATCH(L$1,Sheet1!$A$1:$AA$1,0),FALSE))</f>
        <v/>
      </c>
      <c r="M58" t="str">
        <f>IF(VLOOKUP($A58,Sheet1!$A:$AA,MATCH(M$1,Sheet1!$A$1:$AA$1,0),FALSE)=0,"",VLOOKUP($A58,Sheet1!$A:$AA,MATCH(M$1,Sheet1!$A$1:$AA$1,0),FALSE))</f>
        <v/>
      </c>
      <c r="N58" t="str">
        <f>IF(VLOOKUP($A58,Sheet1!$A:$AA,MATCH(N$1,Sheet1!$A$1:$AA$1,0),FALSE)=0,"",VLOOKUP($A58,Sheet1!$A:$AA,MATCH(N$1,Sheet1!$A$1:$AA$1,0),FALSE))</f>
        <v/>
      </c>
      <c r="O58" t="str">
        <f>IF(VLOOKUP($A58,Sheet1!$A:$AA,MATCH(O$1,Sheet1!$A$1:$AA$1,0),FALSE)=0,"",VLOOKUP($A58,Sheet1!$A:$AA,MATCH(O$1,Sheet1!$A$1:$AA$1,0),FALSE))</f>
        <v/>
      </c>
      <c r="P58" t="str">
        <f>IF(VLOOKUP($A58,Sheet1!$A:$AA,MATCH(P$1,Sheet1!$A$1:$AA$1,0),FALSE)=0,"",VLOOKUP($A58,Sheet1!$A:$AA,MATCH(P$1,Sheet1!$A$1:$AA$1,0),FALSE))</f>
        <v/>
      </c>
      <c r="Q58" t="str">
        <f>IF(VLOOKUP($A58,Sheet1!$A:$AA,MATCH(Q$1,Sheet1!$A$1:$AA$1,0),FALSE)=0,"",VLOOKUP($A58,Sheet1!$A:$AA,MATCH(Q$1,Sheet1!$A$1:$AA$1,0),FALSE))</f>
        <v>M</v>
      </c>
      <c r="R58" s="2">
        <f>IF(VLOOKUP($A58,Sheet1!$A:$AA,MATCH(R$1,Sheet1!$A$1:$AA$1,0),FALSE)=0,"",VLOOKUP($A58,Sheet1!$A:$AA,MATCH(R$1,Sheet1!$A$1:$AA$1,0),FALSE))</f>
        <v>37254</v>
      </c>
      <c r="AA58">
        <f ca="1">IF(VLOOKUP($A58,Sheet1!$A:$AA,MATCH(AA$1,Sheet1!$A$1:$AA$1,0),FALSE)=0,"",VLOOKUP($A58,Sheet1!$A:$AA,MATCH(AA$1,Sheet1!$A$1:$AA$1,0),FALSE))</f>
        <v>24</v>
      </c>
    </row>
    <row r="59" spans="1:27" x14ac:dyDescent="0.25">
      <c r="A59">
        <v>16954499</v>
      </c>
      <c r="B59" t="str">
        <f>IF(VLOOKUP($A59,Sheet1!$A:$AA,MATCH(B$1,Sheet1!$A$1:$AA$1,0),FALSE)=0,"",VLOOKUP($A59,Sheet1!$A:$AA,MATCH(B$1,Sheet1!$A$1:$AA$1,0),FALSE))</f>
        <v>LLAMAS DíAZ, FRANCISCO JAVIER</v>
      </c>
      <c r="C59" t="str">
        <f>IF(VLOOKUP($A59,Sheet1!$A:$AA,MATCH(C$1,Sheet1!$A$1:$AA$1,0),FALSE)=0,"",VLOOKUP($A59,Sheet1!$A:$AA,MATCH(C$1,Sheet1!$A$1:$AA$1,0),FALSE))</f>
        <v>LLAMAS DíAZ</v>
      </c>
      <c r="D59" t="str">
        <f>IF(VLOOKUP($A59,Sheet1!$A:$AA,MATCH(D$1,Sheet1!$A$1:$AA$1,0),FALSE)=0,"",VLOOKUP($A59,Sheet1!$A:$AA,MATCH(D$1,Sheet1!$A$1:$AA$1,0),FALSE))</f>
        <v>FRANCISCO JAVIER</v>
      </c>
      <c r="E59" t="str">
        <f>IF(VLOOKUP($A59,Sheet1!$A:$AA,MATCH(E$1,Sheet1!$A$1:$AA$1,0),FALSE)=0,"",VLOOKUP($A59,Sheet1!$A:$AA,MATCH(E$1,Sheet1!$A$1:$AA$1,0),FALSE))</f>
        <v/>
      </c>
      <c r="F59" t="str">
        <f>IF(VLOOKUP($A59,Sheet1!$A:$AA,MATCH(F$1,Sheet1!$A$1:$AA$1,0),FALSE)=0,"",VLOOKUP($A59,Sheet1!$A:$AA,MATCH(F$1,Sheet1!$A$1:$AA$1,0),FALSE))</f>
        <v/>
      </c>
      <c r="G59" t="str">
        <f>IF(VLOOKUP($A59,Sheet1!$A:$AA,MATCH(G$1,Sheet1!$A$1:$AA$1,0),FALSE)=0,"",VLOOKUP($A59,Sheet1!$A:$AA,MATCH(G$1,Sheet1!$A$1:$AA$1,0),FALSE))</f>
        <v/>
      </c>
      <c r="H59" t="str">
        <f>IF(VLOOKUP($A59,Sheet1!$A:$AA,MATCH(H$1,Sheet1!$A$1:$AA$1,0),FALSE)=0,"",VLOOKUP($A59,Sheet1!$A:$AA,MATCH(H$1,Sheet1!$A$1:$AA$1,0),FALSE))</f>
        <v/>
      </c>
      <c r="I59" t="str">
        <f>IF(VLOOKUP($A59,Sheet1!$A:$AA,MATCH(I$1,Sheet1!$A$1:$AA$1,0),FALSE)=0,"",VLOOKUP($A59,Sheet1!$A:$AA,MATCH(I$1,Sheet1!$A$1:$AA$1,0),FALSE))</f>
        <v/>
      </c>
      <c r="J59" t="str">
        <f>IF(VLOOKUP($A59,Sheet1!$A:$AA,MATCH(J$1,Sheet1!$A$1:$AA$1,0),FALSE)=0,"",VLOOKUP($A59,Sheet1!$A:$AA,MATCH(J$1,Sheet1!$A$1:$AA$1,0),FALSE))</f>
        <v/>
      </c>
      <c r="K59" t="str">
        <f>IF(VLOOKUP($A59,Sheet1!$A:$AA,MATCH(K$1,Sheet1!$A$1:$AA$1,0),FALSE)=0,"",VLOOKUP($A59,Sheet1!$A:$AA,MATCH(K$1,Sheet1!$A$1:$AA$1,0),FALSE))</f>
        <v>ANDALUZA</v>
      </c>
      <c r="L59" t="str">
        <f>IF(VLOOKUP($A59,Sheet1!$A:$AA,MATCH(L$1,Sheet1!$A$1:$AA$1,0),FALSE)=0,"",VLOOKUP($A59,Sheet1!$A:$AA,MATCH(L$1,Sheet1!$A$1:$AA$1,0),FALSE))</f>
        <v/>
      </c>
      <c r="M59" t="str">
        <f>IF(VLOOKUP($A59,Sheet1!$A:$AA,MATCH(M$1,Sheet1!$A$1:$AA$1,0),FALSE)=0,"",VLOOKUP($A59,Sheet1!$A:$AA,MATCH(M$1,Sheet1!$A$1:$AA$1,0),FALSE))</f>
        <v/>
      </c>
      <c r="N59" t="str">
        <f>IF(VLOOKUP($A59,Sheet1!$A:$AA,MATCH(N$1,Sheet1!$A$1:$AA$1,0),FALSE)=0,"",VLOOKUP($A59,Sheet1!$A:$AA,MATCH(N$1,Sheet1!$A$1:$AA$1,0),FALSE))</f>
        <v/>
      </c>
      <c r="O59" t="str">
        <f>IF(VLOOKUP($A59,Sheet1!$A:$AA,MATCH(O$1,Sheet1!$A$1:$AA$1,0),FALSE)=0,"",VLOOKUP($A59,Sheet1!$A:$AA,MATCH(O$1,Sheet1!$A$1:$AA$1,0),FALSE))</f>
        <v/>
      </c>
      <c r="P59" t="str">
        <f>IF(VLOOKUP($A59,Sheet1!$A:$AA,MATCH(P$1,Sheet1!$A$1:$AA$1,0),FALSE)=0,"",VLOOKUP($A59,Sheet1!$A:$AA,MATCH(P$1,Sheet1!$A$1:$AA$1,0),FALSE))</f>
        <v/>
      </c>
      <c r="Q59" t="str">
        <f>IF(VLOOKUP($A59,Sheet1!$A:$AA,MATCH(Q$1,Sheet1!$A$1:$AA$1,0),FALSE)=0,"",VLOOKUP($A59,Sheet1!$A:$AA,MATCH(Q$1,Sheet1!$A$1:$AA$1,0),FALSE))</f>
        <v>M</v>
      </c>
      <c r="R59" s="2">
        <f>IF(VLOOKUP($A59,Sheet1!$A:$AA,MATCH(R$1,Sheet1!$A$1:$AA$1,0),FALSE)=0,"",VLOOKUP($A59,Sheet1!$A:$AA,MATCH(R$1,Sheet1!$A$1:$AA$1,0),FALSE))</f>
        <v>37378</v>
      </c>
      <c r="AA59">
        <f ca="1">IF(VLOOKUP($A59,Sheet1!$A:$AA,MATCH(AA$1,Sheet1!$A$1:$AA$1,0),FALSE)=0,"",VLOOKUP($A59,Sheet1!$A:$AA,MATCH(AA$1,Sheet1!$A$1:$AA$1,0),FALSE))</f>
        <v>23</v>
      </c>
    </row>
    <row r="60" spans="1:27" x14ac:dyDescent="0.25">
      <c r="A60">
        <v>16954506</v>
      </c>
      <c r="B60" t="str">
        <f>IF(VLOOKUP($A60,Sheet1!$A:$AA,MATCH(B$1,Sheet1!$A$1:$AA$1,0),FALSE)=0,"",VLOOKUP($A60,Sheet1!$A:$AA,MATCH(B$1,Sheet1!$A$1:$AA$1,0),FALSE))</f>
        <v>MORÁN ALMENARA, FRANCISCO JOSÉ</v>
      </c>
      <c r="C60" t="str">
        <f>IF(VLOOKUP($A60,Sheet1!$A:$AA,MATCH(C$1,Sheet1!$A$1:$AA$1,0),FALSE)=0,"",VLOOKUP($A60,Sheet1!$A:$AA,MATCH(C$1,Sheet1!$A$1:$AA$1,0),FALSE))</f>
        <v>MORÁN ALMENARA</v>
      </c>
      <c r="D60" t="str">
        <f>IF(VLOOKUP($A60,Sheet1!$A:$AA,MATCH(D$1,Sheet1!$A$1:$AA$1,0),FALSE)=0,"",VLOOKUP($A60,Sheet1!$A:$AA,MATCH(D$1,Sheet1!$A$1:$AA$1,0),FALSE))</f>
        <v>FRANCISCO JOSÉ</v>
      </c>
      <c r="E60" t="str">
        <f>IF(VLOOKUP($A60,Sheet1!$A:$AA,MATCH(E$1,Sheet1!$A$1:$AA$1,0),FALSE)=0,"",VLOOKUP($A60,Sheet1!$A:$AA,MATCH(E$1,Sheet1!$A$1:$AA$1,0),FALSE))</f>
        <v/>
      </c>
      <c r="F60" t="str">
        <f>IF(VLOOKUP($A60,Sheet1!$A:$AA,MATCH(F$1,Sheet1!$A$1:$AA$1,0),FALSE)=0,"",VLOOKUP($A60,Sheet1!$A:$AA,MATCH(F$1,Sheet1!$A$1:$AA$1,0),FALSE))</f>
        <v/>
      </c>
      <c r="G60" t="str">
        <f>IF(VLOOKUP($A60,Sheet1!$A:$AA,MATCH(G$1,Sheet1!$A$1:$AA$1,0),FALSE)=0,"",VLOOKUP($A60,Sheet1!$A:$AA,MATCH(G$1,Sheet1!$A$1:$AA$1,0),FALSE))</f>
        <v/>
      </c>
      <c r="H60" t="str">
        <f>IF(VLOOKUP($A60,Sheet1!$A:$AA,MATCH(H$1,Sheet1!$A$1:$AA$1,0),FALSE)=0,"",VLOOKUP($A60,Sheet1!$A:$AA,MATCH(H$1,Sheet1!$A$1:$AA$1,0),FALSE))</f>
        <v/>
      </c>
      <c r="I60" t="str">
        <f>IF(VLOOKUP($A60,Sheet1!$A:$AA,MATCH(I$1,Sheet1!$A$1:$AA$1,0),FALSE)=0,"",VLOOKUP($A60,Sheet1!$A:$AA,MATCH(I$1,Sheet1!$A$1:$AA$1,0),FALSE))</f>
        <v/>
      </c>
      <c r="J60" t="str">
        <f>IF(VLOOKUP($A60,Sheet1!$A:$AA,MATCH(J$1,Sheet1!$A$1:$AA$1,0),FALSE)=0,"",VLOOKUP($A60,Sheet1!$A:$AA,MATCH(J$1,Sheet1!$A$1:$AA$1,0),FALSE))</f>
        <v/>
      </c>
      <c r="K60" t="str">
        <f>IF(VLOOKUP($A60,Sheet1!$A:$AA,MATCH(K$1,Sheet1!$A$1:$AA$1,0),FALSE)=0,"",VLOOKUP($A60,Sheet1!$A:$AA,MATCH(K$1,Sheet1!$A$1:$AA$1,0),FALSE))</f>
        <v>ANDALUZA</v>
      </c>
      <c r="L60" t="str">
        <f>IF(VLOOKUP($A60,Sheet1!$A:$AA,MATCH(L$1,Sheet1!$A$1:$AA$1,0),FALSE)=0,"",VLOOKUP($A60,Sheet1!$A:$AA,MATCH(L$1,Sheet1!$A$1:$AA$1,0),FALSE))</f>
        <v/>
      </c>
      <c r="M60" t="str">
        <f>IF(VLOOKUP($A60,Sheet1!$A:$AA,MATCH(M$1,Sheet1!$A$1:$AA$1,0),FALSE)=0,"",VLOOKUP($A60,Sheet1!$A:$AA,MATCH(M$1,Sheet1!$A$1:$AA$1,0),FALSE))</f>
        <v/>
      </c>
      <c r="N60" t="str">
        <f>IF(VLOOKUP($A60,Sheet1!$A:$AA,MATCH(N$1,Sheet1!$A$1:$AA$1,0),FALSE)=0,"",VLOOKUP($A60,Sheet1!$A:$AA,MATCH(N$1,Sheet1!$A$1:$AA$1,0),FALSE))</f>
        <v/>
      </c>
      <c r="O60" t="str">
        <f>IF(VLOOKUP($A60,Sheet1!$A:$AA,MATCH(O$1,Sheet1!$A$1:$AA$1,0),FALSE)=0,"",VLOOKUP($A60,Sheet1!$A:$AA,MATCH(O$1,Sheet1!$A$1:$AA$1,0),FALSE))</f>
        <v/>
      </c>
      <c r="P60" t="str">
        <f>IF(VLOOKUP($A60,Sheet1!$A:$AA,MATCH(P$1,Sheet1!$A$1:$AA$1,0),FALSE)=0,"",VLOOKUP($A60,Sheet1!$A:$AA,MATCH(P$1,Sheet1!$A$1:$AA$1,0),FALSE))</f>
        <v/>
      </c>
      <c r="Q60" t="str">
        <f>IF(VLOOKUP($A60,Sheet1!$A:$AA,MATCH(Q$1,Sheet1!$A$1:$AA$1,0),FALSE)=0,"",VLOOKUP($A60,Sheet1!$A:$AA,MATCH(Q$1,Sheet1!$A$1:$AA$1,0),FALSE))</f>
        <v>M</v>
      </c>
      <c r="R60" s="2">
        <f>IF(VLOOKUP($A60,Sheet1!$A:$AA,MATCH(R$1,Sheet1!$A$1:$AA$1,0),FALSE)=0,"",VLOOKUP($A60,Sheet1!$A:$AA,MATCH(R$1,Sheet1!$A$1:$AA$1,0),FALSE))</f>
        <v>34812</v>
      </c>
      <c r="AA60">
        <f ca="1">IF(VLOOKUP($A60,Sheet1!$A:$AA,MATCH(AA$1,Sheet1!$A$1:$AA$1,0),FALSE)=0,"",VLOOKUP($A60,Sheet1!$A:$AA,MATCH(AA$1,Sheet1!$A$1:$AA$1,0),FALSE))</f>
        <v>30</v>
      </c>
    </row>
    <row r="61" spans="1:27" x14ac:dyDescent="0.25">
      <c r="A61">
        <v>16954514</v>
      </c>
      <c r="B61" t="str">
        <f>IF(VLOOKUP($A61,Sheet1!$A:$AA,MATCH(B$1,Sheet1!$A$1:$AA$1,0),FALSE)=0,"",VLOOKUP($A61,Sheet1!$A:$AA,MATCH(B$1,Sheet1!$A$1:$AA$1,0),FALSE))</f>
        <v>ARANDA RAMOS, JUAN</v>
      </c>
      <c r="C61" t="str">
        <f>IF(VLOOKUP($A61,Sheet1!$A:$AA,MATCH(C$1,Sheet1!$A$1:$AA$1,0),FALSE)=0,"",VLOOKUP($A61,Sheet1!$A:$AA,MATCH(C$1,Sheet1!$A$1:$AA$1,0),FALSE))</f>
        <v>ARANDA RAMOS</v>
      </c>
      <c r="D61" t="str">
        <f>IF(VLOOKUP($A61,Sheet1!$A:$AA,MATCH(D$1,Sheet1!$A$1:$AA$1,0),FALSE)=0,"",VLOOKUP($A61,Sheet1!$A:$AA,MATCH(D$1,Sheet1!$A$1:$AA$1,0),FALSE))</f>
        <v>JUAN</v>
      </c>
      <c r="E61" t="str">
        <f>IF(VLOOKUP($A61,Sheet1!$A:$AA,MATCH(E$1,Sheet1!$A$1:$AA$1,0),FALSE)=0,"",VLOOKUP($A61,Sheet1!$A:$AA,MATCH(E$1,Sheet1!$A$1:$AA$1,0),FALSE))</f>
        <v/>
      </c>
      <c r="F61" t="str">
        <f>IF(VLOOKUP($A61,Sheet1!$A:$AA,MATCH(F$1,Sheet1!$A$1:$AA$1,0),FALSE)=0,"",VLOOKUP($A61,Sheet1!$A:$AA,MATCH(F$1,Sheet1!$A$1:$AA$1,0),FALSE))</f>
        <v/>
      </c>
      <c r="G61" t="str">
        <f>IF(VLOOKUP($A61,Sheet1!$A:$AA,MATCH(G$1,Sheet1!$A$1:$AA$1,0),FALSE)=0,"",VLOOKUP($A61,Sheet1!$A:$AA,MATCH(G$1,Sheet1!$A$1:$AA$1,0),FALSE))</f>
        <v/>
      </c>
      <c r="H61" t="str">
        <f>IF(VLOOKUP($A61,Sheet1!$A:$AA,MATCH(H$1,Sheet1!$A$1:$AA$1,0),FALSE)=0,"",VLOOKUP($A61,Sheet1!$A:$AA,MATCH(H$1,Sheet1!$A$1:$AA$1,0),FALSE))</f>
        <v/>
      </c>
      <c r="I61" t="str">
        <f>IF(VLOOKUP($A61,Sheet1!$A:$AA,MATCH(I$1,Sheet1!$A$1:$AA$1,0),FALSE)=0,"",VLOOKUP($A61,Sheet1!$A:$AA,MATCH(I$1,Sheet1!$A$1:$AA$1,0),FALSE))</f>
        <v/>
      </c>
      <c r="J61" t="str">
        <f>IF(VLOOKUP($A61,Sheet1!$A:$AA,MATCH(J$1,Sheet1!$A$1:$AA$1,0),FALSE)=0,"",VLOOKUP($A61,Sheet1!$A:$AA,MATCH(J$1,Sheet1!$A$1:$AA$1,0),FALSE))</f>
        <v/>
      </c>
      <c r="K61" t="str">
        <f>IF(VLOOKUP($A61,Sheet1!$A:$AA,MATCH(K$1,Sheet1!$A$1:$AA$1,0),FALSE)=0,"",VLOOKUP($A61,Sheet1!$A:$AA,MATCH(K$1,Sheet1!$A$1:$AA$1,0),FALSE))</f>
        <v>ANDALUZA</v>
      </c>
      <c r="L61" t="str">
        <f>IF(VLOOKUP($A61,Sheet1!$A:$AA,MATCH(L$1,Sheet1!$A$1:$AA$1,0),FALSE)=0,"",VLOOKUP($A61,Sheet1!$A:$AA,MATCH(L$1,Sheet1!$A$1:$AA$1,0),FALSE))</f>
        <v/>
      </c>
      <c r="M61" t="str">
        <f>IF(VLOOKUP($A61,Sheet1!$A:$AA,MATCH(M$1,Sheet1!$A$1:$AA$1,0),FALSE)=0,"",VLOOKUP($A61,Sheet1!$A:$AA,MATCH(M$1,Sheet1!$A$1:$AA$1,0),FALSE))</f>
        <v/>
      </c>
      <c r="N61" t="str">
        <f>IF(VLOOKUP($A61,Sheet1!$A:$AA,MATCH(N$1,Sheet1!$A$1:$AA$1,0),FALSE)=0,"",VLOOKUP($A61,Sheet1!$A:$AA,MATCH(N$1,Sheet1!$A$1:$AA$1,0),FALSE))</f>
        <v/>
      </c>
      <c r="O61" t="str">
        <f>IF(VLOOKUP($A61,Sheet1!$A:$AA,MATCH(O$1,Sheet1!$A$1:$AA$1,0),FALSE)=0,"",VLOOKUP($A61,Sheet1!$A:$AA,MATCH(O$1,Sheet1!$A$1:$AA$1,0),FALSE))</f>
        <v/>
      </c>
      <c r="P61" t="str">
        <f>IF(VLOOKUP($A61,Sheet1!$A:$AA,MATCH(P$1,Sheet1!$A$1:$AA$1,0),FALSE)=0,"",VLOOKUP($A61,Sheet1!$A:$AA,MATCH(P$1,Sheet1!$A$1:$AA$1,0),FALSE))</f>
        <v/>
      </c>
      <c r="Q61" t="str">
        <f>IF(VLOOKUP($A61,Sheet1!$A:$AA,MATCH(Q$1,Sheet1!$A$1:$AA$1,0),FALSE)=0,"",VLOOKUP($A61,Sheet1!$A:$AA,MATCH(Q$1,Sheet1!$A$1:$AA$1,0),FALSE))</f>
        <v>M</v>
      </c>
      <c r="R61" s="2">
        <f>IF(VLOOKUP($A61,Sheet1!$A:$AA,MATCH(R$1,Sheet1!$A$1:$AA$1,0),FALSE)=0,"",VLOOKUP($A61,Sheet1!$A:$AA,MATCH(R$1,Sheet1!$A$1:$AA$1,0),FALSE))</f>
        <v>29225</v>
      </c>
      <c r="AA61">
        <f ca="1">IF(VLOOKUP($A61,Sheet1!$A:$AA,MATCH(AA$1,Sheet1!$A$1:$AA$1,0),FALSE)=0,"",VLOOKUP($A61,Sheet1!$A:$AA,MATCH(AA$1,Sheet1!$A$1:$AA$1,0),FALSE))</f>
        <v>45</v>
      </c>
    </row>
    <row r="62" spans="1:27" x14ac:dyDescent="0.25">
      <c r="A62">
        <v>16954522</v>
      </c>
      <c r="B62" t="str">
        <f>IF(VLOOKUP($A62,Sheet1!$A:$AA,MATCH(B$1,Sheet1!$A$1:$AA$1,0),FALSE)=0,"",VLOOKUP($A62,Sheet1!$A:$AA,MATCH(B$1,Sheet1!$A$1:$AA$1,0),FALSE))</f>
        <v>ROMERO FRIAS, ENRIQUE</v>
      </c>
      <c r="C62" t="str">
        <f>IF(VLOOKUP($A62,Sheet1!$A:$AA,MATCH(C$1,Sheet1!$A$1:$AA$1,0),FALSE)=0,"",VLOOKUP($A62,Sheet1!$A:$AA,MATCH(C$1,Sheet1!$A$1:$AA$1,0),FALSE))</f>
        <v>ROMERO FRIAS</v>
      </c>
      <c r="D62" t="str">
        <f>IF(VLOOKUP($A62,Sheet1!$A:$AA,MATCH(D$1,Sheet1!$A$1:$AA$1,0),FALSE)=0,"",VLOOKUP($A62,Sheet1!$A:$AA,MATCH(D$1,Sheet1!$A$1:$AA$1,0),FALSE))</f>
        <v>ENRIQUE</v>
      </c>
      <c r="E62" t="str">
        <f>IF(VLOOKUP($A62,Sheet1!$A:$AA,MATCH(E$1,Sheet1!$A$1:$AA$1,0),FALSE)=0,"",VLOOKUP($A62,Sheet1!$A:$AA,MATCH(E$1,Sheet1!$A$1:$AA$1,0),FALSE))</f>
        <v/>
      </c>
      <c r="F62" t="str">
        <f>IF(VLOOKUP($A62,Sheet1!$A:$AA,MATCH(F$1,Sheet1!$A$1:$AA$1,0),FALSE)=0,"",VLOOKUP($A62,Sheet1!$A:$AA,MATCH(F$1,Sheet1!$A$1:$AA$1,0),FALSE))</f>
        <v/>
      </c>
      <c r="G62" t="str">
        <f>IF(VLOOKUP($A62,Sheet1!$A:$AA,MATCH(G$1,Sheet1!$A$1:$AA$1,0),FALSE)=0,"",VLOOKUP($A62,Sheet1!$A:$AA,MATCH(G$1,Sheet1!$A$1:$AA$1,0),FALSE))</f>
        <v/>
      </c>
      <c r="H62" t="str">
        <f>IF(VLOOKUP($A62,Sheet1!$A:$AA,MATCH(H$1,Sheet1!$A$1:$AA$1,0),FALSE)=0,"",VLOOKUP($A62,Sheet1!$A:$AA,MATCH(H$1,Sheet1!$A$1:$AA$1,0),FALSE))</f>
        <v/>
      </c>
      <c r="I62" t="str">
        <f>IF(VLOOKUP($A62,Sheet1!$A:$AA,MATCH(I$1,Sheet1!$A$1:$AA$1,0),FALSE)=0,"",VLOOKUP($A62,Sheet1!$A:$AA,MATCH(I$1,Sheet1!$A$1:$AA$1,0),FALSE))</f>
        <v/>
      </c>
      <c r="J62" t="str">
        <f>IF(VLOOKUP($A62,Sheet1!$A:$AA,MATCH(J$1,Sheet1!$A$1:$AA$1,0),FALSE)=0,"",VLOOKUP($A62,Sheet1!$A:$AA,MATCH(J$1,Sheet1!$A$1:$AA$1,0),FALSE))</f>
        <v/>
      </c>
      <c r="K62" t="str">
        <f>IF(VLOOKUP($A62,Sheet1!$A:$AA,MATCH(K$1,Sheet1!$A$1:$AA$1,0),FALSE)=0,"",VLOOKUP($A62,Sheet1!$A:$AA,MATCH(K$1,Sheet1!$A$1:$AA$1,0),FALSE))</f>
        <v>ANDALUZA</v>
      </c>
      <c r="L62" t="str">
        <f>IF(VLOOKUP($A62,Sheet1!$A:$AA,MATCH(L$1,Sheet1!$A$1:$AA$1,0),FALSE)=0,"",VLOOKUP($A62,Sheet1!$A:$AA,MATCH(L$1,Sheet1!$A$1:$AA$1,0),FALSE))</f>
        <v/>
      </c>
      <c r="M62" t="str">
        <f>IF(VLOOKUP($A62,Sheet1!$A:$AA,MATCH(M$1,Sheet1!$A$1:$AA$1,0),FALSE)=0,"",VLOOKUP($A62,Sheet1!$A:$AA,MATCH(M$1,Sheet1!$A$1:$AA$1,0),FALSE))</f>
        <v/>
      </c>
      <c r="N62" t="str">
        <f>IF(VLOOKUP($A62,Sheet1!$A:$AA,MATCH(N$1,Sheet1!$A$1:$AA$1,0),FALSE)=0,"",VLOOKUP($A62,Sheet1!$A:$AA,MATCH(N$1,Sheet1!$A$1:$AA$1,0),FALSE))</f>
        <v/>
      </c>
      <c r="O62" t="str">
        <f>IF(VLOOKUP($A62,Sheet1!$A:$AA,MATCH(O$1,Sheet1!$A$1:$AA$1,0),FALSE)=0,"",VLOOKUP($A62,Sheet1!$A:$AA,MATCH(O$1,Sheet1!$A$1:$AA$1,0),FALSE))</f>
        <v/>
      </c>
      <c r="P62" t="str">
        <f>IF(VLOOKUP($A62,Sheet1!$A:$AA,MATCH(P$1,Sheet1!$A$1:$AA$1,0),FALSE)=0,"",VLOOKUP($A62,Sheet1!$A:$AA,MATCH(P$1,Sheet1!$A$1:$AA$1,0),FALSE))</f>
        <v/>
      </c>
      <c r="Q62" t="str">
        <f>IF(VLOOKUP($A62,Sheet1!$A:$AA,MATCH(Q$1,Sheet1!$A$1:$AA$1,0),FALSE)=0,"",VLOOKUP($A62,Sheet1!$A:$AA,MATCH(Q$1,Sheet1!$A$1:$AA$1,0),FALSE))</f>
        <v>M</v>
      </c>
      <c r="R62" s="2">
        <f>IF(VLOOKUP($A62,Sheet1!$A:$AA,MATCH(R$1,Sheet1!$A$1:$AA$1,0),FALSE)=0,"",VLOOKUP($A62,Sheet1!$A:$AA,MATCH(R$1,Sheet1!$A$1:$AA$1,0),FALSE))</f>
        <v>32098</v>
      </c>
      <c r="AA62">
        <f ca="1">IF(VLOOKUP($A62,Sheet1!$A:$AA,MATCH(AA$1,Sheet1!$A$1:$AA$1,0),FALSE)=0,"",VLOOKUP($A62,Sheet1!$A:$AA,MATCH(AA$1,Sheet1!$A$1:$AA$1,0),FALSE))</f>
        <v>38</v>
      </c>
    </row>
    <row r="63" spans="1:27" x14ac:dyDescent="0.25">
      <c r="A63">
        <v>16954548</v>
      </c>
      <c r="B63" t="str">
        <f>IF(VLOOKUP($A63,Sheet1!$A:$AA,MATCH(B$1,Sheet1!$A$1:$AA$1,0),FALSE)=0,"",VLOOKUP($A63,Sheet1!$A:$AA,MATCH(B$1,Sheet1!$A$1:$AA$1,0),FALSE))</f>
        <v>PEREZ MARIN, RUBéN</v>
      </c>
      <c r="C63" t="str">
        <f>IF(VLOOKUP($A63,Sheet1!$A:$AA,MATCH(C$1,Sheet1!$A$1:$AA$1,0),FALSE)=0,"",VLOOKUP($A63,Sheet1!$A:$AA,MATCH(C$1,Sheet1!$A$1:$AA$1,0),FALSE))</f>
        <v>PEREZ MARIN</v>
      </c>
      <c r="D63" t="str">
        <f>IF(VLOOKUP($A63,Sheet1!$A:$AA,MATCH(D$1,Sheet1!$A$1:$AA$1,0),FALSE)=0,"",VLOOKUP($A63,Sheet1!$A:$AA,MATCH(D$1,Sheet1!$A$1:$AA$1,0),FALSE))</f>
        <v>RUBéN</v>
      </c>
      <c r="E63" t="str">
        <f>IF(VLOOKUP($A63,Sheet1!$A:$AA,MATCH(E$1,Sheet1!$A$1:$AA$1,0),FALSE)=0,"",VLOOKUP($A63,Sheet1!$A:$AA,MATCH(E$1,Sheet1!$A$1:$AA$1,0),FALSE))</f>
        <v/>
      </c>
      <c r="F63" t="str">
        <f>IF(VLOOKUP($A63,Sheet1!$A:$AA,MATCH(F$1,Sheet1!$A$1:$AA$1,0),FALSE)=0,"",VLOOKUP($A63,Sheet1!$A:$AA,MATCH(F$1,Sheet1!$A$1:$AA$1,0),FALSE))</f>
        <v/>
      </c>
      <c r="G63" t="str">
        <f>IF(VLOOKUP($A63,Sheet1!$A:$AA,MATCH(G$1,Sheet1!$A$1:$AA$1,0),FALSE)=0,"",VLOOKUP($A63,Sheet1!$A:$AA,MATCH(G$1,Sheet1!$A$1:$AA$1,0),FALSE))</f>
        <v/>
      </c>
      <c r="H63" t="str">
        <f>IF(VLOOKUP($A63,Sheet1!$A:$AA,MATCH(H$1,Sheet1!$A$1:$AA$1,0),FALSE)=0,"",VLOOKUP($A63,Sheet1!$A:$AA,MATCH(H$1,Sheet1!$A$1:$AA$1,0),FALSE))</f>
        <v/>
      </c>
      <c r="I63" t="str">
        <f>IF(VLOOKUP($A63,Sheet1!$A:$AA,MATCH(I$1,Sheet1!$A$1:$AA$1,0),FALSE)=0,"",VLOOKUP($A63,Sheet1!$A:$AA,MATCH(I$1,Sheet1!$A$1:$AA$1,0),FALSE))</f>
        <v/>
      </c>
      <c r="J63" t="str">
        <f>IF(VLOOKUP($A63,Sheet1!$A:$AA,MATCH(J$1,Sheet1!$A$1:$AA$1,0),FALSE)=0,"",VLOOKUP($A63,Sheet1!$A:$AA,MATCH(J$1,Sheet1!$A$1:$AA$1,0),FALSE))</f>
        <v/>
      </c>
      <c r="K63" t="str">
        <f>IF(VLOOKUP($A63,Sheet1!$A:$AA,MATCH(K$1,Sheet1!$A$1:$AA$1,0),FALSE)=0,"",VLOOKUP($A63,Sheet1!$A:$AA,MATCH(K$1,Sheet1!$A$1:$AA$1,0),FALSE))</f>
        <v>ANDALUZA</v>
      </c>
      <c r="L63" t="str">
        <f>IF(VLOOKUP($A63,Sheet1!$A:$AA,MATCH(L$1,Sheet1!$A$1:$AA$1,0),FALSE)=0,"",VLOOKUP($A63,Sheet1!$A:$AA,MATCH(L$1,Sheet1!$A$1:$AA$1,0),FALSE))</f>
        <v/>
      </c>
      <c r="M63" t="str">
        <f>IF(VLOOKUP($A63,Sheet1!$A:$AA,MATCH(M$1,Sheet1!$A$1:$AA$1,0),FALSE)=0,"",VLOOKUP($A63,Sheet1!$A:$AA,MATCH(M$1,Sheet1!$A$1:$AA$1,0),FALSE))</f>
        <v/>
      </c>
      <c r="N63" t="str">
        <f>IF(VLOOKUP($A63,Sheet1!$A:$AA,MATCH(N$1,Sheet1!$A$1:$AA$1,0),FALSE)=0,"",VLOOKUP($A63,Sheet1!$A:$AA,MATCH(N$1,Sheet1!$A$1:$AA$1,0),FALSE))</f>
        <v/>
      </c>
      <c r="O63" t="str">
        <f>IF(VLOOKUP($A63,Sheet1!$A:$AA,MATCH(O$1,Sheet1!$A$1:$AA$1,0),FALSE)=0,"",VLOOKUP($A63,Sheet1!$A:$AA,MATCH(O$1,Sheet1!$A$1:$AA$1,0),FALSE))</f>
        <v/>
      </c>
      <c r="P63" t="str">
        <f>IF(VLOOKUP($A63,Sheet1!$A:$AA,MATCH(P$1,Sheet1!$A$1:$AA$1,0),FALSE)=0,"",VLOOKUP($A63,Sheet1!$A:$AA,MATCH(P$1,Sheet1!$A$1:$AA$1,0),FALSE))</f>
        <v/>
      </c>
      <c r="Q63" t="str">
        <f>IF(VLOOKUP($A63,Sheet1!$A:$AA,MATCH(Q$1,Sheet1!$A$1:$AA$1,0),FALSE)=0,"",VLOOKUP($A63,Sheet1!$A:$AA,MATCH(Q$1,Sheet1!$A$1:$AA$1,0),FALSE))</f>
        <v>M</v>
      </c>
      <c r="R63" s="2">
        <f>IF(VLOOKUP($A63,Sheet1!$A:$AA,MATCH(R$1,Sheet1!$A$1:$AA$1,0),FALSE)=0,"",VLOOKUP($A63,Sheet1!$A:$AA,MATCH(R$1,Sheet1!$A$1:$AA$1,0),FALSE))</f>
        <v>37196</v>
      </c>
      <c r="AA63">
        <f ca="1">IF(VLOOKUP($A63,Sheet1!$A:$AA,MATCH(AA$1,Sheet1!$A$1:$AA$1,0),FALSE)=0,"",VLOOKUP($A63,Sheet1!$A:$AA,MATCH(AA$1,Sheet1!$A$1:$AA$1,0),FALSE))</f>
        <v>24</v>
      </c>
    </row>
    <row r="64" spans="1:27" x14ac:dyDescent="0.25">
      <c r="A64">
        <v>16954556</v>
      </c>
      <c r="B64" t="str">
        <f>IF(VLOOKUP($A64,Sheet1!$A:$AA,MATCH(B$1,Sheet1!$A$1:$AA$1,0),FALSE)=0,"",VLOOKUP($A64,Sheet1!$A:$AA,MATCH(B$1,Sheet1!$A$1:$AA$1,0),FALSE))</f>
        <v>CAMPOS DE LOS REYES, JESUS</v>
      </c>
      <c r="C64" t="str">
        <f>IF(VLOOKUP($A64,Sheet1!$A:$AA,MATCH(C$1,Sheet1!$A$1:$AA$1,0),FALSE)=0,"",VLOOKUP($A64,Sheet1!$A:$AA,MATCH(C$1,Sheet1!$A$1:$AA$1,0),FALSE))</f>
        <v>CAMPOS DE LOS REYES</v>
      </c>
      <c r="D64" t="str">
        <f>IF(VLOOKUP($A64,Sheet1!$A:$AA,MATCH(D$1,Sheet1!$A$1:$AA$1,0),FALSE)=0,"",VLOOKUP($A64,Sheet1!$A:$AA,MATCH(D$1,Sheet1!$A$1:$AA$1,0),FALSE))</f>
        <v>JESUS</v>
      </c>
      <c r="E64" t="str">
        <f>IF(VLOOKUP($A64,Sheet1!$A:$AA,MATCH(E$1,Sheet1!$A$1:$AA$1,0),FALSE)=0,"",VLOOKUP($A64,Sheet1!$A:$AA,MATCH(E$1,Sheet1!$A$1:$AA$1,0),FALSE))</f>
        <v/>
      </c>
      <c r="F64" t="str">
        <f>IF(VLOOKUP($A64,Sheet1!$A:$AA,MATCH(F$1,Sheet1!$A$1:$AA$1,0),FALSE)=0,"",VLOOKUP($A64,Sheet1!$A:$AA,MATCH(F$1,Sheet1!$A$1:$AA$1,0),FALSE))</f>
        <v/>
      </c>
      <c r="G64" t="str">
        <f>IF(VLOOKUP($A64,Sheet1!$A:$AA,MATCH(G$1,Sheet1!$A$1:$AA$1,0),FALSE)=0,"",VLOOKUP($A64,Sheet1!$A:$AA,MATCH(G$1,Sheet1!$A$1:$AA$1,0),FALSE))</f>
        <v/>
      </c>
      <c r="H64" t="str">
        <f>IF(VLOOKUP($A64,Sheet1!$A:$AA,MATCH(H$1,Sheet1!$A$1:$AA$1,0),FALSE)=0,"",VLOOKUP($A64,Sheet1!$A:$AA,MATCH(H$1,Sheet1!$A$1:$AA$1,0),FALSE))</f>
        <v/>
      </c>
      <c r="I64" t="str">
        <f>IF(VLOOKUP($A64,Sheet1!$A:$AA,MATCH(I$1,Sheet1!$A$1:$AA$1,0),FALSE)=0,"",VLOOKUP($A64,Sheet1!$A:$AA,MATCH(I$1,Sheet1!$A$1:$AA$1,0),FALSE))</f>
        <v/>
      </c>
      <c r="J64" t="str">
        <f>IF(VLOOKUP($A64,Sheet1!$A:$AA,MATCH(J$1,Sheet1!$A$1:$AA$1,0),FALSE)=0,"",VLOOKUP($A64,Sheet1!$A:$AA,MATCH(J$1,Sheet1!$A$1:$AA$1,0),FALSE))</f>
        <v/>
      </c>
      <c r="K64" t="str">
        <f>IF(VLOOKUP($A64,Sheet1!$A:$AA,MATCH(K$1,Sheet1!$A$1:$AA$1,0),FALSE)=0,"",VLOOKUP($A64,Sheet1!$A:$AA,MATCH(K$1,Sheet1!$A$1:$AA$1,0),FALSE))</f>
        <v>ANDALUZA</v>
      </c>
      <c r="L64" t="str">
        <f>IF(VLOOKUP($A64,Sheet1!$A:$AA,MATCH(L$1,Sheet1!$A$1:$AA$1,0),FALSE)=0,"",VLOOKUP($A64,Sheet1!$A:$AA,MATCH(L$1,Sheet1!$A$1:$AA$1,0),FALSE))</f>
        <v/>
      </c>
      <c r="M64" t="str">
        <f>IF(VLOOKUP($A64,Sheet1!$A:$AA,MATCH(M$1,Sheet1!$A$1:$AA$1,0),FALSE)=0,"",VLOOKUP($A64,Sheet1!$A:$AA,MATCH(M$1,Sheet1!$A$1:$AA$1,0),FALSE))</f>
        <v/>
      </c>
      <c r="N64" t="str">
        <f>IF(VLOOKUP($A64,Sheet1!$A:$AA,MATCH(N$1,Sheet1!$A$1:$AA$1,0),FALSE)=0,"",VLOOKUP($A64,Sheet1!$A:$AA,MATCH(N$1,Sheet1!$A$1:$AA$1,0),FALSE))</f>
        <v/>
      </c>
      <c r="O64" t="str">
        <f>IF(VLOOKUP($A64,Sheet1!$A:$AA,MATCH(O$1,Sheet1!$A$1:$AA$1,0),FALSE)=0,"",VLOOKUP($A64,Sheet1!$A:$AA,MATCH(O$1,Sheet1!$A$1:$AA$1,0),FALSE))</f>
        <v/>
      </c>
      <c r="P64" t="str">
        <f>IF(VLOOKUP($A64,Sheet1!$A:$AA,MATCH(P$1,Sheet1!$A$1:$AA$1,0),FALSE)=0,"",VLOOKUP($A64,Sheet1!$A:$AA,MATCH(P$1,Sheet1!$A$1:$AA$1,0),FALSE))</f>
        <v/>
      </c>
      <c r="Q64" t="str">
        <f>IF(VLOOKUP($A64,Sheet1!$A:$AA,MATCH(Q$1,Sheet1!$A$1:$AA$1,0),FALSE)=0,"",VLOOKUP($A64,Sheet1!$A:$AA,MATCH(Q$1,Sheet1!$A$1:$AA$1,0),FALSE))</f>
        <v>M</v>
      </c>
      <c r="R64" s="2">
        <f>IF(VLOOKUP($A64,Sheet1!$A:$AA,MATCH(R$1,Sheet1!$A$1:$AA$1,0),FALSE)=0,"",VLOOKUP($A64,Sheet1!$A:$AA,MATCH(R$1,Sheet1!$A$1:$AA$1,0),FALSE))</f>
        <v>37113</v>
      </c>
      <c r="AA64">
        <f ca="1">IF(VLOOKUP($A64,Sheet1!$A:$AA,MATCH(AA$1,Sheet1!$A$1:$AA$1,0),FALSE)=0,"",VLOOKUP($A64,Sheet1!$A:$AA,MATCH(AA$1,Sheet1!$A$1:$AA$1,0),FALSE))</f>
        <v>24</v>
      </c>
    </row>
    <row r="65" spans="1:27" x14ac:dyDescent="0.25">
      <c r="A65">
        <v>16954580</v>
      </c>
      <c r="B65" t="str">
        <f>IF(VLOOKUP($A65,Sheet1!$A:$AA,MATCH(B$1,Sheet1!$A$1:$AA$1,0),FALSE)=0,"",VLOOKUP($A65,Sheet1!$A:$AA,MATCH(B$1,Sheet1!$A$1:$AA$1,0),FALSE))</f>
        <v>Sarabia, Carlos</v>
      </c>
      <c r="C65" t="str">
        <f>IF(VLOOKUP($A65,Sheet1!$A:$AA,MATCH(C$1,Sheet1!$A$1:$AA$1,0),FALSE)=0,"",VLOOKUP($A65,Sheet1!$A:$AA,MATCH(C$1,Sheet1!$A$1:$AA$1,0),FALSE))</f>
        <v>Sarabia</v>
      </c>
      <c r="D65" t="str">
        <f>IF(VLOOKUP($A65,Sheet1!$A:$AA,MATCH(D$1,Sheet1!$A$1:$AA$1,0),FALSE)=0,"",VLOOKUP($A65,Sheet1!$A:$AA,MATCH(D$1,Sheet1!$A$1:$AA$1,0),FALSE))</f>
        <v>Carlos</v>
      </c>
      <c r="E65" t="str">
        <f>IF(VLOOKUP($A65,Sheet1!$A:$AA,MATCH(E$1,Sheet1!$A$1:$AA$1,0),FALSE)=0,"",VLOOKUP($A65,Sheet1!$A:$AA,MATCH(E$1,Sheet1!$A$1:$AA$1,0),FALSE))</f>
        <v/>
      </c>
      <c r="F65" t="str">
        <f>IF(VLOOKUP($A65,Sheet1!$A:$AA,MATCH(F$1,Sheet1!$A$1:$AA$1,0),FALSE)=0,"",VLOOKUP($A65,Sheet1!$A:$AA,MATCH(F$1,Sheet1!$A$1:$AA$1,0),FALSE))</f>
        <v/>
      </c>
      <c r="G65" t="str">
        <f>IF(VLOOKUP($A65,Sheet1!$A:$AA,MATCH(G$1,Sheet1!$A$1:$AA$1,0),FALSE)=0,"",VLOOKUP($A65,Sheet1!$A:$AA,MATCH(G$1,Sheet1!$A$1:$AA$1,0),FALSE))</f>
        <v/>
      </c>
      <c r="H65" t="str">
        <f>IF(VLOOKUP($A65,Sheet1!$A:$AA,MATCH(H$1,Sheet1!$A$1:$AA$1,0),FALSE)=0,"",VLOOKUP($A65,Sheet1!$A:$AA,MATCH(H$1,Sheet1!$A$1:$AA$1,0),FALSE))</f>
        <v/>
      </c>
      <c r="I65" t="str">
        <f>IF(VLOOKUP($A65,Sheet1!$A:$AA,MATCH(I$1,Sheet1!$A$1:$AA$1,0),FALSE)=0,"",VLOOKUP($A65,Sheet1!$A:$AA,MATCH(I$1,Sheet1!$A$1:$AA$1,0),FALSE))</f>
        <v/>
      </c>
      <c r="J65" t="str">
        <f>IF(VLOOKUP($A65,Sheet1!$A:$AA,MATCH(J$1,Sheet1!$A$1:$AA$1,0),FALSE)=0,"",VLOOKUP($A65,Sheet1!$A:$AA,MATCH(J$1,Sheet1!$A$1:$AA$1,0),FALSE))</f>
        <v/>
      </c>
      <c r="K65" t="str">
        <f>IF(VLOOKUP($A65,Sheet1!$A:$AA,MATCH(K$1,Sheet1!$A$1:$AA$1,0),FALSE)=0,"",VLOOKUP($A65,Sheet1!$A:$AA,MATCH(K$1,Sheet1!$A$1:$AA$1,0),FALSE))</f>
        <v>ANDALUZA</v>
      </c>
      <c r="L65" t="str">
        <f>IF(VLOOKUP($A65,Sheet1!$A:$AA,MATCH(L$1,Sheet1!$A$1:$AA$1,0),FALSE)=0,"",VLOOKUP($A65,Sheet1!$A:$AA,MATCH(L$1,Sheet1!$A$1:$AA$1,0),FALSE))</f>
        <v/>
      </c>
      <c r="M65" t="str">
        <f>IF(VLOOKUP($A65,Sheet1!$A:$AA,MATCH(M$1,Sheet1!$A$1:$AA$1,0),FALSE)=0,"",VLOOKUP($A65,Sheet1!$A:$AA,MATCH(M$1,Sheet1!$A$1:$AA$1,0),FALSE))</f>
        <v/>
      </c>
      <c r="N65" t="str">
        <f>IF(VLOOKUP($A65,Sheet1!$A:$AA,MATCH(N$1,Sheet1!$A$1:$AA$1,0),FALSE)=0,"",VLOOKUP($A65,Sheet1!$A:$AA,MATCH(N$1,Sheet1!$A$1:$AA$1,0),FALSE))</f>
        <v/>
      </c>
      <c r="O65" t="str">
        <f>IF(VLOOKUP($A65,Sheet1!$A:$AA,MATCH(O$1,Sheet1!$A$1:$AA$1,0),FALSE)=0,"",VLOOKUP($A65,Sheet1!$A:$AA,MATCH(O$1,Sheet1!$A$1:$AA$1,0),FALSE))</f>
        <v/>
      </c>
      <c r="P65" t="str">
        <f>IF(VLOOKUP($A65,Sheet1!$A:$AA,MATCH(P$1,Sheet1!$A$1:$AA$1,0),FALSE)=0,"",VLOOKUP($A65,Sheet1!$A:$AA,MATCH(P$1,Sheet1!$A$1:$AA$1,0),FALSE))</f>
        <v/>
      </c>
      <c r="Q65" t="str">
        <f>IF(VLOOKUP($A65,Sheet1!$A:$AA,MATCH(Q$1,Sheet1!$A$1:$AA$1,0),FALSE)=0,"",VLOOKUP($A65,Sheet1!$A:$AA,MATCH(Q$1,Sheet1!$A$1:$AA$1,0),FALSE))</f>
        <v>M</v>
      </c>
      <c r="R65" s="2">
        <f>IF(VLOOKUP($A65,Sheet1!$A:$AA,MATCH(R$1,Sheet1!$A$1:$AA$1,0),FALSE)=0,"",VLOOKUP($A65,Sheet1!$A:$AA,MATCH(R$1,Sheet1!$A$1:$AA$1,0),FALSE))</f>
        <v>32874</v>
      </c>
      <c r="AA65">
        <f ca="1">IF(VLOOKUP($A65,Sheet1!$A:$AA,MATCH(AA$1,Sheet1!$A$1:$AA$1,0),FALSE)=0,"",VLOOKUP($A65,Sheet1!$A:$AA,MATCH(AA$1,Sheet1!$A$1:$AA$1,0),FALSE))</f>
        <v>35</v>
      </c>
    </row>
    <row r="66" spans="1:27" x14ac:dyDescent="0.25">
      <c r="A66">
        <v>16954605</v>
      </c>
      <c r="B66" t="str">
        <f>IF(VLOOKUP($A66,Sheet1!$A:$AA,MATCH(B$1,Sheet1!$A$1:$AA$1,0),FALSE)=0,"",VLOOKUP($A66,Sheet1!$A:$AA,MATCH(B$1,Sheet1!$A$1:$AA$1,0),FALSE))</f>
        <v>PARRA SANTANA, CELIA</v>
      </c>
      <c r="C66" t="str">
        <f>IF(VLOOKUP($A66,Sheet1!$A:$AA,MATCH(C$1,Sheet1!$A$1:$AA$1,0),FALSE)=0,"",VLOOKUP($A66,Sheet1!$A:$AA,MATCH(C$1,Sheet1!$A$1:$AA$1,0),FALSE))</f>
        <v>PARRA SANTANA</v>
      </c>
      <c r="D66" t="str">
        <f>IF(VLOOKUP($A66,Sheet1!$A:$AA,MATCH(D$1,Sheet1!$A$1:$AA$1,0),FALSE)=0,"",VLOOKUP($A66,Sheet1!$A:$AA,MATCH(D$1,Sheet1!$A$1:$AA$1,0),FALSE))</f>
        <v>CELIA</v>
      </c>
      <c r="E66" t="str">
        <f>IF(VLOOKUP($A66,Sheet1!$A:$AA,MATCH(E$1,Sheet1!$A$1:$AA$1,0),FALSE)=0,"",VLOOKUP($A66,Sheet1!$A:$AA,MATCH(E$1,Sheet1!$A$1:$AA$1,0),FALSE))</f>
        <v/>
      </c>
      <c r="F66" t="str">
        <f>IF(VLOOKUP($A66,Sheet1!$A:$AA,MATCH(F$1,Sheet1!$A$1:$AA$1,0),FALSE)=0,"",VLOOKUP($A66,Sheet1!$A:$AA,MATCH(F$1,Sheet1!$A$1:$AA$1,0),FALSE))</f>
        <v/>
      </c>
      <c r="G66" t="str">
        <f>IF(VLOOKUP($A66,Sheet1!$A:$AA,MATCH(G$1,Sheet1!$A$1:$AA$1,0),FALSE)=0,"",VLOOKUP($A66,Sheet1!$A:$AA,MATCH(G$1,Sheet1!$A$1:$AA$1,0),FALSE))</f>
        <v/>
      </c>
      <c r="H66" t="str">
        <f>IF(VLOOKUP($A66,Sheet1!$A:$AA,MATCH(H$1,Sheet1!$A$1:$AA$1,0),FALSE)=0,"",VLOOKUP($A66,Sheet1!$A:$AA,MATCH(H$1,Sheet1!$A$1:$AA$1,0),FALSE))</f>
        <v/>
      </c>
      <c r="I66" t="str">
        <f>IF(VLOOKUP($A66,Sheet1!$A:$AA,MATCH(I$1,Sheet1!$A$1:$AA$1,0),FALSE)=0,"",VLOOKUP($A66,Sheet1!$A:$AA,MATCH(I$1,Sheet1!$A$1:$AA$1,0),FALSE))</f>
        <v/>
      </c>
      <c r="J66" t="str">
        <f>IF(VLOOKUP($A66,Sheet1!$A:$AA,MATCH(J$1,Sheet1!$A$1:$AA$1,0),FALSE)=0,"",VLOOKUP($A66,Sheet1!$A:$AA,MATCH(J$1,Sheet1!$A$1:$AA$1,0),FALSE))</f>
        <v/>
      </c>
      <c r="K66" t="str">
        <f>IF(VLOOKUP($A66,Sheet1!$A:$AA,MATCH(K$1,Sheet1!$A$1:$AA$1,0),FALSE)=0,"",VLOOKUP($A66,Sheet1!$A:$AA,MATCH(K$1,Sheet1!$A$1:$AA$1,0),FALSE))</f>
        <v>ANDALUZA</v>
      </c>
      <c r="L66" t="str">
        <f>IF(VLOOKUP($A66,Sheet1!$A:$AA,MATCH(L$1,Sheet1!$A$1:$AA$1,0),FALSE)=0,"",VLOOKUP($A66,Sheet1!$A:$AA,MATCH(L$1,Sheet1!$A$1:$AA$1,0),FALSE))</f>
        <v/>
      </c>
      <c r="M66" t="str">
        <f>IF(VLOOKUP($A66,Sheet1!$A:$AA,MATCH(M$1,Sheet1!$A$1:$AA$1,0),FALSE)=0,"",VLOOKUP($A66,Sheet1!$A:$AA,MATCH(M$1,Sheet1!$A$1:$AA$1,0),FALSE))</f>
        <v/>
      </c>
      <c r="N66" t="str">
        <f>IF(VLOOKUP($A66,Sheet1!$A:$AA,MATCH(N$1,Sheet1!$A$1:$AA$1,0),FALSE)=0,"",VLOOKUP($A66,Sheet1!$A:$AA,MATCH(N$1,Sheet1!$A$1:$AA$1,0),FALSE))</f>
        <v/>
      </c>
      <c r="O66" t="str">
        <f>IF(VLOOKUP($A66,Sheet1!$A:$AA,MATCH(O$1,Sheet1!$A$1:$AA$1,0),FALSE)=0,"",VLOOKUP($A66,Sheet1!$A:$AA,MATCH(O$1,Sheet1!$A$1:$AA$1,0),FALSE))</f>
        <v/>
      </c>
      <c r="P66" t="str">
        <f>IF(VLOOKUP($A66,Sheet1!$A:$AA,MATCH(P$1,Sheet1!$A$1:$AA$1,0),FALSE)=0,"",VLOOKUP($A66,Sheet1!$A:$AA,MATCH(P$1,Sheet1!$A$1:$AA$1,0),FALSE))</f>
        <v/>
      </c>
      <c r="Q66" t="str">
        <f>IF(VLOOKUP($A66,Sheet1!$A:$AA,MATCH(Q$1,Sheet1!$A$1:$AA$1,0),FALSE)=0,"",VLOOKUP($A66,Sheet1!$A:$AA,MATCH(Q$1,Sheet1!$A$1:$AA$1,0),FALSE))</f>
        <v>F</v>
      </c>
      <c r="R66" s="2">
        <f>IF(VLOOKUP($A66,Sheet1!$A:$AA,MATCH(R$1,Sheet1!$A$1:$AA$1,0),FALSE)=0,"",VLOOKUP($A66,Sheet1!$A:$AA,MATCH(R$1,Sheet1!$A$1:$AA$1,0),FALSE))</f>
        <v>39906</v>
      </c>
      <c r="AA66">
        <f ca="1">IF(VLOOKUP($A66,Sheet1!$A:$AA,MATCH(AA$1,Sheet1!$A$1:$AA$1,0),FALSE)=0,"",VLOOKUP($A66,Sheet1!$A:$AA,MATCH(AA$1,Sheet1!$A$1:$AA$1,0),FALSE))</f>
        <v>16</v>
      </c>
    </row>
    <row r="67" spans="1:27" x14ac:dyDescent="0.25">
      <c r="A67">
        <v>16954613</v>
      </c>
      <c r="B67" t="str">
        <f>IF(VLOOKUP($A67,Sheet1!$A:$AA,MATCH(B$1,Sheet1!$A$1:$AA$1,0),FALSE)=0,"",VLOOKUP($A67,Sheet1!$A:$AA,MATCH(B$1,Sheet1!$A$1:$AA$1,0),FALSE))</f>
        <v>CASTELLANO MORENO, JESúS</v>
      </c>
      <c r="C67" t="str">
        <f>IF(VLOOKUP($A67,Sheet1!$A:$AA,MATCH(C$1,Sheet1!$A$1:$AA$1,0),FALSE)=0,"",VLOOKUP($A67,Sheet1!$A:$AA,MATCH(C$1,Sheet1!$A$1:$AA$1,0),FALSE))</f>
        <v>CASTELLANO MORENO</v>
      </c>
      <c r="D67" t="str">
        <f>IF(VLOOKUP($A67,Sheet1!$A:$AA,MATCH(D$1,Sheet1!$A$1:$AA$1,0),FALSE)=0,"",VLOOKUP($A67,Sheet1!$A:$AA,MATCH(D$1,Sheet1!$A$1:$AA$1,0),FALSE))</f>
        <v>JESúS</v>
      </c>
      <c r="E67" t="str">
        <f>IF(VLOOKUP($A67,Sheet1!$A:$AA,MATCH(E$1,Sheet1!$A$1:$AA$1,0),FALSE)=0,"",VLOOKUP($A67,Sheet1!$A:$AA,MATCH(E$1,Sheet1!$A$1:$AA$1,0),FALSE))</f>
        <v/>
      </c>
      <c r="F67" t="str">
        <f>IF(VLOOKUP($A67,Sheet1!$A:$AA,MATCH(F$1,Sheet1!$A$1:$AA$1,0),FALSE)=0,"",VLOOKUP($A67,Sheet1!$A:$AA,MATCH(F$1,Sheet1!$A$1:$AA$1,0),FALSE))</f>
        <v/>
      </c>
      <c r="G67" t="str">
        <f>IF(VLOOKUP($A67,Sheet1!$A:$AA,MATCH(G$1,Sheet1!$A$1:$AA$1,0),FALSE)=0,"",VLOOKUP($A67,Sheet1!$A:$AA,MATCH(G$1,Sheet1!$A$1:$AA$1,0),FALSE))</f>
        <v/>
      </c>
      <c r="H67" t="str">
        <f>IF(VLOOKUP($A67,Sheet1!$A:$AA,MATCH(H$1,Sheet1!$A$1:$AA$1,0),FALSE)=0,"",VLOOKUP($A67,Sheet1!$A:$AA,MATCH(H$1,Sheet1!$A$1:$AA$1,0),FALSE))</f>
        <v/>
      </c>
      <c r="I67" t="str">
        <f>IF(VLOOKUP($A67,Sheet1!$A:$AA,MATCH(I$1,Sheet1!$A$1:$AA$1,0),FALSE)=0,"",VLOOKUP($A67,Sheet1!$A:$AA,MATCH(I$1,Sheet1!$A$1:$AA$1,0),FALSE))</f>
        <v/>
      </c>
      <c r="J67" t="str">
        <f>IF(VLOOKUP($A67,Sheet1!$A:$AA,MATCH(J$1,Sheet1!$A$1:$AA$1,0),FALSE)=0,"",VLOOKUP($A67,Sheet1!$A:$AA,MATCH(J$1,Sheet1!$A$1:$AA$1,0),FALSE))</f>
        <v/>
      </c>
      <c r="K67" t="str">
        <f>IF(VLOOKUP($A67,Sheet1!$A:$AA,MATCH(K$1,Sheet1!$A$1:$AA$1,0),FALSE)=0,"",VLOOKUP($A67,Sheet1!$A:$AA,MATCH(K$1,Sheet1!$A$1:$AA$1,0),FALSE))</f>
        <v>ANDALUZA</v>
      </c>
      <c r="L67" t="str">
        <f>IF(VLOOKUP($A67,Sheet1!$A:$AA,MATCH(L$1,Sheet1!$A$1:$AA$1,0),FALSE)=0,"",VLOOKUP($A67,Sheet1!$A:$AA,MATCH(L$1,Sheet1!$A$1:$AA$1,0),FALSE))</f>
        <v/>
      </c>
      <c r="M67" t="str">
        <f>IF(VLOOKUP($A67,Sheet1!$A:$AA,MATCH(M$1,Sheet1!$A$1:$AA$1,0),FALSE)=0,"",VLOOKUP($A67,Sheet1!$A:$AA,MATCH(M$1,Sheet1!$A$1:$AA$1,0),FALSE))</f>
        <v/>
      </c>
      <c r="N67" t="str">
        <f>IF(VLOOKUP($A67,Sheet1!$A:$AA,MATCH(N$1,Sheet1!$A$1:$AA$1,0),FALSE)=0,"",VLOOKUP($A67,Sheet1!$A:$AA,MATCH(N$1,Sheet1!$A$1:$AA$1,0),FALSE))</f>
        <v/>
      </c>
      <c r="O67" t="str">
        <f>IF(VLOOKUP($A67,Sheet1!$A:$AA,MATCH(O$1,Sheet1!$A$1:$AA$1,0),FALSE)=0,"",VLOOKUP($A67,Sheet1!$A:$AA,MATCH(O$1,Sheet1!$A$1:$AA$1,0),FALSE))</f>
        <v/>
      </c>
      <c r="P67" t="str">
        <f>IF(VLOOKUP($A67,Sheet1!$A:$AA,MATCH(P$1,Sheet1!$A$1:$AA$1,0),FALSE)=0,"",VLOOKUP($A67,Sheet1!$A:$AA,MATCH(P$1,Sheet1!$A$1:$AA$1,0),FALSE))</f>
        <v/>
      </c>
      <c r="Q67" t="str">
        <f>IF(VLOOKUP($A67,Sheet1!$A:$AA,MATCH(Q$1,Sheet1!$A$1:$AA$1,0),FALSE)=0,"",VLOOKUP($A67,Sheet1!$A:$AA,MATCH(Q$1,Sheet1!$A$1:$AA$1,0),FALSE))</f>
        <v>M</v>
      </c>
      <c r="R67" s="2">
        <f>IF(VLOOKUP($A67,Sheet1!$A:$AA,MATCH(R$1,Sheet1!$A$1:$AA$1,0),FALSE)=0,"",VLOOKUP($A67,Sheet1!$A:$AA,MATCH(R$1,Sheet1!$A$1:$AA$1,0),FALSE))</f>
        <v>30103</v>
      </c>
      <c r="AA67">
        <f ca="1">IF(VLOOKUP($A67,Sheet1!$A:$AA,MATCH(AA$1,Sheet1!$A$1:$AA$1,0),FALSE)=0,"",VLOOKUP($A67,Sheet1!$A:$AA,MATCH(AA$1,Sheet1!$A$1:$AA$1,0),FALSE))</f>
        <v>43</v>
      </c>
    </row>
    <row r="68" spans="1:27" x14ac:dyDescent="0.25">
      <c r="A68">
        <v>16954621</v>
      </c>
      <c r="B68" t="str">
        <f>IF(VLOOKUP($A68,Sheet1!$A:$AA,MATCH(B$1,Sheet1!$A$1:$AA$1,0),FALSE)=0,"",VLOOKUP($A68,Sheet1!$A:$AA,MATCH(B$1,Sheet1!$A$1:$AA$1,0),FALSE))</f>
        <v>PALOMO MARTIN, JULIAN</v>
      </c>
      <c r="C68" t="str">
        <f>IF(VLOOKUP($A68,Sheet1!$A:$AA,MATCH(C$1,Sheet1!$A$1:$AA$1,0),FALSE)=0,"",VLOOKUP($A68,Sheet1!$A:$AA,MATCH(C$1,Sheet1!$A$1:$AA$1,0),FALSE))</f>
        <v>PALOMO MARTIN</v>
      </c>
      <c r="D68" t="str">
        <f>IF(VLOOKUP($A68,Sheet1!$A:$AA,MATCH(D$1,Sheet1!$A$1:$AA$1,0),FALSE)=0,"",VLOOKUP($A68,Sheet1!$A:$AA,MATCH(D$1,Sheet1!$A$1:$AA$1,0),FALSE))</f>
        <v>JULIAN</v>
      </c>
      <c r="E68" t="str">
        <f>IF(VLOOKUP($A68,Sheet1!$A:$AA,MATCH(E$1,Sheet1!$A$1:$AA$1,0),FALSE)=0,"",VLOOKUP($A68,Sheet1!$A:$AA,MATCH(E$1,Sheet1!$A$1:$AA$1,0),FALSE))</f>
        <v/>
      </c>
      <c r="F68" t="str">
        <f>IF(VLOOKUP($A68,Sheet1!$A:$AA,MATCH(F$1,Sheet1!$A$1:$AA$1,0),FALSE)=0,"",VLOOKUP($A68,Sheet1!$A:$AA,MATCH(F$1,Sheet1!$A$1:$AA$1,0),FALSE))</f>
        <v/>
      </c>
      <c r="G68" t="str">
        <f>IF(VLOOKUP($A68,Sheet1!$A:$AA,MATCH(G$1,Sheet1!$A$1:$AA$1,0),FALSE)=0,"",VLOOKUP($A68,Sheet1!$A:$AA,MATCH(G$1,Sheet1!$A$1:$AA$1,0),FALSE))</f>
        <v/>
      </c>
      <c r="H68" t="str">
        <f>IF(VLOOKUP($A68,Sheet1!$A:$AA,MATCH(H$1,Sheet1!$A$1:$AA$1,0),FALSE)=0,"",VLOOKUP($A68,Sheet1!$A:$AA,MATCH(H$1,Sheet1!$A$1:$AA$1,0),FALSE))</f>
        <v/>
      </c>
      <c r="I68" t="str">
        <f>IF(VLOOKUP($A68,Sheet1!$A:$AA,MATCH(I$1,Sheet1!$A$1:$AA$1,0),FALSE)=0,"",VLOOKUP($A68,Sheet1!$A:$AA,MATCH(I$1,Sheet1!$A$1:$AA$1,0),FALSE))</f>
        <v/>
      </c>
      <c r="J68" t="str">
        <f>IF(VLOOKUP($A68,Sheet1!$A:$AA,MATCH(J$1,Sheet1!$A$1:$AA$1,0),FALSE)=0,"",VLOOKUP($A68,Sheet1!$A:$AA,MATCH(J$1,Sheet1!$A$1:$AA$1,0),FALSE))</f>
        <v/>
      </c>
      <c r="K68" t="str">
        <f>IF(VLOOKUP($A68,Sheet1!$A:$AA,MATCH(K$1,Sheet1!$A$1:$AA$1,0),FALSE)=0,"",VLOOKUP($A68,Sheet1!$A:$AA,MATCH(K$1,Sheet1!$A$1:$AA$1,0),FALSE))</f>
        <v>ANDALUZA</v>
      </c>
      <c r="L68" t="str">
        <f>IF(VLOOKUP($A68,Sheet1!$A:$AA,MATCH(L$1,Sheet1!$A$1:$AA$1,0),FALSE)=0,"",VLOOKUP($A68,Sheet1!$A:$AA,MATCH(L$1,Sheet1!$A$1:$AA$1,0),FALSE))</f>
        <v/>
      </c>
      <c r="M68" t="str">
        <f>IF(VLOOKUP($A68,Sheet1!$A:$AA,MATCH(M$1,Sheet1!$A$1:$AA$1,0),FALSE)=0,"",VLOOKUP($A68,Sheet1!$A:$AA,MATCH(M$1,Sheet1!$A$1:$AA$1,0),FALSE))</f>
        <v/>
      </c>
      <c r="N68" t="str">
        <f>IF(VLOOKUP($A68,Sheet1!$A:$AA,MATCH(N$1,Sheet1!$A$1:$AA$1,0),FALSE)=0,"",VLOOKUP($A68,Sheet1!$A:$AA,MATCH(N$1,Sheet1!$A$1:$AA$1,0),FALSE))</f>
        <v/>
      </c>
      <c r="O68" t="str">
        <f>IF(VLOOKUP($A68,Sheet1!$A:$AA,MATCH(O$1,Sheet1!$A$1:$AA$1,0),FALSE)=0,"",VLOOKUP($A68,Sheet1!$A:$AA,MATCH(O$1,Sheet1!$A$1:$AA$1,0),FALSE))</f>
        <v/>
      </c>
      <c r="P68" t="str">
        <f>IF(VLOOKUP($A68,Sheet1!$A:$AA,MATCH(P$1,Sheet1!$A$1:$AA$1,0),FALSE)=0,"",VLOOKUP($A68,Sheet1!$A:$AA,MATCH(P$1,Sheet1!$A$1:$AA$1,0),FALSE))</f>
        <v/>
      </c>
      <c r="Q68" t="str">
        <f>IF(VLOOKUP($A68,Sheet1!$A:$AA,MATCH(Q$1,Sheet1!$A$1:$AA$1,0),FALSE)=0,"",VLOOKUP($A68,Sheet1!$A:$AA,MATCH(Q$1,Sheet1!$A$1:$AA$1,0),FALSE))</f>
        <v>M</v>
      </c>
      <c r="R68" s="2">
        <f>IF(VLOOKUP($A68,Sheet1!$A:$AA,MATCH(R$1,Sheet1!$A$1:$AA$1,0),FALSE)=0,"",VLOOKUP($A68,Sheet1!$A:$AA,MATCH(R$1,Sheet1!$A$1:$AA$1,0),FALSE))</f>
        <v>25278</v>
      </c>
      <c r="AA68">
        <f ca="1">IF(VLOOKUP($A68,Sheet1!$A:$AA,MATCH(AA$1,Sheet1!$A$1:$AA$1,0),FALSE)=0,"",VLOOKUP($A68,Sheet1!$A:$AA,MATCH(AA$1,Sheet1!$A$1:$AA$1,0),FALSE))</f>
        <v>56</v>
      </c>
    </row>
    <row r="69" spans="1:27" x14ac:dyDescent="0.25">
      <c r="A69">
        <v>16964547</v>
      </c>
      <c r="B69" t="str">
        <f>IF(VLOOKUP($A69,Sheet1!$A:$AA,MATCH(B$1,Sheet1!$A$1:$AA$1,0),FALSE)=0,"",VLOOKUP($A69,Sheet1!$A:$AA,MATCH(B$1,Sheet1!$A$1:$AA$1,0),FALSE))</f>
        <v>MACARRO CATALAN, MODESTO</v>
      </c>
      <c r="C69" t="str">
        <f>IF(VLOOKUP($A69,Sheet1!$A:$AA,MATCH(C$1,Sheet1!$A$1:$AA$1,0),FALSE)=0,"",VLOOKUP($A69,Sheet1!$A:$AA,MATCH(C$1,Sheet1!$A$1:$AA$1,0),FALSE))</f>
        <v>MACARRO CATALAN</v>
      </c>
      <c r="D69" t="str">
        <f>IF(VLOOKUP($A69,Sheet1!$A:$AA,MATCH(D$1,Sheet1!$A$1:$AA$1,0),FALSE)=0,"",VLOOKUP($A69,Sheet1!$A:$AA,MATCH(D$1,Sheet1!$A$1:$AA$1,0),FALSE))</f>
        <v>MODESTO</v>
      </c>
      <c r="E69" t="str">
        <f>IF(VLOOKUP($A69,Sheet1!$A:$AA,MATCH(E$1,Sheet1!$A$1:$AA$1,0),FALSE)=0,"",VLOOKUP($A69,Sheet1!$A:$AA,MATCH(E$1,Sheet1!$A$1:$AA$1,0),FALSE))</f>
        <v/>
      </c>
      <c r="F69" t="str">
        <f>IF(VLOOKUP($A69,Sheet1!$A:$AA,MATCH(F$1,Sheet1!$A$1:$AA$1,0),FALSE)=0,"",VLOOKUP($A69,Sheet1!$A:$AA,MATCH(F$1,Sheet1!$A$1:$AA$1,0),FALSE))</f>
        <v/>
      </c>
      <c r="G69" t="str">
        <f>IF(VLOOKUP($A69,Sheet1!$A:$AA,MATCH(G$1,Sheet1!$A$1:$AA$1,0),FALSE)=0,"",VLOOKUP($A69,Sheet1!$A:$AA,MATCH(G$1,Sheet1!$A$1:$AA$1,0),FALSE))</f>
        <v/>
      </c>
      <c r="H69" t="str">
        <f>IF(VLOOKUP($A69,Sheet1!$A:$AA,MATCH(H$1,Sheet1!$A$1:$AA$1,0),FALSE)=0,"",VLOOKUP($A69,Sheet1!$A:$AA,MATCH(H$1,Sheet1!$A$1:$AA$1,0),FALSE))</f>
        <v/>
      </c>
      <c r="I69" t="str">
        <f>IF(VLOOKUP($A69,Sheet1!$A:$AA,MATCH(I$1,Sheet1!$A$1:$AA$1,0),FALSE)=0,"",VLOOKUP($A69,Sheet1!$A:$AA,MATCH(I$1,Sheet1!$A$1:$AA$1,0),FALSE))</f>
        <v/>
      </c>
      <c r="J69" t="str">
        <f>IF(VLOOKUP($A69,Sheet1!$A:$AA,MATCH(J$1,Sheet1!$A$1:$AA$1,0),FALSE)=0,"",VLOOKUP($A69,Sheet1!$A:$AA,MATCH(J$1,Sheet1!$A$1:$AA$1,0),FALSE))</f>
        <v/>
      </c>
      <c r="K69" t="str">
        <f>IF(VLOOKUP($A69,Sheet1!$A:$AA,MATCH(K$1,Sheet1!$A$1:$AA$1,0),FALSE)=0,"",VLOOKUP($A69,Sheet1!$A:$AA,MATCH(K$1,Sheet1!$A$1:$AA$1,0),FALSE))</f>
        <v>ANDALUZA</v>
      </c>
      <c r="L69" t="str">
        <f>IF(VLOOKUP($A69,Sheet1!$A:$AA,MATCH(L$1,Sheet1!$A$1:$AA$1,0),FALSE)=0,"",VLOOKUP($A69,Sheet1!$A:$AA,MATCH(L$1,Sheet1!$A$1:$AA$1,0),FALSE))</f>
        <v/>
      </c>
      <c r="M69" t="str">
        <f>IF(VLOOKUP($A69,Sheet1!$A:$AA,MATCH(M$1,Sheet1!$A$1:$AA$1,0),FALSE)=0,"",VLOOKUP($A69,Sheet1!$A:$AA,MATCH(M$1,Sheet1!$A$1:$AA$1,0),FALSE))</f>
        <v/>
      </c>
      <c r="N69" t="str">
        <f>IF(VLOOKUP($A69,Sheet1!$A:$AA,MATCH(N$1,Sheet1!$A$1:$AA$1,0),FALSE)=0,"",VLOOKUP($A69,Sheet1!$A:$AA,MATCH(N$1,Sheet1!$A$1:$AA$1,0),FALSE))</f>
        <v/>
      </c>
      <c r="O69" t="str">
        <f>IF(VLOOKUP($A69,Sheet1!$A:$AA,MATCH(O$1,Sheet1!$A$1:$AA$1,0),FALSE)=0,"",VLOOKUP($A69,Sheet1!$A:$AA,MATCH(O$1,Sheet1!$A$1:$AA$1,0),FALSE))</f>
        <v/>
      </c>
      <c r="P69" t="str">
        <f>IF(VLOOKUP($A69,Sheet1!$A:$AA,MATCH(P$1,Sheet1!$A$1:$AA$1,0),FALSE)=0,"",VLOOKUP($A69,Sheet1!$A:$AA,MATCH(P$1,Sheet1!$A$1:$AA$1,0),FALSE))</f>
        <v/>
      </c>
      <c r="Q69" t="str">
        <f>IF(VLOOKUP($A69,Sheet1!$A:$AA,MATCH(Q$1,Sheet1!$A$1:$AA$1,0),FALSE)=0,"",VLOOKUP($A69,Sheet1!$A:$AA,MATCH(Q$1,Sheet1!$A$1:$AA$1,0),FALSE))</f>
        <v>M</v>
      </c>
      <c r="R69" s="2">
        <f>IF(VLOOKUP($A69,Sheet1!$A:$AA,MATCH(R$1,Sheet1!$A$1:$AA$1,0),FALSE)=0,"",VLOOKUP($A69,Sheet1!$A:$AA,MATCH(R$1,Sheet1!$A$1:$AA$1,0),FALSE))</f>
        <v>21461</v>
      </c>
      <c r="AA69">
        <f ca="1">IF(VLOOKUP($A69,Sheet1!$A:$AA,MATCH(AA$1,Sheet1!$A$1:$AA$1,0),FALSE)=0,"",VLOOKUP($A69,Sheet1!$A:$AA,MATCH(AA$1,Sheet1!$A$1:$AA$1,0),FALSE))</f>
        <v>67</v>
      </c>
    </row>
    <row r="70" spans="1:27" x14ac:dyDescent="0.25">
      <c r="A70">
        <v>16964589</v>
      </c>
      <c r="B70" t="str">
        <f>IF(VLOOKUP($A70,Sheet1!$A:$AA,MATCH(B$1,Sheet1!$A$1:$AA$1,0),FALSE)=0,"",VLOOKUP($A70,Sheet1!$A:$AA,MATCH(B$1,Sheet1!$A$1:$AA$1,0),FALSE))</f>
        <v>DE FRUTOS GARCIA, PEDRO LUIS</v>
      </c>
      <c r="C70" t="str">
        <f>IF(VLOOKUP($A70,Sheet1!$A:$AA,MATCH(C$1,Sheet1!$A$1:$AA$1,0),FALSE)=0,"",VLOOKUP($A70,Sheet1!$A:$AA,MATCH(C$1,Sheet1!$A$1:$AA$1,0),FALSE))</f>
        <v>DE FRUTOS GARCIA</v>
      </c>
      <c r="D70" t="str">
        <f>IF(VLOOKUP($A70,Sheet1!$A:$AA,MATCH(D$1,Sheet1!$A$1:$AA$1,0),FALSE)=0,"",VLOOKUP($A70,Sheet1!$A:$AA,MATCH(D$1,Sheet1!$A$1:$AA$1,0),FALSE))</f>
        <v>PEDRO LUIS</v>
      </c>
      <c r="E70" t="str">
        <f>IF(VLOOKUP($A70,Sheet1!$A:$AA,MATCH(E$1,Sheet1!$A$1:$AA$1,0),FALSE)=0,"",VLOOKUP($A70,Sheet1!$A:$AA,MATCH(E$1,Sheet1!$A$1:$AA$1,0),FALSE))</f>
        <v/>
      </c>
      <c r="F70" t="str">
        <f>IF(VLOOKUP($A70,Sheet1!$A:$AA,MATCH(F$1,Sheet1!$A$1:$AA$1,0),FALSE)=0,"",VLOOKUP($A70,Sheet1!$A:$AA,MATCH(F$1,Sheet1!$A$1:$AA$1,0),FALSE))</f>
        <v/>
      </c>
      <c r="G70" t="str">
        <f>IF(VLOOKUP($A70,Sheet1!$A:$AA,MATCH(G$1,Sheet1!$A$1:$AA$1,0),FALSE)=0,"",VLOOKUP($A70,Sheet1!$A:$AA,MATCH(G$1,Sheet1!$A$1:$AA$1,0),FALSE))</f>
        <v/>
      </c>
      <c r="H70" t="str">
        <f>IF(VLOOKUP($A70,Sheet1!$A:$AA,MATCH(H$1,Sheet1!$A$1:$AA$1,0),FALSE)=0,"",VLOOKUP($A70,Sheet1!$A:$AA,MATCH(H$1,Sheet1!$A$1:$AA$1,0),FALSE))</f>
        <v/>
      </c>
      <c r="I70" t="str">
        <f>IF(VLOOKUP($A70,Sheet1!$A:$AA,MATCH(I$1,Sheet1!$A$1:$AA$1,0),FALSE)=0,"",VLOOKUP($A70,Sheet1!$A:$AA,MATCH(I$1,Sheet1!$A$1:$AA$1,0),FALSE))</f>
        <v/>
      </c>
      <c r="J70" t="str">
        <f>IF(VLOOKUP($A70,Sheet1!$A:$AA,MATCH(J$1,Sheet1!$A$1:$AA$1,0),FALSE)=0,"",VLOOKUP($A70,Sheet1!$A:$AA,MATCH(J$1,Sheet1!$A$1:$AA$1,0),FALSE))</f>
        <v/>
      </c>
      <c r="K70" t="str">
        <f>IF(VLOOKUP($A70,Sheet1!$A:$AA,MATCH(K$1,Sheet1!$A$1:$AA$1,0),FALSE)=0,"",VLOOKUP($A70,Sheet1!$A:$AA,MATCH(K$1,Sheet1!$A$1:$AA$1,0),FALSE))</f>
        <v>ANDALUZA</v>
      </c>
      <c r="L70" t="str">
        <f>IF(VLOOKUP($A70,Sheet1!$A:$AA,MATCH(L$1,Sheet1!$A$1:$AA$1,0),FALSE)=0,"",VLOOKUP($A70,Sheet1!$A:$AA,MATCH(L$1,Sheet1!$A$1:$AA$1,0),FALSE))</f>
        <v/>
      </c>
      <c r="M70" t="str">
        <f>IF(VLOOKUP($A70,Sheet1!$A:$AA,MATCH(M$1,Sheet1!$A$1:$AA$1,0),FALSE)=0,"",VLOOKUP($A70,Sheet1!$A:$AA,MATCH(M$1,Sheet1!$A$1:$AA$1,0),FALSE))</f>
        <v/>
      </c>
      <c r="N70" t="str">
        <f>IF(VLOOKUP($A70,Sheet1!$A:$AA,MATCH(N$1,Sheet1!$A$1:$AA$1,0),FALSE)=0,"",VLOOKUP($A70,Sheet1!$A:$AA,MATCH(N$1,Sheet1!$A$1:$AA$1,0),FALSE))</f>
        <v/>
      </c>
      <c r="O70" t="str">
        <f>IF(VLOOKUP($A70,Sheet1!$A:$AA,MATCH(O$1,Sheet1!$A$1:$AA$1,0),FALSE)=0,"",VLOOKUP($A70,Sheet1!$A:$AA,MATCH(O$1,Sheet1!$A$1:$AA$1,0),FALSE))</f>
        <v/>
      </c>
      <c r="P70" t="str">
        <f>IF(VLOOKUP($A70,Sheet1!$A:$AA,MATCH(P$1,Sheet1!$A$1:$AA$1,0),FALSE)=0,"",VLOOKUP($A70,Sheet1!$A:$AA,MATCH(P$1,Sheet1!$A$1:$AA$1,0),FALSE))</f>
        <v/>
      </c>
      <c r="Q70" t="str">
        <f>IF(VLOOKUP($A70,Sheet1!$A:$AA,MATCH(Q$1,Sheet1!$A$1:$AA$1,0),FALSE)=0,"",VLOOKUP($A70,Sheet1!$A:$AA,MATCH(Q$1,Sheet1!$A$1:$AA$1,0),FALSE))</f>
        <v>M</v>
      </c>
      <c r="R70" s="2">
        <f>IF(VLOOKUP($A70,Sheet1!$A:$AA,MATCH(R$1,Sheet1!$A$1:$AA$1,0),FALSE)=0,"",VLOOKUP($A70,Sheet1!$A:$AA,MATCH(R$1,Sheet1!$A$1:$AA$1,0),FALSE))</f>
        <v>18461</v>
      </c>
      <c r="AA70">
        <f ca="1">IF(VLOOKUP($A70,Sheet1!$A:$AA,MATCH(AA$1,Sheet1!$A$1:$AA$1,0),FALSE)=0,"",VLOOKUP($A70,Sheet1!$A:$AA,MATCH(AA$1,Sheet1!$A$1:$AA$1,0),FALSE))</f>
        <v>75</v>
      </c>
    </row>
    <row r="71" spans="1:27" x14ac:dyDescent="0.25">
      <c r="A71">
        <v>16964795</v>
      </c>
      <c r="B71" t="str">
        <f>IF(VLOOKUP($A71,Sheet1!$A:$AA,MATCH(B$1,Sheet1!$A$1:$AA$1,0),FALSE)=0,"",VLOOKUP($A71,Sheet1!$A:$AA,MATCH(B$1,Sheet1!$A$1:$AA$1,0),FALSE))</f>
        <v>REVUELTA ARBOLí, ALFREDO</v>
      </c>
      <c r="C71" t="str">
        <f>IF(VLOOKUP($A71,Sheet1!$A:$AA,MATCH(C$1,Sheet1!$A$1:$AA$1,0),FALSE)=0,"",VLOOKUP($A71,Sheet1!$A:$AA,MATCH(C$1,Sheet1!$A$1:$AA$1,0),FALSE))</f>
        <v>REVUELTA ARBOLí</v>
      </c>
      <c r="D71" t="str">
        <f>IF(VLOOKUP($A71,Sheet1!$A:$AA,MATCH(D$1,Sheet1!$A$1:$AA$1,0),FALSE)=0,"",VLOOKUP($A71,Sheet1!$A:$AA,MATCH(D$1,Sheet1!$A$1:$AA$1,0),FALSE))</f>
        <v>ALFREDO</v>
      </c>
      <c r="E71" t="str">
        <f>IF(VLOOKUP($A71,Sheet1!$A:$AA,MATCH(E$1,Sheet1!$A$1:$AA$1,0),FALSE)=0,"",VLOOKUP($A71,Sheet1!$A:$AA,MATCH(E$1,Sheet1!$A$1:$AA$1,0),FALSE))</f>
        <v/>
      </c>
      <c r="F71" t="str">
        <f>IF(VLOOKUP($A71,Sheet1!$A:$AA,MATCH(F$1,Sheet1!$A$1:$AA$1,0),FALSE)=0,"",VLOOKUP($A71,Sheet1!$A:$AA,MATCH(F$1,Sheet1!$A$1:$AA$1,0),FALSE))</f>
        <v/>
      </c>
      <c r="G71" t="str">
        <f>IF(VLOOKUP($A71,Sheet1!$A:$AA,MATCH(G$1,Sheet1!$A$1:$AA$1,0),FALSE)=0,"",VLOOKUP($A71,Sheet1!$A:$AA,MATCH(G$1,Sheet1!$A$1:$AA$1,0),FALSE))</f>
        <v/>
      </c>
      <c r="H71" t="str">
        <f>IF(VLOOKUP($A71,Sheet1!$A:$AA,MATCH(H$1,Sheet1!$A$1:$AA$1,0),FALSE)=0,"",VLOOKUP($A71,Sheet1!$A:$AA,MATCH(H$1,Sheet1!$A$1:$AA$1,0),FALSE))</f>
        <v/>
      </c>
      <c r="I71" t="str">
        <f>IF(VLOOKUP($A71,Sheet1!$A:$AA,MATCH(I$1,Sheet1!$A$1:$AA$1,0),FALSE)=0,"",VLOOKUP($A71,Sheet1!$A:$AA,MATCH(I$1,Sheet1!$A$1:$AA$1,0),FALSE))</f>
        <v/>
      </c>
      <c r="J71" t="str">
        <f>IF(VLOOKUP($A71,Sheet1!$A:$AA,MATCH(J$1,Sheet1!$A$1:$AA$1,0),FALSE)=0,"",VLOOKUP($A71,Sheet1!$A:$AA,MATCH(J$1,Sheet1!$A$1:$AA$1,0),FALSE))</f>
        <v/>
      </c>
      <c r="K71" t="str">
        <f>IF(VLOOKUP($A71,Sheet1!$A:$AA,MATCH(K$1,Sheet1!$A$1:$AA$1,0),FALSE)=0,"",VLOOKUP($A71,Sheet1!$A:$AA,MATCH(K$1,Sheet1!$A$1:$AA$1,0),FALSE))</f>
        <v>ANDALUZA</v>
      </c>
      <c r="L71" t="str">
        <f>IF(VLOOKUP($A71,Sheet1!$A:$AA,MATCH(L$1,Sheet1!$A$1:$AA$1,0),FALSE)=0,"",VLOOKUP($A71,Sheet1!$A:$AA,MATCH(L$1,Sheet1!$A$1:$AA$1,0),FALSE))</f>
        <v/>
      </c>
      <c r="M71" t="str">
        <f>IF(VLOOKUP($A71,Sheet1!$A:$AA,MATCH(M$1,Sheet1!$A$1:$AA$1,0),FALSE)=0,"",VLOOKUP($A71,Sheet1!$A:$AA,MATCH(M$1,Sheet1!$A$1:$AA$1,0),FALSE))</f>
        <v/>
      </c>
      <c r="N71" t="str">
        <f>IF(VLOOKUP($A71,Sheet1!$A:$AA,MATCH(N$1,Sheet1!$A$1:$AA$1,0),FALSE)=0,"",VLOOKUP($A71,Sheet1!$A:$AA,MATCH(N$1,Sheet1!$A$1:$AA$1,0),FALSE))</f>
        <v/>
      </c>
      <c r="O71" t="str">
        <f>IF(VLOOKUP($A71,Sheet1!$A:$AA,MATCH(O$1,Sheet1!$A$1:$AA$1,0),FALSE)=0,"",VLOOKUP($A71,Sheet1!$A:$AA,MATCH(O$1,Sheet1!$A$1:$AA$1,0),FALSE))</f>
        <v/>
      </c>
      <c r="P71" t="str">
        <f>IF(VLOOKUP($A71,Sheet1!$A:$AA,MATCH(P$1,Sheet1!$A$1:$AA$1,0),FALSE)=0,"",VLOOKUP($A71,Sheet1!$A:$AA,MATCH(P$1,Sheet1!$A$1:$AA$1,0),FALSE))</f>
        <v/>
      </c>
      <c r="Q71" t="str">
        <f>IF(VLOOKUP($A71,Sheet1!$A:$AA,MATCH(Q$1,Sheet1!$A$1:$AA$1,0),FALSE)=0,"",VLOOKUP($A71,Sheet1!$A:$AA,MATCH(Q$1,Sheet1!$A$1:$AA$1,0),FALSE))</f>
        <v>M</v>
      </c>
      <c r="R71" s="2">
        <f>IF(VLOOKUP($A71,Sheet1!$A:$AA,MATCH(R$1,Sheet1!$A$1:$AA$1,0),FALSE)=0,"",VLOOKUP($A71,Sheet1!$A:$AA,MATCH(R$1,Sheet1!$A$1:$AA$1,0),FALSE))</f>
        <v>36804</v>
      </c>
      <c r="AA71">
        <f ca="1">IF(VLOOKUP($A71,Sheet1!$A:$AA,MATCH(AA$1,Sheet1!$A$1:$AA$1,0),FALSE)=0,"",VLOOKUP($A71,Sheet1!$A:$AA,MATCH(AA$1,Sheet1!$A$1:$AA$1,0),FALSE))</f>
        <v>25</v>
      </c>
    </row>
    <row r="72" spans="1:27" x14ac:dyDescent="0.25">
      <c r="A72">
        <v>16964977</v>
      </c>
      <c r="B72" t="str">
        <f>IF(VLOOKUP($A72,Sheet1!$A:$AA,MATCH(B$1,Sheet1!$A$1:$AA$1,0),FALSE)=0,"",VLOOKUP($A72,Sheet1!$A:$AA,MATCH(B$1,Sheet1!$A$1:$AA$1,0),FALSE))</f>
        <v>CARRASCO RODRIGUEZ, JAIME</v>
      </c>
      <c r="C72" t="str">
        <f>IF(VLOOKUP($A72,Sheet1!$A:$AA,MATCH(C$1,Sheet1!$A$1:$AA$1,0),FALSE)=0,"",VLOOKUP($A72,Sheet1!$A:$AA,MATCH(C$1,Sheet1!$A$1:$AA$1,0),FALSE))</f>
        <v>CARRASCO RODRIGUEZ</v>
      </c>
      <c r="D72" t="str">
        <f>IF(VLOOKUP($A72,Sheet1!$A:$AA,MATCH(D$1,Sheet1!$A$1:$AA$1,0),FALSE)=0,"",VLOOKUP($A72,Sheet1!$A:$AA,MATCH(D$1,Sheet1!$A$1:$AA$1,0),FALSE))</f>
        <v>JAIME</v>
      </c>
      <c r="E72" t="str">
        <f>IF(VLOOKUP($A72,Sheet1!$A:$AA,MATCH(E$1,Sheet1!$A$1:$AA$1,0),FALSE)=0,"",VLOOKUP($A72,Sheet1!$A:$AA,MATCH(E$1,Sheet1!$A$1:$AA$1,0),FALSE))</f>
        <v/>
      </c>
      <c r="F72" t="str">
        <f>IF(VLOOKUP($A72,Sheet1!$A:$AA,MATCH(F$1,Sheet1!$A$1:$AA$1,0),FALSE)=0,"",VLOOKUP($A72,Sheet1!$A:$AA,MATCH(F$1,Sheet1!$A$1:$AA$1,0),FALSE))</f>
        <v/>
      </c>
      <c r="G72" t="str">
        <f>IF(VLOOKUP($A72,Sheet1!$A:$AA,MATCH(G$1,Sheet1!$A$1:$AA$1,0),FALSE)=0,"",VLOOKUP($A72,Sheet1!$A:$AA,MATCH(G$1,Sheet1!$A$1:$AA$1,0),FALSE))</f>
        <v/>
      </c>
      <c r="H72" t="str">
        <f>IF(VLOOKUP($A72,Sheet1!$A:$AA,MATCH(H$1,Sheet1!$A$1:$AA$1,0),FALSE)=0,"",VLOOKUP($A72,Sheet1!$A:$AA,MATCH(H$1,Sheet1!$A$1:$AA$1,0),FALSE))</f>
        <v/>
      </c>
      <c r="I72" t="str">
        <f>IF(VLOOKUP($A72,Sheet1!$A:$AA,MATCH(I$1,Sheet1!$A$1:$AA$1,0),FALSE)=0,"",VLOOKUP($A72,Sheet1!$A:$AA,MATCH(I$1,Sheet1!$A$1:$AA$1,0),FALSE))</f>
        <v/>
      </c>
      <c r="J72" t="str">
        <f>IF(VLOOKUP($A72,Sheet1!$A:$AA,MATCH(J$1,Sheet1!$A$1:$AA$1,0),FALSE)=0,"",VLOOKUP($A72,Sheet1!$A:$AA,MATCH(J$1,Sheet1!$A$1:$AA$1,0),FALSE))</f>
        <v/>
      </c>
      <c r="K72" t="str">
        <f>IF(VLOOKUP($A72,Sheet1!$A:$AA,MATCH(K$1,Sheet1!$A$1:$AA$1,0),FALSE)=0,"",VLOOKUP($A72,Sheet1!$A:$AA,MATCH(K$1,Sheet1!$A$1:$AA$1,0),FALSE))</f>
        <v>ANDALUZA</v>
      </c>
      <c r="L72" t="str">
        <f>IF(VLOOKUP($A72,Sheet1!$A:$AA,MATCH(L$1,Sheet1!$A$1:$AA$1,0),FALSE)=0,"",VLOOKUP($A72,Sheet1!$A:$AA,MATCH(L$1,Sheet1!$A$1:$AA$1,0),FALSE))</f>
        <v/>
      </c>
      <c r="M72" t="str">
        <f>IF(VLOOKUP($A72,Sheet1!$A:$AA,MATCH(M$1,Sheet1!$A$1:$AA$1,0),FALSE)=0,"",VLOOKUP($A72,Sheet1!$A:$AA,MATCH(M$1,Sheet1!$A$1:$AA$1,0),FALSE))</f>
        <v/>
      </c>
      <c r="N72" t="str">
        <f>IF(VLOOKUP($A72,Sheet1!$A:$AA,MATCH(N$1,Sheet1!$A$1:$AA$1,0),FALSE)=0,"",VLOOKUP($A72,Sheet1!$A:$AA,MATCH(N$1,Sheet1!$A$1:$AA$1,0),FALSE))</f>
        <v/>
      </c>
      <c r="O72" t="str">
        <f>IF(VLOOKUP($A72,Sheet1!$A:$AA,MATCH(O$1,Sheet1!$A$1:$AA$1,0),FALSE)=0,"",VLOOKUP($A72,Sheet1!$A:$AA,MATCH(O$1,Sheet1!$A$1:$AA$1,0),FALSE))</f>
        <v/>
      </c>
      <c r="P72" t="str">
        <f>IF(VLOOKUP($A72,Sheet1!$A:$AA,MATCH(P$1,Sheet1!$A$1:$AA$1,0),FALSE)=0,"",VLOOKUP($A72,Sheet1!$A:$AA,MATCH(P$1,Sheet1!$A$1:$AA$1,0),FALSE))</f>
        <v/>
      </c>
      <c r="Q72" t="str">
        <f>IF(VLOOKUP($A72,Sheet1!$A:$AA,MATCH(Q$1,Sheet1!$A$1:$AA$1,0),FALSE)=0,"",VLOOKUP($A72,Sheet1!$A:$AA,MATCH(Q$1,Sheet1!$A$1:$AA$1,0),FALSE))</f>
        <v>M</v>
      </c>
      <c r="R72" s="2">
        <f>IF(VLOOKUP($A72,Sheet1!$A:$AA,MATCH(R$1,Sheet1!$A$1:$AA$1,0),FALSE)=0,"",VLOOKUP($A72,Sheet1!$A:$AA,MATCH(R$1,Sheet1!$A$1:$AA$1,0),FALSE))</f>
        <v>37248</v>
      </c>
      <c r="AA72">
        <f ca="1">IF(VLOOKUP($A72,Sheet1!$A:$AA,MATCH(AA$1,Sheet1!$A$1:$AA$1,0),FALSE)=0,"",VLOOKUP($A72,Sheet1!$A:$AA,MATCH(AA$1,Sheet1!$A$1:$AA$1,0),FALSE))</f>
        <v>24</v>
      </c>
    </row>
    <row r="73" spans="1:27" x14ac:dyDescent="0.25">
      <c r="A73">
        <v>16965107</v>
      </c>
      <c r="B73" t="str">
        <f>IF(VLOOKUP($A73,Sheet1!$A:$AA,MATCH(B$1,Sheet1!$A$1:$AA$1,0),FALSE)=0,"",VLOOKUP($A73,Sheet1!$A:$AA,MATCH(B$1,Sheet1!$A$1:$AA$1,0),FALSE))</f>
        <v>ALMAZáN AGUILAR, VíCTOR</v>
      </c>
      <c r="C73" t="str">
        <f>IF(VLOOKUP($A73,Sheet1!$A:$AA,MATCH(C$1,Sheet1!$A$1:$AA$1,0),FALSE)=0,"",VLOOKUP($A73,Sheet1!$A:$AA,MATCH(C$1,Sheet1!$A$1:$AA$1,0),FALSE))</f>
        <v>ALMAZáN AGUILAR</v>
      </c>
      <c r="D73" t="str">
        <f>IF(VLOOKUP($A73,Sheet1!$A:$AA,MATCH(D$1,Sheet1!$A$1:$AA$1,0),FALSE)=0,"",VLOOKUP($A73,Sheet1!$A:$AA,MATCH(D$1,Sheet1!$A$1:$AA$1,0),FALSE))</f>
        <v>VíCTOR</v>
      </c>
      <c r="E73" t="str">
        <f>IF(VLOOKUP($A73,Sheet1!$A:$AA,MATCH(E$1,Sheet1!$A$1:$AA$1,0),FALSE)=0,"",VLOOKUP($A73,Sheet1!$A:$AA,MATCH(E$1,Sheet1!$A$1:$AA$1,0),FALSE))</f>
        <v/>
      </c>
      <c r="F73" t="str">
        <f>IF(VLOOKUP($A73,Sheet1!$A:$AA,MATCH(F$1,Sheet1!$A$1:$AA$1,0),FALSE)=0,"",VLOOKUP($A73,Sheet1!$A:$AA,MATCH(F$1,Sheet1!$A$1:$AA$1,0),FALSE))</f>
        <v/>
      </c>
      <c r="G73" t="str">
        <f>IF(VLOOKUP($A73,Sheet1!$A:$AA,MATCH(G$1,Sheet1!$A$1:$AA$1,0),FALSE)=0,"",VLOOKUP($A73,Sheet1!$A:$AA,MATCH(G$1,Sheet1!$A$1:$AA$1,0),FALSE))</f>
        <v/>
      </c>
      <c r="H73" t="str">
        <f>IF(VLOOKUP($A73,Sheet1!$A:$AA,MATCH(H$1,Sheet1!$A$1:$AA$1,0),FALSE)=0,"",VLOOKUP($A73,Sheet1!$A:$AA,MATCH(H$1,Sheet1!$A$1:$AA$1,0),FALSE))</f>
        <v/>
      </c>
      <c r="I73" t="str">
        <f>IF(VLOOKUP($A73,Sheet1!$A:$AA,MATCH(I$1,Sheet1!$A$1:$AA$1,0),FALSE)=0,"",VLOOKUP($A73,Sheet1!$A:$AA,MATCH(I$1,Sheet1!$A$1:$AA$1,0),FALSE))</f>
        <v/>
      </c>
      <c r="J73" t="str">
        <f>IF(VLOOKUP($A73,Sheet1!$A:$AA,MATCH(J$1,Sheet1!$A$1:$AA$1,0),FALSE)=0,"",VLOOKUP($A73,Sheet1!$A:$AA,MATCH(J$1,Sheet1!$A$1:$AA$1,0),FALSE))</f>
        <v/>
      </c>
      <c r="K73" t="str">
        <f>IF(VLOOKUP($A73,Sheet1!$A:$AA,MATCH(K$1,Sheet1!$A$1:$AA$1,0),FALSE)=0,"",VLOOKUP($A73,Sheet1!$A:$AA,MATCH(K$1,Sheet1!$A$1:$AA$1,0),FALSE))</f>
        <v>ANDALUZA</v>
      </c>
      <c r="L73" t="str">
        <f>IF(VLOOKUP($A73,Sheet1!$A:$AA,MATCH(L$1,Sheet1!$A$1:$AA$1,0),FALSE)=0,"",VLOOKUP($A73,Sheet1!$A:$AA,MATCH(L$1,Sheet1!$A$1:$AA$1,0),FALSE))</f>
        <v/>
      </c>
      <c r="M73" t="str">
        <f>IF(VLOOKUP($A73,Sheet1!$A:$AA,MATCH(M$1,Sheet1!$A$1:$AA$1,0),FALSE)=0,"",VLOOKUP($A73,Sheet1!$A:$AA,MATCH(M$1,Sheet1!$A$1:$AA$1,0),FALSE))</f>
        <v/>
      </c>
      <c r="N73" t="str">
        <f>IF(VLOOKUP($A73,Sheet1!$A:$AA,MATCH(N$1,Sheet1!$A$1:$AA$1,0),FALSE)=0,"",VLOOKUP($A73,Sheet1!$A:$AA,MATCH(N$1,Sheet1!$A$1:$AA$1,0),FALSE))</f>
        <v/>
      </c>
      <c r="O73" t="str">
        <f>IF(VLOOKUP($A73,Sheet1!$A:$AA,MATCH(O$1,Sheet1!$A$1:$AA$1,0),FALSE)=0,"",VLOOKUP($A73,Sheet1!$A:$AA,MATCH(O$1,Sheet1!$A$1:$AA$1,0),FALSE))</f>
        <v/>
      </c>
      <c r="P73" t="str">
        <f>IF(VLOOKUP($A73,Sheet1!$A:$AA,MATCH(P$1,Sheet1!$A$1:$AA$1,0),FALSE)=0,"",VLOOKUP($A73,Sheet1!$A:$AA,MATCH(P$1,Sheet1!$A$1:$AA$1,0),FALSE))</f>
        <v/>
      </c>
      <c r="Q73" t="str">
        <f>IF(VLOOKUP($A73,Sheet1!$A:$AA,MATCH(Q$1,Sheet1!$A$1:$AA$1,0),FALSE)=0,"",VLOOKUP($A73,Sheet1!$A:$AA,MATCH(Q$1,Sheet1!$A$1:$AA$1,0),FALSE))</f>
        <v>M</v>
      </c>
      <c r="R73" s="2">
        <f>IF(VLOOKUP($A73,Sheet1!$A:$AA,MATCH(R$1,Sheet1!$A$1:$AA$1,0),FALSE)=0,"",VLOOKUP($A73,Sheet1!$A:$AA,MATCH(R$1,Sheet1!$A$1:$AA$1,0),FALSE))</f>
        <v>30007</v>
      </c>
      <c r="AA73">
        <f ca="1">IF(VLOOKUP($A73,Sheet1!$A:$AA,MATCH(AA$1,Sheet1!$A$1:$AA$1,0),FALSE)=0,"",VLOOKUP($A73,Sheet1!$A:$AA,MATCH(AA$1,Sheet1!$A$1:$AA$1,0),FALSE))</f>
        <v>43</v>
      </c>
    </row>
    <row r="74" spans="1:27" x14ac:dyDescent="0.25">
      <c r="A74">
        <v>16966113</v>
      </c>
      <c r="B74" t="str">
        <f>IF(VLOOKUP($A74,Sheet1!$A:$AA,MATCH(B$1,Sheet1!$A$1:$AA$1,0),FALSE)=0,"",VLOOKUP($A74,Sheet1!$A:$AA,MATCH(B$1,Sheet1!$A$1:$AA$1,0),FALSE))</f>
        <v>GEMEZ MATA, JUAN</v>
      </c>
      <c r="C74" t="str">
        <f>IF(VLOOKUP($A74,Sheet1!$A:$AA,MATCH(C$1,Sheet1!$A$1:$AA$1,0),FALSE)=0,"",VLOOKUP($A74,Sheet1!$A:$AA,MATCH(C$1,Sheet1!$A$1:$AA$1,0),FALSE))</f>
        <v>GEMEZ MATA</v>
      </c>
      <c r="D74" t="str">
        <f>IF(VLOOKUP($A74,Sheet1!$A:$AA,MATCH(D$1,Sheet1!$A$1:$AA$1,0),FALSE)=0,"",VLOOKUP($A74,Sheet1!$A:$AA,MATCH(D$1,Sheet1!$A$1:$AA$1,0),FALSE))</f>
        <v>JUAN</v>
      </c>
      <c r="E74" t="str">
        <f>IF(VLOOKUP($A74,Sheet1!$A:$AA,MATCH(E$1,Sheet1!$A$1:$AA$1,0),FALSE)=0,"",VLOOKUP($A74,Sheet1!$A:$AA,MATCH(E$1,Sheet1!$A$1:$AA$1,0),FALSE))</f>
        <v/>
      </c>
      <c r="F74" t="str">
        <f>IF(VLOOKUP($A74,Sheet1!$A:$AA,MATCH(F$1,Sheet1!$A$1:$AA$1,0),FALSE)=0,"",VLOOKUP($A74,Sheet1!$A:$AA,MATCH(F$1,Sheet1!$A$1:$AA$1,0),FALSE))</f>
        <v/>
      </c>
      <c r="G74" t="str">
        <f>IF(VLOOKUP($A74,Sheet1!$A:$AA,MATCH(G$1,Sheet1!$A$1:$AA$1,0),FALSE)=0,"",VLOOKUP($A74,Sheet1!$A:$AA,MATCH(G$1,Sheet1!$A$1:$AA$1,0),FALSE))</f>
        <v/>
      </c>
      <c r="H74" t="str">
        <f>IF(VLOOKUP($A74,Sheet1!$A:$AA,MATCH(H$1,Sheet1!$A$1:$AA$1,0),FALSE)=0,"",VLOOKUP($A74,Sheet1!$A:$AA,MATCH(H$1,Sheet1!$A$1:$AA$1,0),FALSE))</f>
        <v/>
      </c>
      <c r="I74" t="str">
        <f>IF(VLOOKUP($A74,Sheet1!$A:$AA,MATCH(I$1,Sheet1!$A$1:$AA$1,0),FALSE)=0,"",VLOOKUP($A74,Sheet1!$A:$AA,MATCH(I$1,Sheet1!$A$1:$AA$1,0),FALSE))</f>
        <v/>
      </c>
      <c r="J74" t="str">
        <f>IF(VLOOKUP($A74,Sheet1!$A:$AA,MATCH(J$1,Sheet1!$A$1:$AA$1,0),FALSE)=0,"",VLOOKUP($A74,Sheet1!$A:$AA,MATCH(J$1,Sheet1!$A$1:$AA$1,0),FALSE))</f>
        <v/>
      </c>
      <c r="K74" t="str">
        <f>IF(VLOOKUP($A74,Sheet1!$A:$AA,MATCH(K$1,Sheet1!$A$1:$AA$1,0),FALSE)=0,"",VLOOKUP($A74,Sheet1!$A:$AA,MATCH(K$1,Sheet1!$A$1:$AA$1,0),FALSE))</f>
        <v>ANDALUZA</v>
      </c>
      <c r="L74" t="str">
        <f>IF(VLOOKUP($A74,Sheet1!$A:$AA,MATCH(L$1,Sheet1!$A$1:$AA$1,0),FALSE)=0,"",VLOOKUP($A74,Sheet1!$A:$AA,MATCH(L$1,Sheet1!$A$1:$AA$1,0),FALSE))</f>
        <v/>
      </c>
      <c r="M74" t="str">
        <f>IF(VLOOKUP($A74,Sheet1!$A:$AA,MATCH(M$1,Sheet1!$A$1:$AA$1,0),FALSE)=0,"",VLOOKUP($A74,Sheet1!$A:$AA,MATCH(M$1,Sheet1!$A$1:$AA$1,0),FALSE))</f>
        <v/>
      </c>
      <c r="N74" t="str">
        <f>IF(VLOOKUP($A74,Sheet1!$A:$AA,MATCH(N$1,Sheet1!$A$1:$AA$1,0),FALSE)=0,"",VLOOKUP($A74,Sheet1!$A:$AA,MATCH(N$1,Sheet1!$A$1:$AA$1,0),FALSE))</f>
        <v/>
      </c>
      <c r="O74" t="str">
        <f>IF(VLOOKUP($A74,Sheet1!$A:$AA,MATCH(O$1,Sheet1!$A$1:$AA$1,0),FALSE)=0,"",VLOOKUP($A74,Sheet1!$A:$AA,MATCH(O$1,Sheet1!$A$1:$AA$1,0),FALSE))</f>
        <v/>
      </c>
      <c r="P74" t="str">
        <f>IF(VLOOKUP($A74,Sheet1!$A:$AA,MATCH(P$1,Sheet1!$A$1:$AA$1,0),FALSE)=0,"",VLOOKUP($A74,Sheet1!$A:$AA,MATCH(P$1,Sheet1!$A$1:$AA$1,0),FALSE))</f>
        <v/>
      </c>
      <c r="Q74" t="str">
        <f>IF(VLOOKUP($A74,Sheet1!$A:$AA,MATCH(Q$1,Sheet1!$A$1:$AA$1,0),FALSE)=0,"",VLOOKUP($A74,Sheet1!$A:$AA,MATCH(Q$1,Sheet1!$A$1:$AA$1,0),FALSE))</f>
        <v>M</v>
      </c>
      <c r="R74" s="2">
        <f>IF(VLOOKUP($A74,Sheet1!$A:$AA,MATCH(R$1,Sheet1!$A$1:$AA$1,0),FALSE)=0,"",VLOOKUP($A74,Sheet1!$A:$AA,MATCH(R$1,Sheet1!$A$1:$AA$1,0),FALSE))</f>
        <v>34234</v>
      </c>
      <c r="AA74">
        <f ca="1">IF(VLOOKUP($A74,Sheet1!$A:$AA,MATCH(AA$1,Sheet1!$A$1:$AA$1,0),FALSE)=0,"",VLOOKUP($A74,Sheet1!$A:$AA,MATCH(AA$1,Sheet1!$A$1:$AA$1,0),FALSE))</f>
        <v>32</v>
      </c>
    </row>
    <row r="75" spans="1:27" x14ac:dyDescent="0.25">
      <c r="A75">
        <v>16966361</v>
      </c>
      <c r="B75" t="str">
        <f>IF(VLOOKUP($A75,Sheet1!$A:$AA,MATCH(B$1,Sheet1!$A$1:$AA$1,0),FALSE)=0,"",VLOOKUP($A75,Sheet1!$A:$AA,MATCH(B$1,Sheet1!$A$1:$AA$1,0),FALSE))</f>
        <v>SÁNCHEZ CIVILA, JOSE JOAQUíN</v>
      </c>
      <c r="C75" t="str">
        <f>IF(VLOOKUP($A75,Sheet1!$A:$AA,MATCH(C$1,Sheet1!$A$1:$AA$1,0),FALSE)=0,"",VLOOKUP($A75,Sheet1!$A:$AA,MATCH(C$1,Sheet1!$A$1:$AA$1,0),FALSE))</f>
        <v>SÁNCHEZ CIVILA</v>
      </c>
      <c r="D75" t="str">
        <f>IF(VLOOKUP($A75,Sheet1!$A:$AA,MATCH(D$1,Sheet1!$A$1:$AA$1,0),FALSE)=0,"",VLOOKUP($A75,Sheet1!$A:$AA,MATCH(D$1,Sheet1!$A$1:$AA$1,0),FALSE))</f>
        <v>JOSE JOAQUíN</v>
      </c>
      <c r="E75" t="str">
        <f>IF(VLOOKUP($A75,Sheet1!$A:$AA,MATCH(E$1,Sheet1!$A$1:$AA$1,0),FALSE)=0,"",VLOOKUP($A75,Sheet1!$A:$AA,MATCH(E$1,Sheet1!$A$1:$AA$1,0),FALSE))</f>
        <v/>
      </c>
      <c r="F75" t="str">
        <f>IF(VLOOKUP($A75,Sheet1!$A:$AA,MATCH(F$1,Sheet1!$A$1:$AA$1,0),FALSE)=0,"",VLOOKUP($A75,Sheet1!$A:$AA,MATCH(F$1,Sheet1!$A$1:$AA$1,0),FALSE))</f>
        <v/>
      </c>
      <c r="G75" t="str">
        <f>IF(VLOOKUP($A75,Sheet1!$A:$AA,MATCH(G$1,Sheet1!$A$1:$AA$1,0),FALSE)=0,"",VLOOKUP($A75,Sheet1!$A:$AA,MATCH(G$1,Sheet1!$A$1:$AA$1,0),FALSE))</f>
        <v/>
      </c>
      <c r="H75" t="str">
        <f>IF(VLOOKUP($A75,Sheet1!$A:$AA,MATCH(H$1,Sheet1!$A$1:$AA$1,0),FALSE)=0,"",VLOOKUP($A75,Sheet1!$A:$AA,MATCH(H$1,Sheet1!$A$1:$AA$1,0),FALSE))</f>
        <v/>
      </c>
      <c r="I75" t="str">
        <f>IF(VLOOKUP($A75,Sheet1!$A:$AA,MATCH(I$1,Sheet1!$A$1:$AA$1,0),FALSE)=0,"",VLOOKUP($A75,Sheet1!$A:$AA,MATCH(I$1,Sheet1!$A$1:$AA$1,0),FALSE))</f>
        <v/>
      </c>
      <c r="J75" t="str">
        <f>IF(VLOOKUP($A75,Sheet1!$A:$AA,MATCH(J$1,Sheet1!$A$1:$AA$1,0),FALSE)=0,"",VLOOKUP($A75,Sheet1!$A:$AA,MATCH(J$1,Sheet1!$A$1:$AA$1,0),FALSE))</f>
        <v/>
      </c>
      <c r="K75" t="str">
        <f>IF(VLOOKUP($A75,Sheet1!$A:$AA,MATCH(K$1,Sheet1!$A$1:$AA$1,0),FALSE)=0,"",VLOOKUP($A75,Sheet1!$A:$AA,MATCH(K$1,Sheet1!$A$1:$AA$1,0),FALSE))</f>
        <v>ANDALUZA</v>
      </c>
      <c r="L75" t="str">
        <f>IF(VLOOKUP($A75,Sheet1!$A:$AA,MATCH(L$1,Sheet1!$A$1:$AA$1,0),FALSE)=0,"",VLOOKUP($A75,Sheet1!$A:$AA,MATCH(L$1,Sheet1!$A$1:$AA$1,0),FALSE))</f>
        <v/>
      </c>
      <c r="M75" t="str">
        <f>IF(VLOOKUP($A75,Sheet1!$A:$AA,MATCH(M$1,Sheet1!$A$1:$AA$1,0),FALSE)=0,"",VLOOKUP($A75,Sheet1!$A:$AA,MATCH(M$1,Sheet1!$A$1:$AA$1,0),FALSE))</f>
        <v/>
      </c>
      <c r="N75" t="str">
        <f>IF(VLOOKUP($A75,Sheet1!$A:$AA,MATCH(N$1,Sheet1!$A$1:$AA$1,0),FALSE)=0,"",VLOOKUP($A75,Sheet1!$A:$AA,MATCH(N$1,Sheet1!$A$1:$AA$1,0),FALSE))</f>
        <v/>
      </c>
      <c r="O75" t="str">
        <f>IF(VLOOKUP($A75,Sheet1!$A:$AA,MATCH(O$1,Sheet1!$A$1:$AA$1,0),FALSE)=0,"",VLOOKUP($A75,Sheet1!$A:$AA,MATCH(O$1,Sheet1!$A$1:$AA$1,0),FALSE))</f>
        <v/>
      </c>
      <c r="P75" t="str">
        <f>IF(VLOOKUP($A75,Sheet1!$A:$AA,MATCH(P$1,Sheet1!$A$1:$AA$1,0),FALSE)=0,"",VLOOKUP($A75,Sheet1!$A:$AA,MATCH(P$1,Sheet1!$A$1:$AA$1,0),FALSE))</f>
        <v/>
      </c>
      <c r="Q75" t="str">
        <f>IF(VLOOKUP($A75,Sheet1!$A:$AA,MATCH(Q$1,Sheet1!$A$1:$AA$1,0),FALSE)=0,"",VLOOKUP($A75,Sheet1!$A:$AA,MATCH(Q$1,Sheet1!$A$1:$AA$1,0),FALSE))</f>
        <v>M</v>
      </c>
      <c r="R75" s="2">
        <f>IF(VLOOKUP($A75,Sheet1!$A:$AA,MATCH(R$1,Sheet1!$A$1:$AA$1,0),FALSE)=0,"",VLOOKUP($A75,Sheet1!$A:$AA,MATCH(R$1,Sheet1!$A$1:$AA$1,0),FALSE))</f>
        <v>21546</v>
      </c>
      <c r="AA75">
        <f ca="1">IF(VLOOKUP($A75,Sheet1!$A:$AA,MATCH(AA$1,Sheet1!$A$1:$AA$1,0),FALSE)=0,"",VLOOKUP($A75,Sheet1!$A:$AA,MATCH(AA$1,Sheet1!$A$1:$AA$1,0),FALSE))</f>
        <v>67</v>
      </c>
    </row>
    <row r="76" spans="1:27" x14ac:dyDescent="0.25">
      <c r="A76">
        <v>16966395</v>
      </c>
      <c r="B76" t="str">
        <f>IF(VLOOKUP($A76,Sheet1!$A:$AA,MATCH(B$1,Sheet1!$A$1:$AA$1,0),FALSE)=0,"",VLOOKUP($A76,Sheet1!$A:$AA,MATCH(B$1,Sheet1!$A$1:$AA$1,0),FALSE))</f>
        <v>SÁNCHEZ CIVILA, INMACULADA</v>
      </c>
      <c r="C76" t="str">
        <f>IF(VLOOKUP($A76,Sheet1!$A:$AA,MATCH(C$1,Sheet1!$A$1:$AA$1,0),FALSE)=0,"",VLOOKUP($A76,Sheet1!$A:$AA,MATCH(C$1,Sheet1!$A$1:$AA$1,0),FALSE))</f>
        <v>SÁNCHEZ CIVILA</v>
      </c>
      <c r="D76" t="str">
        <f>IF(VLOOKUP($A76,Sheet1!$A:$AA,MATCH(D$1,Sheet1!$A$1:$AA$1,0),FALSE)=0,"",VLOOKUP($A76,Sheet1!$A:$AA,MATCH(D$1,Sheet1!$A$1:$AA$1,0),FALSE))</f>
        <v>INMACULADA</v>
      </c>
      <c r="E76" t="str">
        <f>IF(VLOOKUP($A76,Sheet1!$A:$AA,MATCH(E$1,Sheet1!$A$1:$AA$1,0),FALSE)=0,"",VLOOKUP($A76,Sheet1!$A:$AA,MATCH(E$1,Sheet1!$A$1:$AA$1,0),FALSE))</f>
        <v/>
      </c>
      <c r="F76" t="str">
        <f>IF(VLOOKUP($A76,Sheet1!$A:$AA,MATCH(F$1,Sheet1!$A$1:$AA$1,0),FALSE)=0,"",VLOOKUP($A76,Sheet1!$A:$AA,MATCH(F$1,Sheet1!$A$1:$AA$1,0),FALSE))</f>
        <v/>
      </c>
      <c r="G76" t="str">
        <f>IF(VLOOKUP($A76,Sheet1!$A:$AA,MATCH(G$1,Sheet1!$A$1:$AA$1,0),FALSE)=0,"",VLOOKUP($A76,Sheet1!$A:$AA,MATCH(G$1,Sheet1!$A$1:$AA$1,0),FALSE))</f>
        <v/>
      </c>
      <c r="H76" t="str">
        <f>IF(VLOOKUP($A76,Sheet1!$A:$AA,MATCH(H$1,Sheet1!$A$1:$AA$1,0),FALSE)=0,"",VLOOKUP($A76,Sheet1!$A:$AA,MATCH(H$1,Sheet1!$A$1:$AA$1,0),FALSE))</f>
        <v/>
      </c>
      <c r="I76" t="str">
        <f>IF(VLOOKUP($A76,Sheet1!$A:$AA,MATCH(I$1,Sheet1!$A$1:$AA$1,0),FALSE)=0,"",VLOOKUP($A76,Sheet1!$A:$AA,MATCH(I$1,Sheet1!$A$1:$AA$1,0),FALSE))</f>
        <v/>
      </c>
      <c r="J76" t="str">
        <f>IF(VLOOKUP($A76,Sheet1!$A:$AA,MATCH(J$1,Sheet1!$A$1:$AA$1,0),FALSE)=0,"",VLOOKUP($A76,Sheet1!$A:$AA,MATCH(J$1,Sheet1!$A$1:$AA$1,0),FALSE))</f>
        <v/>
      </c>
      <c r="K76" t="str">
        <f>IF(VLOOKUP($A76,Sheet1!$A:$AA,MATCH(K$1,Sheet1!$A$1:$AA$1,0),FALSE)=0,"",VLOOKUP($A76,Sheet1!$A:$AA,MATCH(K$1,Sheet1!$A$1:$AA$1,0),FALSE))</f>
        <v>ANDALUZA</v>
      </c>
      <c r="L76" t="str">
        <f>IF(VLOOKUP($A76,Sheet1!$A:$AA,MATCH(L$1,Sheet1!$A$1:$AA$1,0),FALSE)=0,"",VLOOKUP($A76,Sheet1!$A:$AA,MATCH(L$1,Sheet1!$A$1:$AA$1,0),FALSE))</f>
        <v/>
      </c>
      <c r="M76" t="str">
        <f>IF(VLOOKUP($A76,Sheet1!$A:$AA,MATCH(M$1,Sheet1!$A$1:$AA$1,0),FALSE)=0,"",VLOOKUP($A76,Sheet1!$A:$AA,MATCH(M$1,Sheet1!$A$1:$AA$1,0),FALSE))</f>
        <v/>
      </c>
      <c r="N76" t="str">
        <f>IF(VLOOKUP($A76,Sheet1!$A:$AA,MATCH(N$1,Sheet1!$A$1:$AA$1,0),FALSE)=0,"",VLOOKUP($A76,Sheet1!$A:$AA,MATCH(N$1,Sheet1!$A$1:$AA$1,0),FALSE))</f>
        <v/>
      </c>
      <c r="O76" t="str">
        <f>IF(VLOOKUP($A76,Sheet1!$A:$AA,MATCH(O$1,Sheet1!$A$1:$AA$1,0),FALSE)=0,"",VLOOKUP($A76,Sheet1!$A:$AA,MATCH(O$1,Sheet1!$A$1:$AA$1,0),FALSE))</f>
        <v/>
      </c>
      <c r="P76" t="str">
        <f>IF(VLOOKUP($A76,Sheet1!$A:$AA,MATCH(P$1,Sheet1!$A$1:$AA$1,0),FALSE)=0,"",VLOOKUP($A76,Sheet1!$A:$AA,MATCH(P$1,Sheet1!$A$1:$AA$1,0),FALSE))</f>
        <v/>
      </c>
      <c r="Q76" t="str">
        <f>IF(VLOOKUP($A76,Sheet1!$A:$AA,MATCH(Q$1,Sheet1!$A$1:$AA$1,0),FALSE)=0,"",VLOOKUP($A76,Sheet1!$A:$AA,MATCH(Q$1,Sheet1!$A$1:$AA$1,0),FALSE))</f>
        <v>F</v>
      </c>
      <c r="R76" s="2">
        <f>IF(VLOOKUP($A76,Sheet1!$A:$AA,MATCH(R$1,Sheet1!$A$1:$AA$1,0),FALSE)=0,"",VLOOKUP($A76,Sheet1!$A:$AA,MATCH(R$1,Sheet1!$A$1:$AA$1,0),FALSE))</f>
        <v>21160</v>
      </c>
      <c r="AA76">
        <f ca="1">IF(VLOOKUP($A76,Sheet1!$A:$AA,MATCH(AA$1,Sheet1!$A$1:$AA$1,0),FALSE)=0,"",VLOOKUP($A76,Sheet1!$A:$AA,MATCH(AA$1,Sheet1!$A$1:$AA$1,0),FALSE))</f>
        <v>68</v>
      </c>
    </row>
    <row r="77" spans="1:27" x14ac:dyDescent="0.25">
      <c r="A77">
        <v>16966402</v>
      </c>
      <c r="B77" t="str">
        <f>IF(VLOOKUP($A77,Sheet1!$A:$AA,MATCH(B$1,Sheet1!$A$1:$AA$1,0),FALSE)=0,"",VLOOKUP($A77,Sheet1!$A:$AA,MATCH(B$1,Sheet1!$A$1:$AA$1,0),FALSE))</f>
        <v>VIRUEL SANCHEZ DE LA CAMPA, JUAN</v>
      </c>
      <c r="C77" t="str">
        <f>IF(VLOOKUP($A77,Sheet1!$A:$AA,MATCH(C$1,Sheet1!$A$1:$AA$1,0),FALSE)=0,"",VLOOKUP($A77,Sheet1!$A:$AA,MATCH(C$1,Sheet1!$A$1:$AA$1,0),FALSE))</f>
        <v>VIRUEL SANCHEZ DE LA CAMPA</v>
      </c>
      <c r="D77" t="str">
        <f>IF(VLOOKUP($A77,Sheet1!$A:$AA,MATCH(D$1,Sheet1!$A$1:$AA$1,0),FALSE)=0,"",VLOOKUP($A77,Sheet1!$A:$AA,MATCH(D$1,Sheet1!$A$1:$AA$1,0),FALSE))</f>
        <v>JUAN</v>
      </c>
      <c r="E77" t="str">
        <f>IF(VLOOKUP($A77,Sheet1!$A:$AA,MATCH(E$1,Sheet1!$A$1:$AA$1,0),FALSE)=0,"",VLOOKUP($A77,Sheet1!$A:$AA,MATCH(E$1,Sheet1!$A$1:$AA$1,0),FALSE))</f>
        <v/>
      </c>
      <c r="F77" t="str">
        <f>IF(VLOOKUP($A77,Sheet1!$A:$AA,MATCH(F$1,Sheet1!$A$1:$AA$1,0),FALSE)=0,"",VLOOKUP($A77,Sheet1!$A:$AA,MATCH(F$1,Sheet1!$A$1:$AA$1,0),FALSE))</f>
        <v/>
      </c>
      <c r="G77" t="str">
        <f>IF(VLOOKUP($A77,Sheet1!$A:$AA,MATCH(G$1,Sheet1!$A$1:$AA$1,0),FALSE)=0,"",VLOOKUP($A77,Sheet1!$A:$AA,MATCH(G$1,Sheet1!$A$1:$AA$1,0),FALSE))</f>
        <v/>
      </c>
      <c r="H77" t="str">
        <f>IF(VLOOKUP($A77,Sheet1!$A:$AA,MATCH(H$1,Sheet1!$A$1:$AA$1,0),FALSE)=0,"",VLOOKUP($A77,Sheet1!$A:$AA,MATCH(H$1,Sheet1!$A$1:$AA$1,0),FALSE))</f>
        <v/>
      </c>
      <c r="I77" t="str">
        <f>IF(VLOOKUP($A77,Sheet1!$A:$AA,MATCH(I$1,Sheet1!$A$1:$AA$1,0),FALSE)=0,"",VLOOKUP($A77,Sheet1!$A:$AA,MATCH(I$1,Sheet1!$A$1:$AA$1,0),FALSE))</f>
        <v/>
      </c>
      <c r="J77" t="str">
        <f>IF(VLOOKUP($A77,Sheet1!$A:$AA,MATCH(J$1,Sheet1!$A$1:$AA$1,0),FALSE)=0,"",VLOOKUP($A77,Sheet1!$A:$AA,MATCH(J$1,Sheet1!$A$1:$AA$1,0),FALSE))</f>
        <v/>
      </c>
      <c r="K77" t="str">
        <f>IF(VLOOKUP($A77,Sheet1!$A:$AA,MATCH(K$1,Sheet1!$A$1:$AA$1,0),FALSE)=0,"",VLOOKUP($A77,Sheet1!$A:$AA,MATCH(K$1,Sheet1!$A$1:$AA$1,0),FALSE))</f>
        <v>ANDALUZA</v>
      </c>
      <c r="L77" t="str">
        <f>IF(VLOOKUP($A77,Sheet1!$A:$AA,MATCH(L$1,Sheet1!$A$1:$AA$1,0),FALSE)=0,"",VLOOKUP($A77,Sheet1!$A:$AA,MATCH(L$1,Sheet1!$A$1:$AA$1,0),FALSE))</f>
        <v/>
      </c>
      <c r="M77" t="str">
        <f>IF(VLOOKUP($A77,Sheet1!$A:$AA,MATCH(M$1,Sheet1!$A$1:$AA$1,0),FALSE)=0,"",VLOOKUP($A77,Sheet1!$A:$AA,MATCH(M$1,Sheet1!$A$1:$AA$1,0),FALSE))</f>
        <v/>
      </c>
      <c r="N77" t="str">
        <f>IF(VLOOKUP($A77,Sheet1!$A:$AA,MATCH(N$1,Sheet1!$A$1:$AA$1,0),FALSE)=0,"",VLOOKUP($A77,Sheet1!$A:$AA,MATCH(N$1,Sheet1!$A$1:$AA$1,0),FALSE))</f>
        <v/>
      </c>
      <c r="O77" t="str">
        <f>IF(VLOOKUP($A77,Sheet1!$A:$AA,MATCH(O$1,Sheet1!$A$1:$AA$1,0),FALSE)=0,"",VLOOKUP($A77,Sheet1!$A:$AA,MATCH(O$1,Sheet1!$A$1:$AA$1,0),FALSE))</f>
        <v/>
      </c>
      <c r="P77" t="str">
        <f>IF(VLOOKUP($A77,Sheet1!$A:$AA,MATCH(P$1,Sheet1!$A$1:$AA$1,0),FALSE)=0,"",VLOOKUP($A77,Sheet1!$A:$AA,MATCH(P$1,Sheet1!$A$1:$AA$1,0),FALSE))</f>
        <v/>
      </c>
      <c r="Q77" t="str">
        <f>IF(VLOOKUP($A77,Sheet1!$A:$AA,MATCH(Q$1,Sheet1!$A$1:$AA$1,0),FALSE)=0,"",VLOOKUP($A77,Sheet1!$A:$AA,MATCH(Q$1,Sheet1!$A$1:$AA$1,0),FALSE))</f>
        <v>M</v>
      </c>
      <c r="R77" s="2">
        <f>IF(VLOOKUP($A77,Sheet1!$A:$AA,MATCH(R$1,Sheet1!$A$1:$AA$1,0),FALSE)=0,"",VLOOKUP($A77,Sheet1!$A:$AA,MATCH(R$1,Sheet1!$A$1:$AA$1,0),FALSE))</f>
        <v>21298</v>
      </c>
      <c r="AA77">
        <f ca="1">IF(VLOOKUP($A77,Sheet1!$A:$AA,MATCH(AA$1,Sheet1!$A$1:$AA$1,0),FALSE)=0,"",VLOOKUP($A77,Sheet1!$A:$AA,MATCH(AA$1,Sheet1!$A$1:$AA$1,0),FALSE))</f>
        <v>67</v>
      </c>
    </row>
    <row r="78" spans="1:27" x14ac:dyDescent="0.25">
      <c r="A78">
        <v>16966923</v>
      </c>
      <c r="B78" t="str">
        <f>IF(VLOOKUP($A78,Sheet1!$A:$AA,MATCH(B$1,Sheet1!$A$1:$AA$1,0),FALSE)=0,"",VLOOKUP($A78,Sheet1!$A:$AA,MATCH(B$1,Sheet1!$A$1:$AA$1,0),FALSE))</f>
        <v>VIDAL ROMáN, ALEJANDRO</v>
      </c>
      <c r="C78" t="str">
        <f>IF(VLOOKUP($A78,Sheet1!$A:$AA,MATCH(C$1,Sheet1!$A$1:$AA$1,0),FALSE)=0,"",VLOOKUP($A78,Sheet1!$A:$AA,MATCH(C$1,Sheet1!$A$1:$AA$1,0),FALSE))</f>
        <v>VIDAL ROMáN</v>
      </c>
      <c r="D78" t="str">
        <f>IF(VLOOKUP($A78,Sheet1!$A:$AA,MATCH(D$1,Sheet1!$A$1:$AA$1,0),FALSE)=0,"",VLOOKUP($A78,Sheet1!$A:$AA,MATCH(D$1,Sheet1!$A$1:$AA$1,0),FALSE))</f>
        <v>ALEJANDRO</v>
      </c>
      <c r="E78" t="str">
        <f>IF(VLOOKUP($A78,Sheet1!$A:$AA,MATCH(E$1,Sheet1!$A$1:$AA$1,0),FALSE)=0,"",VLOOKUP($A78,Sheet1!$A:$AA,MATCH(E$1,Sheet1!$A$1:$AA$1,0),FALSE))</f>
        <v/>
      </c>
      <c r="F78" t="str">
        <f>IF(VLOOKUP($A78,Sheet1!$A:$AA,MATCH(F$1,Sheet1!$A$1:$AA$1,0),FALSE)=0,"",VLOOKUP($A78,Sheet1!$A:$AA,MATCH(F$1,Sheet1!$A$1:$AA$1,0),FALSE))</f>
        <v/>
      </c>
      <c r="G78" t="str">
        <f>IF(VLOOKUP($A78,Sheet1!$A:$AA,MATCH(G$1,Sheet1!$A$1:$AA$1,0),FALSE)=0,"",VLOOKUP($A78,Sheet1!$A:$AA,MATCH(G$1,Sheet1!$A$1:$AA$1,0),FALSE))</f>
        <v/>
      </c>
      <c r="H78" t="str">
        <f>IF(VLOOKUP($A78,Sheet1!$A:$AA,MATCH(H$1,Sheet1!$A$1:$AA$1,0),FALSE)=0,"",VLOOKUP($A78,Sheet1!$A:$AA,MATCH(H$1,Sheet1!$A$1:$AA$1,0),FALSE))</f>
        <v/>
      </c>
      <c r="I78" t="str">
        <f>IF(VLOOKUP($A78,Sheet1!$A:$AA,MATCH(I$1,Sheet1!$A$1:$AA$1,0),FALSE)=0,"",VLOOKUP($A78,Sheet1!$A:$AA,MATCH(I$1,Sheet1!$A$1:$AA$1,0),FALSE))</f>
        <v/>
      </c>
      <c r="J78" t="str">
        <f>IF(VLOOKUP($A78,Sheet1!$A:$AA,MATCH(J$1,Sheet1!$A$1:$AA$1,0),FALSE)=0,"",VLOOKUP($A78,Sheet1!$A:$AA,MATCH(J$1,Sheet1!$A$1:$AA$1,0),FALSE))</f>
        <v/>
      </c>
      <c r="K78" t="str">
        <f>IF(VLOOKUP($A78,Sheet1!$A:$AA,MATCH(K$1,Sheet1!$A$1:$AA$1,0),FALSE)=0,"",VLOOKUP($A78,Sheet1!$A:$AA,MATCH(K$1,Sheet1!$A$1:$AA$1,0),FALSE))</f>
        <v>ANDALUZA</v>
      </c>
      <c r="L78" t="str">
        <f>IF(VLOOKUP($A78,Sheet1!$A:$AA,MATCH(L$1,Sheet1!$A$1:$AA$1,0),FALSE)=0,"",VLOOKUP($A78,Sheet1!$A:$AA,MATCH(L$1,Sheet1!$A$1:$AA$1,0),FALSE))</f>
        <v/>
      </c>
      <c r="M78" t="str">
        <f>IF(VLOOKUP($A78,Sheet1!$A:$AA,MATCH(M$1,Sheet1!$A$1:$AA$1,0),FALSE)=0,"",VLOOKUP($A78,Sheet1!$A:$AA,MATCH(M$1,Sheet1!$A$1:$AA$1,0),FALSE))</f>
        <v/>
      </c>
      <c r="N78" t="str">
        <f>IF(VLOOKUP($A78,Sheet1!$A:$AA,MATCH(N$1,Sheet1!$A$1:$AA$1,0),FALSE)=0,"",VLOOKUP($A78,Sheet1!$A:$AA,MATCH(N$1,Sheet1!$A$1:$AA$1,0),FALSE))</f>
        <v/>
      </c>
      <c r="O78" t="str">
        <f>IF(VLOOKUP($A78,Sheet1!$A:$AA,MATCH(O$1,Sheet1!$A$1:$AA$1,0),FALSE)=0,"",VLOOKUP($A78,Sheet1!$A:$AA,MATCH(O$1,Sheet1!$A$1:$AA$1,0),FALSE))</f>
        <v/>
      </c>
      <c r="P78" t="str">
        <f>IF(VLOOKUP($A78,Sheet1!$A:$AA,MATCH(P$1,Sheet1!$A$1:$AA$1,0),FALSE)=0,"",VLOOKUP($A78,Sheet1!$A:$AA,MATCH(P$1,Sheet1!$A$1:$AA$1,0),FALSE))</f>
        <v/>
      </c>
      <c r="Q78" t="str">
        <f>IF(VLOOKUP($A78,Sheet1!$A:$AA,MATCH(Q$1,Sheet1!$A$1:$AA$1,0),FALSE)=0,"",VLOOKUP($A78,Sheet1!$A:$AA,MATCH(Q$1,Sheet1!$A$1:$AA$1,0),FALSE))</f>
        <v>M</v>
      </c>
      <c r="R78" s="2">
        <f>IF(VLOOKUP($A78,Sheet1!$A:$AA,MATCH(R$1,Sheet1!$A$1:$AA$1,0),FALSE)=0,"",VLOOKUP($A78,Sheet1!$A:$AA,MATCH(R$1,Sheet1!$A$1:$AA$1,0),FALSE))</f>
        <v>33737</v>
      </c>
      <c r="AA78">
        <f ca="1">IF(VLOOKUP($A78,Sheet1!$A:$AA,MATCH(AA$1,Sheet1!$A$1:$AA$1,0),FALSE)=0,"",VLOOKUP($A78,Sheet1!$A:$AA,MATCH(AA$1,Sheet1!$A$1:$AA$1,0),FALSE))</f>
        <v>33</v>
      </c>
    </row>
    <row r="79" spans="1:27" x14ac:dyDescent="0.25">
      <c r="A79">
        <v>16968143</v>
      </c>
      <c r="B79" t="str">
        <f>IF(VLOOKUP($A79,Sheet1!$A:$AA,MATCH(B$1,Sheet1!$A$1:$AA$1,0),FALSE)=0,"",VLOOKUP($A79,Sheet1!$A:$AA,MATCH(B$1,Sheet1!$A$1:$AA$1,0),FALSE))</f>
        <v>MORILLO VALDES, FATIMA</v>
      </c>
      <c r="C79" t="str">
        <f>IF(VLOOKUP($A79,Sheet1!$A:$AA,MATCH(C$1,Sheet1!$A$1:$AA$1,0),FALSE)=0,"",VLOOKUP($A79,Sheet1!$A:$AA,MATCH(C$1,Sheet1!$A$1:$AA$1,0),FALSE))</f>
        <v>MORILLO VALDES</v>
      </c>
      <c r="D79" t="str">
        <f>IF(VLOOKUP($A79,Sheet1!$A:$AA,MATCH(D$1,Sheet1!$A$1:$AA$1,0),FALSE)=0,"",VLOOKUP($A79,Sheet1!$A:$AA,MATCH(D$1,Sheet1!$A$1:$AA$1,0),FALSE))</f>
        <v>FATIMA</v>
      </c>
      <c r="E79" t="str">
        <f>IF(VLOOKUP($A79,Sheet1!$A:$AA,MATCH(E$1,Sheet1!$A$1:$AA$1,0),FALSE)=0,"",VLOOKUP($A79,Sheet1!$A:$AA,MATCH(E$1,Sheet1!$A$1:$AA$1,0),FALSE))</f>
        <v/>
      </c>
      <c r="F79" t="str">
        <f>IF(VLOOKUP($A79,Sheet1!$A:$AA,MATCH(F$1,Sheet1!$A$1:$AA$1,0),FALSE)=0,"",VLOOKUP($A79,Sheet1!$A:$AA,MATCH(F$1,Sheet1!$A$1:$AA$1,0),FALSE))</f>
        <v/>
      </c>
      <c r="G79" t="str">
        <f>IF(VLOOKUP($A79,Sheet1!$A:$AA,MATCH(G$1,Sheet1!$A$1:$AA$1,0),FALSE)=0,"",VLOOKUP($A79,Sheet1!$A:$AA,MATCH(G$1,Sheet1!$A$1:$AA$1,0),FALSE))</f>
        <v/>
      </c>
      <c r="H79" t="str">
        <f>IF(VLOOKUP($A79,Sheet1!$A:$AA,MATCH(H$1,Sheet1!$A$1:$AA$1,0),FALSE)=0,"",VLOOKUP($A79,Sheet1!$A:$AA,MATCH(H$1,Sheet1!$A$1:$AA$1,0),FALSE))</f>
        <v/>
      </c>
      <c r="I79" t="str">
        <f>IF(VLOOKUP($A79,Sheet1!$A:$AA,MATCH(I$1,Sheet1!$A$1:$AA$1,0),FALSE)=0,"",VLOOKUP($A79,Sheet1!$A:$AA,MATCH(I$1,Sheet1!$A$1:$AA$1,0),FALSE))</f>
        <v/>
      </c>
      <c r="J79" t="str">
        <f>IF(VLOOKUP($A79,Sheet1!$A:$AA,MATCH(J$1,Sheet1!$A$1:$AA$1,0),FALSE)=0,"",VLOOKUP($A79,Sheet1!$A:$AA,MATCH(J$1,Sheet1!$A$1:$AA$1,0),FALSE))</f>
        <v/>
      </c>
      <c r="K79" t="str">
        <f>IF(VLOOKUP($A79,Sheet1!$A:$AA,MATCH(K$1,Sheet1!$A$1:$AA$1,0),FALSE)=0,"",VLOOKUP($A79,Sheet1!$A:$AA,MATCH(K$1,Sheet1!$A$1:$AA$1,0),FALSE))</f>
        <v>ANDALUZA</v>
      </c>
      <c r="L79" t="str">
        <f>IF(VLOOKUP($A79,Sheet1!$A:$AA,MATCH(L$1,Sheet1!$A$1:$AA$1,0),FALSE)=0,"",VLOOKUP($A79,Sheet1!$A:$AA,MATCH(L$1,Sheet1!$A$1:$AA$1,0),FALSE))</f>
        <v/>
      </c>
      <c r="M79" t="str">
        <f>IF(VLOOKUP($A79,Sheet1!$A:$AA,MATCH(M$1,Sheet1!$A$1:$AA$1,0),FALSE)=0,"",VLOOKUP($A79,Sheet1!$A:$AA,MATCH(M$1,Sheet1!$A$1:$AA$1,0),FALSE))</f>
        <v/>
      </c>
      <c r="N79" t="str">
        <f>IF(VLOOKUP($A79,Sheet1!$A:$AA,MATCH(N$1,Sheet1!$A$1:$AA$1,0),FALSE)=0,"",VLOOKUP($A79,Sheet1!$A:$AA,MATCH(N$1,Sheet1!$A$1:$AA$1,0),FALSE))</f>
        <v/>
      </c>
      <c r="O79" t="str">
        <f>IF(VLOOKUP($A79,Sheet1!$A:$AA,MATCH(O$1,Sheet1!$A$1:$AA$1,0),FALSE)=0,"",VLOOKUP($A79,Sheet1!$A:$AA,MATCH(O$1,Sheet1!$A$1:$AA$1,0),FALSE))</f>
        <v/>
      </c>
      <c r="P79" t="str">
        <f>IF(VLOOKUP($A79,Sheet1!$A:$AA,MATCH(P$1,Sheet1!$A$1:$AA$1,0),FALSE)=0,"",VLOOKUP($A79,Sheet1!$A:$AA,MATCH(P$1,Sheet1!$A$1:$AA$1,0),FALSE))</f>
        <v/>
      </c>
      <c r="Q79" t="str">
        <f>IF(VLOOKUP($A79,Sheet1!$A:$AA,MATCH(Q$1,Sheet1!$A$1:$AA$1,0),FALSE)=0,"",VLOOKUP($A79,Sheet1!$A:$AA,MATCH(Q$1,Sheet1!$A$1:$AA$1,0),FALSE))</f>
        <v>F</v>
      </c>
      <c r="R79" s="2">
        <f>IF(VLOOKUP($A79,Sheet1!$A:$AA,MATCH(R$1,Sheet1!$A$1:$AA$1,0),FALSE)=0,"",VLOOKUP($A79,Sheet1!$A:$AA,MATCH(R$1,Sheet1!$A$1:$AA$1,0),FALSE))</f>
        <v>27876</v>
      </c>
      <c r="AA79">
        <f ca="1">IF(VLOOKUP($A79,Sheet1!$A:$AA,MATCH(AA$1,Sheet1!$A$1:$AA$1,0),FALSE)=0,"",VLOOKUP($A79,Sheet1!$A:$AA,MATCH(AA$1,Sheet1!$A$1:$AA$1,0),FALSE))</f>
        <v>49</v>
      </c>
    </row>
    <row r="80" spans="1:27" x14ac:dyDescent="0.25">
      <c r="A80">
        <v>16968250</v>
      </c>
      <c r="B80" t="str">
        <f>IF(VLOOKUP($A80,Sheet1!$A:$AA,MATCH(B$1,Sheet1!$A$1:$AA$1,0),FALSE)=0,"",VLOOKUP($A80,Sheet1!$A:$AA,MATCH(B$1,Sheet1!$A$1:$AA$1,0),FALSE))</f>
        <v>MONEDERO AGUILAR, LUIS MIGUEL</v>
      </c>
      <c r="C80" t="str">
        <f>IF(VLOOKUP($A80,Sheet1!$A:$AA,MATCH(C$1,Sheet1!$A$1:$AA$1,0),FALSE)=0,"",VLOOKUP($A80,Sheet1!$A:$AA,MATCH(C$1,Sheet1!$A$1:$AA$1,0),FALSE))</f>
        <v>MONEDERO AGUILAR</v>
      </c>
      <c r="D80" t="str">
        <f>IF(VLOOKUP($A80,Sheet1!$A:$AA,MATCH(D$1,Sheet1!$A$1:$AA$1,0),FALSE)=0,"",VLOOKUP($A80,Sheet1!$A:$AA,MATCH(D$1,Sheet1!$A$1:$AA$1,0),FALSE))</f>
        <v>LUIS MIGUEL</v>
      </c>
      <c r="E80" t="str">
        <f>IF(VLOOKUP($A80,Sheet1!$A:$AA,MATCH(E$1,Sheet1!$A$1:$AA$1,0),FALSE)=0,"",VLOOKUP($A80,Sheet1!$A:$AA,MATCH(E$1,Sheet1!$A$1:$AA$1,0),FALSE))</f>
        <v/>
      </c>
      <c r="F80" t="str">
        <f>IF(VLOOKUP($A80,Sheet1!$A:$AA,MATCH(F$1,Sheet1!$A$1:$AA$1,0),FALSE)=0,"",VLOOKUP($A80,Sheet1!$A:$AA,MATCH(F$1,Sheet1!$A$1:$AA$1,0),FALSE))</f>
        <v/>
      </c>
      <c r="G80" t="str">
        <f>IF(VLOOKUP($A80,Sheet1!$A:$AA,MATCH(G$1,Sheet1!$A$1:$AA$1,0),FALSE)=0,"",VLOOKUP($A80,Sheet1!$A:$AA,MATCH(G$1,Sheet1!$A$1:$AA$1,0),FALSE))</f>
        <v/>
      </c>
      <c r="H80" t="str">
        <f>IF(VLOOKUP($A80,Sheet1!$A:$AA,MATCH(H$1,Sheet1!$A$1:$AA$1,0),FALSE)=0,"",VLOOKUP($A80,Sheet1!$A:$AA,MATCH(H$1,Sheet1!$A$1:$AA$1,0),FALSE))</f>
        <v/>
      </c>
      <c r="I80" t="str">
        <f>IF(VLOOKUP($A80,Sheet1!$A:$AA,MATCH(I$1,Sheet1!$A$1:$AA$1,0),FALSE)=0,"",VLOOKUP($A80,Sheet1!$A:$AA,MATCH(I$1,Sheet1!$A$1:$AA$1,0),FALSE))</f>
        <v/>
      </c>
      <c r="J80" t="str">
        <f>IF(VLOOKUP($A80,Sheet1!$A:$AA,MATCH(J$1,Sheet1!$A$1:$AA$1,0),FALSE)=0,"",VLOOKUP($A80,Sheet1!$A:$AA,MATCH(J$1,Sheet1!$A$1:$AA$1,0),FALSE))</f>
        <v/>
      </c>
      <c r="K80" t="str">
        <f>IF(VLOOKUP($A80,Sheet1!$A:$AA,MATCH(K$1,Sheet1!$A$1:$AA$1,0),FALSE)=0,"",VLOOKUP($A80,Sheet1!$A:$AA,MATCH(K$1,Sheet1!$A$1:$AA$1,0),FALSE))</f>
        <v>ANDALUZA</v>
      </c>
      <c r="L80" t="str">
        <f>IF(VLOOKUP($A80,Sheet1!$A:$AA,MATCH(L$1,Sheet1!$A$1:$AA$1,0),FALSE)=0,"",VLOOKUP($A80,Sheet1!$A:$AA,MATCH(L$1,Sheet1!$A$1:$AA$1,0),FALSE))</f>
        <v/>
      </c>
      <c r="M80" t="str">
        <f>IF(VLOOKUP($A80,Sheet1!$A:$AA,MATCH(M$1,Sheet1!$A$1:$AA$1,0),FALSE)=0,"",VLOOKUP($A80,Sheet1!$A:$AA,MATCH(M$1,Sheet1!$A$1:$AA$1,0),FALSE))</f>
        <v/>
      </c>
      <c r="N80" t="str">
        <f>IF(VLOOKUP($A80,Sheet1!$A:$AA,MATCH(N$1,Sheet1!$A$1:$AA$1,0),FALSE)=0,"",VLOOKUP($A80,Sheet1!$A:$AA,MATCH(N$1,Sheet1!$A$1:$AA$1,0),FALSE))</f>
        <v/>
      </c>
      <c r="O80" t="str">
        <f>IF(VLOOKUP($A80,Sheet1!$A:$AA,MATCH(O$1,Sheet1!$A$1:$AA$1,0),FALSE)=0,"",VLOOKUP($A80,Sheet1!$A:$AA,MATCH(O$1,Sheet1!$A$1:$AA$1,0),FALSE))</f>
        <v/>
      </c>
      <c r="P80" t="str">
        <f>IF(VLOOKUP($A80,Sheet1!$A:$AA,MATCH(P$1,Sheet1!$A$1:$AA$1,0),FALSE)=0,"",VLOOKUP($A80,Sheet1!$A:$AA,MATCH(P$1,Sheet1!$A$1:$AA$1,0),FALSE))</f>
        <v/>
      </c>
      <c r="Q80" t="str">
        <f>IF(VLOOKUP($A80,Sheet1!$A:$AA,MATCH(Q$1,Sheet1!$A$1:$AA$1,0),FALSE)=0,"",VLOOKUP($A80,Sheet1!$A:$AA,MATCH(Q$1,Sheet1!$A$1:$AA$1,0),FALSE))</f>
        <v>M</v>
      </c>
      <c r="R80" s="2">
        <f>IF(VLOOKUP($A80,Sheet1!$A:$AA,MATCH(R$1,Sheet1!$A$1:$AA$1,0),FALSE)=0,"",VLOOKUP($A80,Sheet1!$A:$AA,MATCH(R$1,Sheet1!$A$1:$AA$1,0),FALSE))</f>
        <v>37282</v>
      </c>
      <c r="AA80">
        <f ca="1">IF(VLOOKUP($A80,Sheet1!$A:$AA,MATCH(AA$1,Sheet1!$A$1:$AA$1,0),FALSE)=0,"",VLOOKUP($A80,Sheet1!$A:$AA,MATCH(AA$1,Sheet1!$A$1:$AA$1,0),FALSE))</f>
        <v>23</v>
      </c>
    </row>
    <row r="81" spans="1:27" x14ac:dyDescent="0.25">
      <c r="A81">
        <v>16968268</v>
      </c>
      <c r="B81" t="str">
        <f>IF(VLOOKUP($A81,Sheet1!$A:$AA,MATCH(B$1,Sheet1!$A$1:$AA$1,0),FALSE)=0,"",VLOOKUP($A81,Sheet1!$A:$AA,MATCH(B$1,Sheet1!$A$1:$AA$1,0),FALSE))</f>
        <v>GARCIA RIVAS, MANUEL</v>
      </c>
      <c r="C81" t="str">
        <f>IF(VLOOKUP($A81,Sheet1!$A:$AA,MATCH(C$1,Sheet1!$A$1:$AA$1,0),FALSE)=0,"",VLOOKUP($A81,Sheet1!$A:$AA,MATCH(C$1,Sheet1!$A$1:$AA$1,0),FALSE))</f>
        <v>GARCIA RIVAS</v>
      </c>
      <c r="D81" t="str">
        <f>IF(VLOOKUP($A81,Sheet1!$A:$AA,MATCH(D$1,Sheet1!$A$1:$AA$1,0),FALSE)=0,"",VLOOKUP($A81,Sheet1!$A:$AA,MATCH(D$1,Sheet1!$A$1:$AA$1,0),FALSE))</f>
        <v>MANUEL</v>
      </c>
      <c r="E81" t="str">
        <f>IF(VLOOKUP($A81,Sheet1!$A:$AA,MATCH(E$1,Sheet1!$A$1:$AA$1,0),FALSE)=0,"",VLOOKUP($A81,Sheet1!$A:$AA,MATCH(E$1,Sheet1!$A$1:$AA$1,0),FALSE))</f>
        <v/>
      </c>
      <c r="F81" t="str">
        <f>IF(VLOOKUP($A81,Sheet1!$A:$AA,MATCH(F$1,Sheet1!$A$1:$AA$1,0),FALSE)=0,"",VLOOKUP($A81,Sheet1!$A:$AA,MATCH(F$1,Sheet1!$A$1:$AA$1,0),FALSE))</f>
        <v/>
      </c>
      <c r="G81" t="str">
        <f>IF(VLOOKUP($A81,Sheet1!$A:$AA,MATCH(G$1,Sheet1!$A$1:$AA$1,0),FALSE)=0,"",VLOOKUP($A81,Sheet1!$A:$AA,MATCH(G$1,Sheet1!$A$1:$AA$1,0),FALSE))</f>
        <v/>
      </c>
      <c r="H81" t="str">
        <f>IF(VLOOKUP($A81,Sheet1!$A:$AA,MATCH(H$1,Sheet1!$A$1:$AA$1,0),FALSE)=0,"",VLOOKUP($A81,Sheet1!$A:$AA,MATCH(H$1,Sheet1!$A$1:$AA$1,0),FALSE))</f>
        <v/>
      </c>
      <c r="I81" t="str">
        <f>IF(VLOOKUP($A81,Sheet1!$A:$AA,MATCH(I$1,Sheet1!$A$1:$AA$1,0),FALSE)=0,"",VLOOKUP($A81,Sheet1!$A:$AA,MATCH(I$1,Sheet1!$A$1:$AA$1,0),FALSE))</f>
        <v/>
      </c>
      <c r="J81" t="str">
        <f>IF(VLOOKUP($A81,Sheet1!$A:$AA,MATCH(J$1,Sheet1!$A$1:$AA$1,0),FALSE)=0,"",VLOOKUP($A81,Sheet1!$A:$AA,MATCH(J$1,Sheet1!$A$1:$AA$1,0),FALSE))</f>
        <v/>
      </c>
      <c r="K81" t="str">
        <f>IF(VLOOKUP($A81,Sheet1!$A:$AA,MATCH(K$1,Sheet1!$A$1:$AA$1,0),FALSE)=0,"",VLOOKUP($A81,Sheet1!$A:$AA,MATCH(K$1,Sheet1!$A$1:$AA$1,0),FALSE))</f>
        <v>ANDALUZA</v>
      </c>
      <c r="L81" t="str">
        <f>IF(VLOOKUP($A81,Sheet1!$A:$AA,MATCH(L$1,Sheet1!$A$1:$AA$1,0),FALSE)=0,"",VLOOKUP($A81,Sheet1!$A:$AA,MATCH(L$1,Sheet1!$A$1:$AA$1,0),FALSE))</f>
        <v/>
      </c>
      <c r="M81" t="str">
        <f>IF(VLOOKUP($A81,Sheet1!$A:$AA,MATCH(M$1,Sheet1!$A$1:$AA$1,0),FALSE)=0,"",VLOOKUP($A81,Sheet1!$A:$AA,MATCH(M$1,Sheet1!$A$1:$AA$1,0),FALSE))</f>
        <v/>
      </c>
      <c r="N81" t="str">
        <f>IF(VLOOKUP($A81,Sheet1!$A:$AA,MATCH(N$1,Sheet1!$A$1:$AA$1,0),FALSE)=0,"",VLOOKUP($A81,Sheet1!$A:$AA,MATCH(N$1,Sheet1!$A$1:$AA$1,0),FALSE))</f>
        <v/>
      </c>
      <c r="O81" t="str">
        <f>IF(VLOOKUP($A81,Sheet1!$A:$AA,MATCH(O$1,Sheet1!$A$1:$AA$1,0),FALSE)=0,"",VLOOKUP($A81,Sheet1!$A:$AA,MATCH(O$1,Sheet1!$A$1:$AA$1,0),FALSE))</f>
        <v/>
      </c>
      <c r="P81" t="str">
        <f>IF(VLOOKUP($A81,Sheet1!$A:$AA,MATCH(P$1,Sheet1!$A$1:$AA$1,0),FALSE)=0,"",VLOOKUP($A81,Sheet1!$A:$AA,MATCH(P$1,Sheet1!$A$1:$AA$1,0),FALSE))</f>
        <v/>
      </c>
      <c r="Q81" t="str">
        <f>IF(VLOOKUP($A81,Sheet1!$A:$AA,MATCH(Q$1,Sheet1!$A$1:$AA$1,0),FALSE)=0,"",VLOOKUP($A81,Sheet1!$A:$AA,MATCH(Q$1,Sheet1!$A$1:$AA$1,0),FALSE))</f>
        <v>M</v>
      </c>
      <c r="R81" s="2">
        <f>IF(VLOOKUP($A81,Sheet1!$A:$AA,MATCH(R$1,Sheet1!$A$1:$AA$1,0),FALSE)=0,"",VLOOKUP($A81,Sheet1!$A:$AA,MATCH(R$1,Sheet1!$A$1:$AA$1,0),FALSE))</f>
        <v>31086</v>
      </c>
      <c r="AA81">
        <f ca="1">IF(VLOOKUP($A81,Sheet1!$A:$AA,MATCH(AA$1,Sheet1!$A$1:$AA$1,0),FALSE)=0,"",VLOOKUP($A81,Sheet1!$A:$AA,MATCH(AA$1,Sheet1!$A$1:$AA$1,0),FALSE))</f>
        <v>40</v>
      </c>
    </row>
    <row r="82" spans="1:27" x14ac:dyDescent="0.25">
      <c r="A82">
        <v>16968276</v>
      </c>
      <c r="B82" t="str">
        <f>IF(VLOOKUP($A82,Sheet1!$A:$AA,MATCH(B$1,Sheet1!$A$1:$AA$1,0),FALSE)=0,"",VLOOKUP($A82,Sheet1!$A:$AA,MATCH(B$1,Sheet1!$A$1:$AA$1,0),FALSE))</f>
        <v>GOMEZ CARRILLO, CRISTINA</v>
      </c>
      <c r="C82" t="str">
        <f>IF(VLOOKUP($A82,Sheet1!$A:$AA,MATCH(C$1,Sheet1!$A$1:$AA$1,0),FALSE)=0,"",VLOOKUP($A82,Sheet1!$A:$AA,MATCH(C$1,Sheet1!$A$1:$AA$1,0),FALSE))</f>
        <v>GOMEZ CARRILLO</v>
      </c>
      <c r="D82" t="str">
        <f>IF(VLOOKUP($A82,Sheet1!$A:$AA,MATCH(D$1,Sheet1!$A$1:$AA$1,0),FALSE)=0,"",VLOOKUP($A82,Sheet1!$A:$AA,MATCH(D$1,Sheet1!$A$1:$AA$1,0),FALSE))</f>
        <v>CRISTINA</v>
      </c>
      <c r="E82" t="str">
        <f>IF(VLOOKUP($A82,Sheet1!$A:$AA,MATCH(E$1,Sheet1!$A$1:$AA$1,0),FALSE)=0,"",VLOOKUP($A82,Sheet1!$A:$AA,MATCH(E$1,Sheet1!$A$1:$AA$1,0),FALSE))</f>
        <v/>
      </c>
      <c r="F82" t="str">
        <f>IF(VLOOKUP($A82,Sheet1!$A:$AA,MATCH(F$1,Sheet1!$A$1:$AA$1,0),FALSE)=0,"",VLOOKUP($A82,Sheet1!$A:$AA,MATCH(F$1,Sheet1!$A$1:$AA$1,0),FALSE))</f>
        <v/>
      </c>
      <c r="G82" t="str">
        <f>IF(VLOOKUP($A82,Sheet1!$A:$AA,MATCH(G$1,Sheet1!$A$1:$AA$1,0),FALSE)=0,"",VLOOKUP($A82,Sheet1!$A:$AA,MATCH(G$1,Sheet1!$A$1:$AA$1,0),FALSE))</f>
        <v/>
      </c>
      <c r="H82" t="str">
        <f>IF(VLOOKUP($A82,Sheet1!$A:$AA,MATCH(H$1,Sheet1!$A$1:$AA$1,0),FALSE)=0,"",VLOOKUP($A82,Sheet1!$A:$AA,MATCH(H$1,Sheet1!$A$1:$AA$1,0),FALSE))</f>
        <v/>
      </c>
      <c r="I82" t="str">
        <f>IF(VLOOKUP($A82,Sheet1!$A:$AA,MATCH(I$1,Sheet1!$A$1:$AA$1,0),FALSE)=0,"",VLOOKUP($A82,Sheet1!$A:$AA,MATCH(I$1,Sheet1!$A$1:$AA$1,0),FALSE))</f>
        <v/>
      </c>
      <c r="J82" t="str">
        <f>IF(VLOOKUP($A82,Sheet1!$A:$AA,MATCH(J$1,Sheet1!$A$1:$AA$1,0),FALSE)=0,"",VLOOKUP($A82,Sheet1!$A:$AA,MATCH(J$1,Sheet1!$A$1:$AA$1,0),FALSE))</f>
        <v/>
      </c>
      <c r="K82" t="str">
        <f>IF(VLOOKUP($A82,Sheet1!$A:$AA,MATCH(K$1,Sheet1!$A$1:$AA$1,0),FALSE)=0,"",VLOOKUP($A82,Sheet1!$A:$AA,MATCH(K$1,Sheet1!$A$1:$AA$1,0),FALSE))</f>
        <v>ANDALUZA</v>
      </c>
      <c r="L82" t="str">
        <f>IF(VLOOKUP($A82,Sheet1!$A:$AA,MATCH(L$1,Sheet1!$A$1:$AA$1,0),FALSE)=0,"",VLOOKUP($A82,Sheet1!$A:$AA,MATCH(L$1,Sheet1!$A$1:$AA$1,0),FALSE))</f>
        <v/>
      </c>
      <c r="M82" t="str">
        <f>IF(VLOOKUP($A82,Sheet1!$A:$AA,MATCH(M$1,Sheet1!$A$1:$AA$1,0),FALSE)=0,"",VLOOKUP($A82,Sheet1!$A:$AA,MATCH(M$1,Sheet1!$A$1:$AA$1,0),FALSE))</f>
        <v/>
      </c>
      <c r="N82" t="str">
        <f>IF(VLOOKUP($A82,Sheet1!$A:$AA,MATCH(N$1,Sheet1!$A$1:$AA$1,0),FALSE)=0,"",VLOOKUP($A82,Sheet1!$A:$AA,MATCH(N$1,Sheet1!$A$1:$AA$1,0),FALSE))</f>
        <v/>
      </c>
      <c r="O82" t="str">
        <f>IF(VLOOKUP($A82,Sheet1!$A:$AA,MATCH(O$1,Sheet1!$A$1:$AA$1,0),FALSE)=0,"",VLOOKUP($A82,Sheet1!$A:$AA,MATCH(O$1,Sheet1!$A$1:$AA$1,0),FALSE))</f>
        <v/>
      </c>
      <c r="P82" t="str">
        <f>IF(VLOOKUP($A82,Sheet1!$A:$AA,MATCH(P$1,Sheet1!$A$1:$AA$1,0),FALSE)=0,"",VLOOKUP($A82,Sheet1!$A:$AA,MATCH(P$1,Sheet1!$A$1:$AA$1,0),FALSE))</f>
        <v/>
      </c>
      <c r="Q82" t="str">
        <f>IF(VLOOKUP($A82,Sheet1!$A:$AA,MATCH(Q$1,Sheet1!$A$1:$AA$1,0),FALSE)=0,"",VLOOKUP($A82,Sheet1!$A:$AA,MATCH(Q$1,Sheet1!$A$1:$AA$1,0),FALSE))</f>
        <v>F</v>
      </c>
      <c r="R82" s="2">
        <f>IF(VLOOKUP($A82,Sheet1!$A:$AA,MATCH(R$1,Sheet1!$A$1:$AA$1,0),FALSE)=0,"",VLOOKUP($A82,Sheet1!$A:$AA,MATCH(R$1,Sheet1!$A$1:$AA$1,0),FALSE))</f>
        <v>32799</v>
      </c>
      <c r="AA82">
        <f ca="1">IF(VLOOKUP($A82,Sheet1!$A:$AA,MATCH(AA$1,Sheet1!$A$1:$AA$1,0),FALSE)=0,"",VLOOKUP($A82,Sheet1!$A:$AA,MATCH(AA$1,Sheet1!$A$1:$AA$1,0),FALSE))</f>
        <v>36</v>
      </c>
    </row>
    <row r="83" spans="1:27" x14ac:dyDescent="0.25">
      <c r="A83">
        <v>16968284</v>
      </c>
      <c r="B83" t="str">
        <f>IF(VLOOKUP($A83,Sheet1!$A:$AA,MATCH(B$1,Sheet1!$A$1:$AA$1,0),FALSE)=0,"",VLOOKUP($A83,Sheet1!$A:$AA,MATCH(B$1,Sheet1!$A$1:$AA$1,0),FALSE))</f>
        <v>GUTIéRREZ GARCíA, ANTONIO</v>
      </c>
      <c r="C83" t="str">
        <f>IF(VLOOKUP($A83,Sheet1!$A:$AA,MATCH(C$1,Sheet1!$A$1:$AA$1,0),FALSE)=0,"",VLOOKUP($A83,Sheet1!$A:$AA,MATCH(C$1,Sheet1!$A$1:$AA$1,0),FALSE))</f>
        <v>GUTIéRREZ GARCíA</v>
      </c>
      <c r="D83" t="str">
        <f>IF(VLOOKUP($A83,Sheet1!$A:$AA,MATCH(D$1,Sheet1!$A$1:$AA$1,0),FALSE)=0,"",VLOOKUP($A83,Sheet1!$A:$AA,MATCH(D$1,Sheet1!$A$1:$AA$1,0),FALSE))</f>
        <v>ANTONIO</v>
      </c>
      <c r="E83" t="str">
        <f>IF(VLOOKUP($A83,Sheet1!$A:$AA,MATCH(E$1,Sheet1!$A$1:$AA$1,0),FALSE)=0,"",VLOOKUP($A83,Sheet1!$A:$AA,MATCH(E$1,Sheet1!$A$1:$AA$1,0),FALSE))</f>
        <v/>
      </c>
      <c r="F83" t="str">
        <f>IF(VLOOKUP($A83,Sheet1!$A:$AA,MATCH(F$1,Sheet1!$A$1:$AA$1,0),FALSE)=0,"",VLOOKUP($A83,Sheet1!$A:$AA,MATCH(F$1,Sheet1!$A$1:$AA$1,0),FALSE))</f>
        <v/>
      </c>
      <c r="G83" t="str">
        <f>IF(VLOOKUP($A83,Sheet1!$A:$AA,MATCH(G$1,Sheet1!$A$1:$AA$1,0),FALSE)=0,"",VLOOKUP($A83,Sheet1!$A:$AA,MATCH(G$1,Sheet1!$A$1:$AA$1,0),FALSE))</f>
        <v/>
      </c>
      <c r="H83" t="str">
        <f>IF(VLOOKUP($A83,Sheet1!$A:$AA,MATCH(H$1,Sheet1!$A$1:$AA$1,0),FALSE)=0,"",VLOOKUP($A83,Sheet1!$A:$AA,MATCH(H$1,Sheet1!$A$1:$AA$1,0),FALSE))</f>
        <v/>
      </c>
      <c r="I83" t="str">
        <f>IF(VLOOKUP($A83,Sheet1!$A:$AA,MATCH(I$1,Sheet1!$A$1:$AA$1,0),FALSE)=0,"",VLOOKUP($A83,Sheet1!$A:$AA,MATCH(I$1,Sheet1!$A$1:$AA$1,0),FALSE))</f>
        <v/>
      </c>
      <c r="J83" t="str">
        <f>IF(VLOOKUP($A83,Sheet1!$A:$AA,MATCH(J$1,Sheet1!$A$1:$AA$1,0),FALSE)=0,"",VLOOKUP($A83,Sheet1!$A:$AA,MATCH(J$1,Sheet1!$A$1:$AA$1,0),FALSE))</f>
        <v/>
      </c>
      <c r="K83" t="str">
        <f>IF(VLOOKUP($A83,Sheet1!$A:$AA,MATCH(K$1,Sheet1!$A$1:$AA$1,0),FALSE)=0,"",VLOOKUP($A83,Sheet1!$A:$AA,MATCH(K$1,Sheet1!$A$1:$AA$1,0),FALSE))</f>
        <v>ANDALUZA</v>
      </c>
      <c r="L83" t="str">
        <f>IF(VLOOKUP($A83,Sheet1!$A:$AA,MATCH(L$1,Sheet1!$A$1:$AA$1,0),FALSE)=0,"",VLOOKUP($A83,Sheet1!$A:$AA,MATCH(L$1,Sheet1!$A$1:$AA$1,0),FALSE))</f>
        <v/>
      </c>
      <c r="M83" t="str">
        <f>IF(VLOOKUP($A83,Sheet1!$A:$AA,MATCH(M$1,Sheet1!$A$1:$AA$1,0),FALSE)=0,"",VLOOKUP($A83,Sheet1!$A:$AA,MATCH(M$1,Sheet1!$A$1:$AA$1,0),FALSE))</f>
        <v/>
      </c>
      <c r="N83" t="str">
        <f>IF(VLOOKUP($A83,Sheet1!$A:$AA,MATCH(N$1,Sheet1!$A$1:$AA$1,0),FALSE)=0,"",VLOOKUP($A83,Sheet1!$A:$AA,MATCH(N$1,Sheet1!$A$1:$AA$1,0),FALSE))</f>
        <v/>
      </c>
      <c r="O83" t="str">
        <f>IF(VLOOKUP($A83,Sheet1!$A:$AA,MATCH(O$1,Sheet1!$A$1:$AA$1,0),FALSE)=0,"",VLOOKUP($A83,Sheet1!$A:$AA,MATCH(O$1,Sheet1!$A$1:$AA$1,0),FALSE))</f>
        <v/>
      </c>
      <c r="P83" t="str">
        <f>IF(VLOOKUP($A83,Sheet1!$A:$AA,MATCH(P$1,Sheet1!$A$1:$AA$1,0),FALSE)=0,"",VLOOKUP($A83,Sheet1!$A:$AA,MATCH(P$1,Sheet1!$A$1:$AA$1,0),FALSE))</f>
        <v/>
      </c>
      <c r="Q83" t="str">
        <f>IF(VLOOKUP($A83,Sheet1!$A:$AA,MATCH(Q$1,Sheet1!$A$1:$AA$1,0),FALSE)=0,"",VLOOKUP($A83,Sheet1!$A:$AA,MATCH(Q$1,Sheet1!$A$1:$AA$1,0),FALSE))</f>
        <v>M</v>
      </c>
      <c r="R83" s="2">
        <f>IF(VLOOKUP($A83,Sheet1!$A:$AA,MATCH(R$1,Sheet1!$A$1:$AA$1,0),FALSE)=0,"",VLOOKUP($A83,Sheet1!$A:$AA,MATCH(R$1,Sheet1!$A$1:$AA$1,0),FALSE))</f>
        <v>25965</v>
      </c>
      <c r="AA83">
        <f ca="1">IF(VLOOKUP($A83,Sheet1!$A:$AA,MATCH(AA$1,Sheet1!$A$1:$AA$1,0),FALSE)=0,"",VLOOKUP($A83,Sheet1!$A:$AA,MATCH(AA$1,Sheet1!$A$1:$AA$1,0),FALSE))</f>
        <v>54</v>
      </c>
    </row>
    <row r="84" spans="1:27" x14ac:dyDescent="0.25">
      <c r="A84">
        <v>16968292</v>
      </c>
      <c r="B84" t="str">
        <f>IF(VLOOKUP($A84,Sheet1!$A:$AA,MATCH(B$1,Sheet1!$A$1:$AA$1,0),FALSE)=0,"",VLOOKUP($A84,Sheet1!$A:$AA,MATCH(B$1,Sheet1!$A$1:$AA$1,0),FALSE))</f>
        <v>GARCíA CALDERóN, JOSé LUIS</v>
      </c>
      <c r="C84" t="str">
        <f>IF(VLOOKUP($A84,Sheet1!$A:$AA,MATCH(C$1,Sheet1!$A$1:$AA$1,0),FALSE)=0,"",VLOOKUP($A84,Sheet1!$A:$AA,MATCH(C$1,Sheet1!$A$1:$AA$1,0),FALSE))</f>
        <v>GARCíA CALDERóN</v>
      </c>
      <c r="D84" t="str">
        <f>IF(VLOOKUP($A84,Sheet1!$A:$AA,MATCH(D$1,Sheet1!$A$1:$AA$1,0),FALSE)=0,"",VLOOKUP($A84,Sheet1!$A:$AA,MATCH(D$1,Sheet1!$A$1:$AA$1,0),FALSE))</f>
        <v>JOSé LUIS</v>
      </c>
      <c r="E84" t="str">
        <f>IF(VLOOKUP($A84,Sheet1!$A:$AA,MATCH(E$1,Sheet1!$A$1:$AA$1,0),FALSE)=0,"",VLOOKUP($A84,Sheet1!$A:$AA,MATCH(E$1,Sheet1!$A$1:$AA$1,0),FALSE))</f>
        <v/>
      </c>
      <c r="F84" t="str">
        <f>IF(VLOOKUP($A84,Sheet1!$A:$AA,MATCH(F$1,Sheet1!$A$1:$AA$1,0),FALSE)=0,"",VLOOKUP($A84,Sheet1!$A:$AA,MATCH(F$1,Sheet1!$A$1:$AA$1,0),FALSE))</f>
        <v/>
      </c>
      <c r="G84" t="str">
        <f>IF(VLOOKUP($A84,Sheet1!$A:$AA,MATCH(G$1,Sheet1!$A$1:$AA$1,0),FALSE)=0,"",VLOOKUP($A84,Sheet1!$A:$AA,MATCH(G$1,Sheet1!$A$1:$AA$1,0),FALSE))</f>
        <v/>
      </c>
      <c r="H84" t="str">
        <f>IF(VLOOKUP($A84,Sheet1!$A:$AA,MATCH(H$1,Sheet1!$A$1:$AA$1,0),FALSE)=0,"",VLOOKUP($A84,Sheet1!$A:$AA,MATCH(H$1,Sheet1!$A$1:$AA$1,0),FALSE))</f>
        <v/>
      </c>
      <c r="I84" t="str">
        <f>IF(VLOOKUP($A84,Sheet1!$A:$AA,MATCH(I$1,Sheet1!$A$1:$AA$1,0),FALSE)=0,"",VLOOKUP($A84,Sheet1!$A:$AA,MATCH(I$1,Sheet1!$A$1:$AA$1,0),FALSE))</f>
        <v/>
      </c>
      <c r="J84" t="str">
        <f>IF(VLOOKUP($A84,Sheet1!$A:$AA,MATCH(J$1,Sheet1!$A$1:$AA$1,0),FALSE)=0,"",VLOOKUP($A84,Sheet1!$A:$AA,MATCH(J$1,Sheet1!$A$1:$AA$1,0),FALSE))</f>
        <v/>
      </c>
      <c r="K84" t="str">
        <f>IF(VLOOKUP($A84,Sheet1!$A:$AA,MATCH(K$1,Sheet1!$A$1:$AA$1,0),FALSE)=0,"",VLOOKUP($A84,Sheet1!$A:$AA,MATCH(K$1,Sheet1!$A$1:$AA$1,0),FALSE))</f>
        <v>ANDALUZA</v>
      </c>
      <c r="L84" t="str">
        <f>IF(VLOOKUP($A84,Sheet1!$A:$AA,MATCH(L$1,Sheet1!$A$1:$AA$1,0),FALSE)=0,"",VLOOKUP($A84,Sheet1!$A:$AA,MATCH(L$1,Sheet1!$A$1:$AA$1,0),FALSE))</f>
        <v/>
      </c>
      <c r="M84" t="str">
        <f>IF(VLOOKUP($A84,Sheet1!$A:$AA,MATCH(M$1,Sheet1!$A$1:$AA$1,0),FALSE)=0,"",VLOOKUP($A84,Sheet1!$A:$AA,MATCH(M$1,Sheet1!$A$1:$AA$1,0),FALSE))</f>
        <v/>
      </c>
      <c r="N84" t="str">
        <f>IF(VLOOKUP($A84,Sheet1!$A:$AA,MATCH(N$1,Sheet1!$A$1:$AA$1,0),FALSE)=0,"",VLOOKUP($A84,Sheet1!$A:$AA,MATCH(N$1,Sheet1!$A$1:$AA$1,0),FALSE))</f>
        <v/>
      </c>
      <c r="O84" t="str">
        <f>IF(VLOOKUP($A84,Sheet1!$A:$AA,MATCH(O$1,Sheet1!$A$1:$AA$1,0),FALSE)=0,"",VLOOKUP($A84,Sheet1!$A:$AA,MATCH(O$1,Sheet1!$A$1:$AA$1,0),FALSE))</f>
        <v/>
      </c>
      <c r="P84" t="str">
        <f>IF(VLOOKUP($A84,Sheet1!$A:$AA,MATCH(P$1,Sheet1!$A$1:$AA$1,0),FALSE)=0,"",VLOOKUP($A84,Sheet1!$A:$AA,MATCH(P$1,Sheet1!$A$1:$AA$1,0),FALSE))</f>
        <v/>
      </c>
      <c r="Q84" t="str">
        <f>IF(VLOOKUP($A84,Sheet1!$A:$AA,MATCH(Q$1,Sheet1!$A$1:$AA$1,0),FALSE)=0,"",VLOOKUP($A84,Sheet1!$A:$AA,MATCH(Q$1,Sheet1!$A$1:$AA$1,0),FALSE))</f>
        <v>M</v>
      </c>
      <c r="R84" s="2">
        <f>IF(VLOOKUP($A84,Sheet1!$A:$AA,MATCH(R$1,Sheet1!$A$1:$AA$1,0),FALSE)=0,"",VLOOKUP($A84,Sheet1!$A:$AA,MATCH(R$1,Sheet1!$A$1:$AA$1,0),FALSE))</f>
        <v>34231</v>
      </c>
      <c r="AA84">
        <f ca="1">IF(VLOOKUP($A84,Sheet1!$A:$AA,MATCH(AA$1,Sheet1!$A$1:$AA$1,0),FALSE)=0,"",VLOOKUP($A84,Sheet1!$A:$AA,MATCH(AA$1,Sheet1!$A$1:$AA$1,0),FALSE))</f>
        <v>32</v>
      </c>
    </row>
    <row r="85" spans="1:27" x14ac:dyDescent="0.25">
      <c r="A85">
        <v>16968979</v>
      </c>
      <c r="B85" t="str">
        <f>IF(VLOOKUP($A85,Sheet1!$A:$AA,MATCH(B$1,Sheet1!$A$1:$AA$1,0),FALSE)=0,"",VLOOKUP($A85,Sheet1!$A:$AA,MATCH(B$1,Sheet1!$A$1:$AA$1,0),FALSE))</f>
        <v>CASQUERO TOMáS, MARíA ÁNGELES</v>
      </c>
      <c r="C85" t="str">
        <f>IF(VLOOKUP($A85,Sheet1!$A:$AA,MATCH(C$1,Sheet1!$A$1:$AA$1,0),FALSE)=0,"",VLOOKUP($A85,Sheet1!$A:$AA,MATCH(C$1,Sheet1!$A$1:$AA$1,0),FALSE))</f>
        <v>CASQUERO TOMáS</v>
      </c>
      <c r="D85" t="str">
        <f>IF(VLOOKUP($A85,Sheet1!$A:$AA,MATCH(D$1,Sheet1!$A$1:$AA$1,0),FALSE)=0,"",VLOOKUP($A85,Sheet1!$A:$AA,MATCH(D$1,Sheet1!$A$1:$AA$1,0),FALSE))</f>
        <v>MARíA ÁNGELES</v>
      </c>
      <c r="E85" t="str">
        <f>IF(VLOOKUP($A85,Sheet1!$A:$AA,MATCH(E$1,Sheet1!$A$1:$AA$1,0),FALSE)=0,"",VLOOKUP($A85,Sheet1!$A:$AA,MATCH(E$1,Sheet1!$A$1:$AA$1,0),FALSE))</f>
        <v/>
      </c>
      <c r="F85" t="str">
        <f>IF(VLOOKUP($A85,Sheet1!$A:$AA,MATCH(F$1,Sheet1!$A$1:$AA$1,0),FALSE)=0,"",VLOOKUP($A85,Sheet1!$A:$AA,MATCH(F$1,Sheet1!$A$1:$AA$1,0),FALSE))</f>
        <v/>
      </c>
      <c r="G85" t="str">
        <f>IF(VLOOKUP($A85,Sheet1!$A:$AA,MATCH(G$1,Sheet1!$A$1:$AA$1,0),FALSE)=0,"",VLOOKUP($A85,Sheet1!$A:$AA,MATCH(G$1,Sheet1!$A$1:$AA$1,0),FALSE))</f>
        <v/>
      </c>
      <c r="H85" t="str">
        <f>IF(VLOOKUP($A85,Sheet1!$A:$AA,MATCH(H$1,Sheet1!$A$1:$AA$1,0),FALSE)=0,"",VLOOKUP($A85,Sheet1!$A:$AA,MATCH(H$1,Sheet1!$A$1:$AA$1,0),FALSE))</f>
        <v/>
      </c>
      <c r="I85" t="str">
        <f>IF(VLOOKUP($A85,Sheet1!$A:$AA,MATCH(I$1,Sheet1!$A$1:$AA$1,0),FALSE)=0,"",VLOOKUP($A85,Sheet1!$A:$AA,MATCH(I$1,Sheet1!$A$1:$AA$1,0),FALSE))</f>
        <v/>
      </c>
      <c r="J85" t="str">
        <f>IF(VLOOKUP($A85,Sheet1!$A:$AA,MATCH(J$1,Sheet1!$A$1:$AA$1,0),FALSE)=0,"",VLOOKUP($A85,Sheet1!$A:$AA,MATCH(J$1,Sheet1!$A$1:$AA$1,0),FALSE))</f>
        <v/>
      </c>
      <c r="K85" t="str">
        <f>IF(VLOOKUP($A85,Sheet1!$A:$AA,MATCH(K$1,Sheet1!$A$1:$AA$1,0),FALSE)=0,"",VLOOKUP($A85,Sheet1!$A:$AA,MATCH(K$1,Sheet1!$A$1:$AA$1,0),FALSE))</f>
        <v>ANDALUZA</v>
      </c>
      <c r="L85" t="str">
        <f>IF(VLOOKUP($A85,Sheet1!$A:$AA,MATCH(L$1,Sheet1!$A$1:$AA$1,0),FALSE)=0,"",VLOOKUP($A85,Sheet1!$A:$AA,MATCH(L$1,Sheet1!$A$1:$AA$1,0),FALSE))</f>
        <v/>
      </c>
      <c r="M85" t="str">
        <f>IF(VLOOKUP($A85,Sheet1!$A:$AA,MATCH(M$1,Sheet1!$A$1:$AA$1,0),FALSE)=0,"",VLOOKUP($A85,Sheet1!$A:$AA,MATCH(M$1,Sheet1!$A$1:$AA$1,0),FALSE))</f>
        <v/>
      </c>
      <c r="N85" t="str">
        <f>IF(VLOOKUP($A85,Sheet1!$A:$AA,MATCH(N$1,Sheet1!$A$1:$AA$1,0),FALSE)=0,"",VLOOKUP($A85,Sheet1!$A:$AA,MATCH(N$1,Sheet1!$A$1:$AA$1,0),FALSE))</f>
        <v/>
      </c>
      <c r="O85" t="str">
        <f>IF(VLOOKUP($A85,Sheet1!$A:$AA,MATCH(O$1,Sheet1!$A$1:$AA$1,0),FALSE)=0,"",VLOOKUP($A85,Sheet1!$A:$AA,MATCH(O$1,Sheet1!$A$1:$AA$1,0),FALSE))</f>
        <v/>
      </c>
      <c r="P85" t="str">
        <f>IF(VLOOKUP($A85,Sheet1!$A:$AA,MATCH(P$1,Sheet1!$A$1:$AA$1,0),FALSE)=0,"",VLOOKUP($A85,Sheet1!$A:$AA,MATCH(P$1,Sheet1!$A$1:$AA$1,0),FALSE))</f>
        <v/>
      </c>
      <c r="Q85" t="str">
        <f>IF(VLOOKUP($A85,Sheet1!$A:$AA,MATCH(Q$1,Sheet1!$A$1:$AA$1,0),FALSE)=0,"",VLOOKUP($A85,Sheet1!$A:$AA,MATCH(Q$1,Sheet1!$A$1:$AA$1,0),FALSE))</f>
        <v>F</v>
      </c>
      <c r="R85" s="2">
        <f>IF(VLOOKUP($A85,Sheet1!$A:$AA,MATCH(R$1,Sheet1!$A$1:$AA$1,0),FALSE)=0,"",VLOOKUP($A85,Sheet1!$A:$AA,MATCH(R$1,Sheet1!$A$1:$AA$1,0),FALSE))</f>
        <v>20078</v>
      </c>
      <c r="AA85">
        <f ca="1">IF(VLOOKUP($A85,Sheet1!$A:$AA,MATCH(AA$1,Sheet1!$A$1:$AA$1,0),FALSE)=0,"",VLOOKUP($A85,Sheet1!$A:$AA,MATCH(AA$1,Sheet1!$A$1:$AA$1,0),FALSE))</f>
        <v>71</v>
      </c>
    </row>
    <row r="86" spans="1:27" x14ac:dyDescent="0.25">
      <c r="A86">
        <v>16969109</v>
      </c>
      <c r="B86" t="str">
        <f>IF(VLOOKUP($A86,Sheet1!$A:$AA,MATCH(B$1,Sheet1!$A$1:$AA$1,0),FALSE)=0,"",VLOOKUP($A86,Sheet1!$A:$AA,MATCH(B$1,Sheet1!$A$1:$AA$1,0),FALSE))</f>
        <v>MIODOWNIK, DANIEL</v>
      </c>
      <c r="C86" t="str">
        <f>IF(VLOOKUP($A86,Sheet1!$A:$AA,MATCH(C$1,Sheet1!$A$1:$AA$1,0),FALSE)=0,"",VLOOKUP($A86,Sheet1!$A:$AA,MATCH(C$1,Sheet1!$A$1:$AA$1,0),FALSE))</f>
        <v>MIODOWNIK</v>
      </c>
      <c r="D86" t="str">
        <f>IF(VLOOKUP($A86,Sheet1!$A:$AA,MATCH(D$1,Sheet1!$A$1:$AA$1,0),FALSE)=0,"",VLOOKUP($A86,Sheet1!$A:$AA,MATCH(D$1,Sheet1!$A$1:$AA$1,0),FALSE))</f>
        <v>DANIEL</v>
      </c>
      <c r="E86" t="str">
        <f>IF(VLOOKUP($A86,Sheet1!$A:$AA,MATCH(E$1,Sheet1!$A$1:$AA$1,0),FALSE)=0,"",VLOOKUP($A86,Sheet1!$A:$AA,MATCH(E$1,Sheet1!$A$1:$AA$1,0),FALSE))</f>
        <v/>
      </c>
      <c r="F86" t="str">
        <f>IF(VLOOKUP($A86,Sheet1!$A:$AA,MATCH(F$1,Sheet1!$A$1:$AA$1,0),FALSE)=0,"",VLOOKUP($A86,Sheet1!$A:$AA,MATCH(F$1,Sheet1!$A$1:$AA$1,0),FALSE))</f>
        <v/>
      </c>
      <c r="G86" t="str">
        <f>IF(VLOOKUP($A86,Sheet1!$A:$AA,MATCH(G$1,Sheet1!$A$1:$AA$1,0),FALSE)=0,"",VLOOKUP($A86,Sheet1!$A:$AA,MATCH(G$1,Sheet1!$A$1:$AA$1,0),FALSE))</f>
        <v/>
      </c>
      <c r="H86" t="str">
        <f>IF(VLOOKUP($A86,Sheet1!$A:$AA,MATCH(H$1,Sheet1!$A$1:$AA$1,0),FALSE)=0,"",VLOOKUP($A86,Sheet1!$A:$AA,MATCH(H$1,Sheet1!$A$1:$AA$1,0),FALSE))</f>
        <v/>
      </c>
      <c r="I86" t="str">
        <f>IF(VLOOKUP($A86,Sheet1!$A:$AA,MATCH(I$1,Sheet1!$A$1:$AA$1,0),FALSE)=0,"",VLOOKUP($A86,Sheet1!$A:$AA,MATCH(I$1,Sheet1!$A$1:$AA$1,0),FALSE))</f>
        <v/>
      </c>
      <c r="J86" t="str">
        <f>IF(VLOOKUP($A86,Sheet1!$A:$AA,MATCH(J$1,Sheet1!$A$1:$AA$1,0),FALSE)=0,"",VLOOKUP($A86,Sheet1!$A:$AA,MATCH(J$1,Sheet1!$A$1:$AA$1,0),FALSE))</f>
        <v/>
      </c>
      <c r="K86" t="str">
        <f>IF(VLOOKUP($A86,Sheet1!$A:$AA,MATCH(K$1,Sheet1!$A$1:$AA$1,0),FALSE)=0,"",VLOOKUP($A86,Sheet1!$A:$AA,MATCH(K$1,Sheet1!$A$1:$AA$1,0),FALSE))</f>
        <v>ANDALUZA</v>
      </c>
      <c r="L86" t="str">
        <f>IF(VLOOKUP($A86,Sheet1!$A:$AA,MATCH(L$1,Sheet1!$A$1:$AA$1,0),FALSE)=0,"",VLOOKUP($A86,Sheet1!$A:$AA,MATCH(L$1,Sheet1!$A$1:$AA$1,0),FALSE))</f>
        <v/>
      </c>
      <c r="M86" t="str">
        <f>IF(VLOOKUP($A86,Sheet1!$A:$AA,MATCH(M$1,Sheet1!$A$1:$AA$1,0),FALSE)=0,"",VLOOKUP($A86,Sheet1!$A:$AA,MATCH(M$1,Sheet1!$A$1:$AA$1,0),FALSE))</f>
        <v/>
      </c>
      <c r="N86" t="str">
        <f>IF(VLOOKUP($A86,Sheet1!$A:$AA,MATCH(N$1,Sheet1!$A$1:$AA$1,0),FALSE)=0,"",VLOOKUP($A86,Sheet1!$A:$AA,MATCH(N$1,Sheet1!$A$1:$AA$1,0),FALSE))</f>
        <v/>
      </c>
      <c r="O86" t="str">
        <f>IF(VLOOKUP($A86,Sheet1!$A:$AA,MATCH(O$1,Sheet1!$A$1:$AA$1,0),FALSE)=0,"",VLOOKUP($A86,Sheet1!$A:$AA,MATCH(O$1,Sheet1!$A$1:$AA$1,0),FALSE))</f>
        <v/>
      </c>
      <c r="P86" t="str">
        <f>IF(VLOOKUP($A86,Sheet1!$A:$AA,MATCH(P$1,Sheet1!$A$1:$AA$1,0),FALSE)=0,"",VLOOKUP($A86,Sheet1!$A:$AA,MATCH(P$1,Sheet1!$A$1:$AA$1,0),FALSE))</f>
        <v/>
      </c>
      <c r="Q86" t="str">
        <f>IF(VLOOKUP($A86,Sheet1!$A:$AA,MATCH(Q$1,Sheet1!$A$1:$AA$1,0),FALSE)=0,"",VLOOKUP($A86,Sheet1!$A:$AA,MATCH(Q$1,Sheet1!$A$1:$AA$1,0),FALSE))</f>
        <v>M</v>
      </c>
      <c r="R86" s="2">
        <f>IF(VLOOKUP($A86,Sheet1!$A:$AA,MATCH(R$1,Sheet1!$A$1:$AA$1,0),FALSE)=0,"",VLOOKUP($A86,Sheet1!$A:$AA,MATCH(R$1,Sheet1!$A$1:$AA$1,0),FALSE))</f>
        <v>20605</v>
      </c>
      <c r="AA86">
        <f ca="1">IF(VLOOKUP($A86,Sheet1!$A:$AA,MATCH(AA$1,Sheet1!$A$1:$AA$1,0),FALSE)=0,"",VLOOKUP($A86,Sheet1!$A:$AA,MATCH(AA$1,Sheet1!$A$1:$AA$1,0),FALSE))</f>
        <v>69</v>
      </c>
    </row>
    <row r="87" spans="1:27" x14ac:dyDescent="0.25">
      <c r="A87">
        <v>16969159</v>
      </c>
      <c r="B87" t="str">
        <f>IF(VLOOKUP($A87,Sheet1!$A:$AA,MATCH(B$1,Sheet1!$A$1:$AA$1,0),FALSE)=0,"",VLOOKUP($A87,Sheet1!$A:$AA,MATCH(B$1,Sheet1!$A$1:$AA$1,0),FALSE))</f>
        <v>Bernal, Jesús</v>
      </c>
      <c r="C87" t="str">
        <f>IF(VLOOKUP($A87,Sheet1!$A:$AA,MATCH(C$1,Sheet1!$A$1:$AA$1,0),FALSE)=0,"",VLOOKUP($A87,Sheet1!$A:$AA,MATCH(C$1,Sheet1!$A$1:$AA$1,0),FALSE))</f>
        <v>Bernal</v>
      </c>
      <c r="D87" t="str">
        <f>IF(VLOOKUP($A87,Sheet1!$A:$AA,MATCH(D$1,Sheet1!$A$1:$AA$1,0),FALSE)=0,"",VLOOKUP($A87,Sheet1!$A:$AA,MATCH(D$1,Sheet1!$A$1:$AA$1,0),FALSE))</f>
        <v>Jesús</v>
      </c>
      <c r="E87" t="str">
        <f>IF(VLOOKUP($A87,Sheet1!$A:$AA,MATCH(E$1,Sheet1!$A$1:$AA$1,0),FALSE)=0,"",VLOOKUP($A87,Sheet1!$A:$AA,MATCH(E$1,Sheet1!$A$1:$AA$1,0),FALSE))</f>
        <v/>
      </c>
      <c r="F87" t="str">
        <f>IF(VLOOKUP($A87,Sheet1!$A:$AA,MATCH(F$1,Sheet1!$A$1:$AA$1,0),FALSE)=0,"",VLOOKUP($A87,Sheet1!$A:$AA,MATCH(F$1,Sheet1!$A$1:$AA$1,0),FALSE))</f>
        <v/>
      </c>
      <c r="G87" t="str">
        <f>IF(VLOOKUP($A87,Sheet1!$A:$AA,MATCH(G$1,Sheet1!$A$1:$AA$1,0),FALSE)=0,"",VLOOKUP($A87,Sheet1!$A:$AA,MATCH(G$1,Sheet1!$A$1:$AA$1,0),FALSE))</f>
        <v/>
      </c>
      <c r="H87" t="str">
        <f>IF(VLOOKUP($A87,Sheet1!$A:$AA,MATCH(H$1,Sheet1!$A$1:$AA$1,0),FALSE)=0,"",VLOOKUP($A87,Sheet1!$A:$AA,MATCH(H$1,Sheet1!$A$1:$AA$1,0),FALSE))</f>
        <v/>
      </c>
      <c r="I87" t="str">
        <f>IF(VLOOKUP($A87,Sheet1!$A:$AA,MATCH(I$1,Sheet1!$A$1:$AA$1,0),FALSE)=0,"",VLOOKUP($A87,Sheet1!$A:$AA,MATCH(I$1,Sheet1!$A$1:$AA$1,0),FALSE))</f>
        <v/>
      </c>
      <c r="J87" t="str">
        <f>IF(VLOOKUP($A87,Sheet1!$A:$AA,MATCH(J$1,Sheet1!$A$1:$AA$1,0),FALSE)=0,"",VLOOKUP($A87,Sheet1!$A:$AA,MATCH(J$1,Sheet1!$A$1:$AA$1,0),FALSE))</f>
        <v/>
      </c>
      <c r="K87" t="str">
        <f>IF(VLOOKUP($A87,Sheet1!$A:$AA,MATCH(K$1,Sheet1!$A$1:$AA$1,0),FALSE)=0,"",VLOOKUP($A87,Sheet1!$A:$AA,MATCH(K$1,Sheet1!$A$1:$AA$1,0),FALSE))</f>
        <v>ANDALUZA</v>
      </c>
      <c r="L87" t="str">
        <f>IF(VLOOKUP($A87,Sheet1!$A:$AA,MATCH(L$1,Sheet1!$A$1:$AA$1,0),FALSE)=0,"",VLOOKUP($A87,Sheet1!$A:$AA,MATCH(L$1,Sheet1!$A$1:$AA$1,0),FALSE))</f>
        <v/>
      </c>
      <c r="M87" t="str">
        <f>IF(VLOOKUP($A87,Sheet1!$A:$AA,MATCH(M$1,Sheet1!$A$1:$AA$1,0),FALSE)=0,"",VLOOKUP($A87,Sheet1!$A:$AA,MATCH(M$1,Sheet1!$A$1:$AA$1,0),FALSE))</f>
        <v/>
      </c>
      <c r="N87" t="str">
        <f>IF(VLOOKUP($A87,Sheet1!$A:$AA,MATCH(N$1,Sheet1!$A$1:$AA$1,0),FALSE)=0,"",VLOOKUP($A87,Sheet1!$A:$AA,MATCH(N$1,Sheet1!$A$1:$AA$1,0),FALSE))</f>
        <v/>
      </c>
      <c r="O87" t="str">
        <f>IF(VLOOKUP($A87,Sheet1!$A:$AA,MATCH(O$1,Sheet1!$A$1:$AA$1,0),FALSE)=0,"",VLOOKUP($A87,Sheet1!$A:$AA,MATCH(O$1,Sheet1!$A$1:$AA$1,0),FALSE))</f>
        <v/>
      </c>
      <c r="P87" t="str">
        <f>IF(VLOOKUP($A87,Sheet1!$A:$AA,MATCH(P$1,Sheet1!$A$1:$AA$1,0),FALSE)=0,"",VLOOKUP($A87,Sheet1!$A:$AA,MATCH(P$1,Sheet1!$A$1:$AA$1,0),FALSE))</f>
        <v/>
      </c>
      <c r="Q87" t="str">
        <f>IF(VLOOKUP($A87,Sheet1!$A:$AA,MATCH(Q$1,Sheet1!$A$1:$AA$1,0),FALSE)=0,"",VLOOKUP($A87,Sheet1!$A:$AA,MATCH(Q$1,Sheet1!$A$1:$AA$1,0),FALSE))</f>
        <v>M</v>
      </c>
      <c r="R87" s="2" t="str">
        <f>IF(VLOOKUP($A87,Sheet1!$A:$AA,MATCH(R$1,Sheet1!$A$1:$AA$1,0),FALSE)=0,"",VLOOKUP($A87,Sheet1!$A:$AA,MATCH(R$1,Sheet1!$A$1:$AA$1,0),FALSE))</f>
        <v>01/01/1989</v>
      </c>
      <c r="AA87">
        <f ca="1">IF(VLOOKUP($A87,Sheet1!$A:$AA,MATCH(AA$1,Sheet1!$A$1:$AA$1,0),FALSE)=0,"",VLOOKUP($A87,Sheet1!$A:$AA,MATCH(AA$1,Sheet1!$A$1:$AA$1,0),FALSE))</f>
        <v>36</v>
      </c>
    </row>
    <row r="88" spans="1:27" x14ac:dyDescent="0.25">
      <c r="A88">
        <v>16969183</v>
      </c>
      <c r="B88" t="str">
        <f>IF(VLOOKUP($A88,Sheet1!$A:$AA,MATCH(B$1,Sheet1!$A$1:$AA$1,0),FALSE)=0,"",VLOOKUP($A88,Sheet1!$A:$AA,MATCH(B$1,Sheet1!$A$1:$AA$1,0),FALSE))</f>
        <v>Gavalda, Sandra</v>
      </c>
      <c r="C88" t="str">
        <f>IF(VLOOKUP($A88,Sheet1!$A:$AA,MATCH(C$1,Sheet1!$A$1:$AA$1,0),FALSE)=0,"",VLOOKUP($A88,Sheet1!$A:$AA,MATCH(C$1,Sheet1!$A$1:$AA$1,0),FALSE))</f>
        <v>Gavalda</v>
      </c>
      <c r="D88" t="str">
        <f>IF(VLOOKUP($A88,Sheet1!$A:$AA,MATCH(D$1,Sheet1!$A$1:$AA$1,0),FALSE)=0,"",VLOOKUP($A88,Sheet1!$A:$AA,MATCH(D$1,Sheet1!$A$1:$AA$1,0),FALSE))</f>
        <v>Sandra</v>
      </c>
      <c r="E88" t="str">
        <f>IF(VLOOKUP($A88,Sheet1!$A:$AA,MATCH(E$1,Sheet1!$A$1:$AA$1,0),FALSE)=0,"",VLOOKUP($A88,Sheet1!$A:$AA,MATCH(E$1,Sheet1!$A$1:$AA$1,0),FALSE))</f>
        <v/>
      </c>
      <c r="F88" t="str">
        <f>IF(VLOOKUP($A88,Sheet1!$A:$AA,MATCH(F$1,Sheet1!$A$1:$AA$1,0),FALSE)=0,"",VLOOKUP($A88,Sheet1!$A:$AA,MATCH(F$1,Sheet1!$A$1:$AA$1,0),FALSE))</f>
        <v/>
      </c>
      <c r="G88" t="str">
        <f>IF(VLOOKUP($A88,Sheet1!$A:$AA,MATCH(G$1,Sheet1!$A$1:$AA$1,0),FALSE)=0,"",VLOOKUP($A88,Sheet1!$A:$AA,MATCH(G$1,Sheet1!$A$1:$AA$1,0),FALSE))</f>
        <v/>
      </c>
      <c r="H88" t="str">
        <f>IF(VLOOKUP($A88,Sheet1!$A:$AA,MATCH(H$1,Sheet1!$A$1:$AA$1,0),FALSE)=0,"",VLOOKUP($A88,Sheet1!$A:$AA,MATCH(H$1,Sheet1!$A$1:$AA$1,0),FALSE))</f>
        <v/>
      </c>
      <c r="I88" t="str">
        <f>IF(VLOOKUP($A88,Sheet1!$A:$AA,MATCH(I$1,Sheet1!$A$1:$AA$1,0),FALSE)=0,"",VLOOKUP($A88,Sheet1!$A:$AA,MATCH(I$1,Sheet1!$A$1:$AA$1,0),FALSE))</f>
        <v/>
      </c>
      <c r="J88" t="str">
        <f>IF(VLOOKUP($A88,Sheet1!$A:$AA,MATCH(J$1,Sheet1!$A$1:$AA$1,0),FALSE)=0,"",VLOOKUP($A88,Sheet1!$A:$AA,MATCH(J$1,Sheet1!$A$1:$AA$1,0),FALSE))</f>
        <v/>
      </c>
      <c r="K88" t="str">
        <f>IF(VLOOKUP($A88,Sheet1!$A:$AA,MATCH(K$1,Sheet1!$A$1:$AA$1,0),FALSE)=0,"",VLOOKUP($A88,Sheet1!$A:$AA,MATCH(K$1,Sheet1!$A$1:$AA$1,0),FALSE))</f>
        <v>ANDALUZA</v>
      </c>
      <c r="L88" t="str">
        <f>IF(VLOOKUP($A88,Sheet1!$A:$AA,MATCH(L$1,Sheet1!$A$1:$AA$1,0),FALSE)=0,"",VLOOKUP($A88,Sheet1!$A:$AA,MATCH(L$1,Sheet1!$A$1:$AA$1,0),FALSE))</f>
        <v/>
      </c>
      <c r="M88" t="str">
        <f>IF(VLOOKUP($A88,Sheet1!$A:$AA,MATCH(M$1,Sheet1!$A$1:$AA$1,0),FALSE)=0,"",VLOOKUP($A88,Sheet1!$A:$AA,MATCH(M$1,Sheet1!$A$1:$AA$1,0),FALSE))</f>
        <v/>
      </c>
      <c r="N88" t="str">
        <f>IF(VLOOKUP($A88,Sheet1!$A:$AA,MATCH(N$1,Sheet1!$A$1:$AA$1,0),FALSE)=0,"",VLOOKUP($A88,Sheet1!$A:$AA,MATCH(N$1,Sheet1!$A$1:$AA$1,0),FALSE))</f>
        <v/>
      </c>
      <c r="O88" t="str">
        <f>IF(VLOOKUP($A88,Sheet1!$A:$AA,MATCH(O$1,Sheet1!$A$1:$AA$1,0),FALSE)=0,"",VLOOKUP($A88,Sheet1!$A:$AA,MATCH(O$1,Sheet1!$A$1:$AA$1,0),FALSE))</f>
        <v/>
      </c>
      <c r="P88" t="str">
        <f>IF(VLOOKUP($A88,Sheet1!$A:$AA,MATCH(P$1,Sheet1!$A$1:$AA$1,0),FALSE)=0,"",VLOOKUP($A88,Sheet1!$A:$AA,MATCH(P$1,Sheet1!$A$1:$AA$1,0),FALSE))</f>
        <v/>
      </c>
      <c r="Q88" t="str">
        <f>IF(VLOOKUP($A88,Sheet1!$A:$AA,MATCH(Q$1,Sheet1!$A$1:$AA$1,0),FALSE)=0,"",VLOOKUP($A88,Sheet1!$A:$AA,MATCH(Q$1,Sheet1!$A$1:$AA$1,0),FALSE))</f>
        <v>F</v>
      </c>
      <c r="R88" s="2" t="str">
        <f>IF(VLOOKUP($A88,Sheet1!$A:$AA,MATCH(R$1,Sheet1!$A$1:$AA$1,0),FALSE)=0,"",VLOOKUP($A88,Sheet1!$A:$AA,MATCH(R$1,Sheet1!$A$1:$AA$1,0),FALSE))</f>
        <v>01/01/1982</v>
      </c>
      <c r="AA88">
        <f ca="1">IF(VLOOKUP($A88,Sheet1!$A:$AA,MATCH(AA$1,Sheet1!$A$1:$AA$1,0),FALSE)=0,"",VLOOKUP($A88,Sheet1!$A:$AA,MATCH(AA$1,Sheet1!$A$1:$AA$1,0),FALSE))</f>
        <v>43</v>
      </c>
    </row>
    <row r="89" spans="1:27" x14ac:dyDescent="0.25">
      <c r="A89">
        <v>16969191</v>
      </c>
      <c r="B89" t="str">
        <f>IF(VLOOKUP($A89,Sheet1!$A:$AA,MATCH(B$1,Sheet1!$A$1:$AA$1,0),FALSE)=0,"",VLOOKUP($A89,Sheet1!$A:$AA,MATCH(B$1,Sheet1!$A$1:$AA$1,0),FALSE))</f>
        <v>Olmedo, Maria</v>
      </c>
      <c r="C89" t="str">
        <f>IF(VLOOKUP($A89,Sheet1!$A:$AA,MATCH(C$1,Sheet1!$A$1:$AA$1,0),FALSE)=0,"",VLOOKUP($A89,Sheet1!$A:$AA,MATCH(C$1,Sheet1!$A$1:$AA$1,0),FALSE))</f>
        <v>Olmedo</v>
      </c>
      <c r="D89" t="str">
        <f>IF(VLOOKUP($A89,Sheet1!$A:$AA,MATCH(D$1,Sheet1!$A$1:$AA$1,0),FALSE)=0,"",VLOOKUP($A89,Sheet1!$A:$AA,MATCH(D$1,Sheet1!$A$1:$AA$1,0),FALSE))</f>
        <v>Maria</v>
      </c>
      <c r="E89" t="str">
        <f>IF(VLOOKUP($A89,Sheet1!$A:$AA,MATCH(E$1,Sheet1!$A$1:$AA$1,0),FALSE)=0,"",VLOOKUP($A89,Sheet1!$A:$AA,MATCH(E$1,Sheet1!$A$1:$AA$1,0),FALSE))</f>
        <v/>
      </c>
      <c r="F89" t="str">
        <f>IF(VLOOKUP($A89,Sheet1!$A:$AA,MATCH(F$1,Sheet1!$A$1:$AA$1,0),FALSE)=0,"",VLOOKUP($A89,Sheet1!$A:$AA,MATCH(F$1,Sheet1!$A$1:$AA$1,0),FALSE))</f>
        <v/>
      </c>
      <c r="G89" t="str">
        <f>IF(VLOOKUP($A89,Sheet1!$A:$AA,MATCH(G$1,Sheet1!$A$1:$AA$1,0),FALSE)=0,"",VLOOKUP($A89,Sheet1!$A:$AA,MATCH(G$1,Sheet1!$A$1:$AA$1,0),FALSE))</f>
        <v/>
      </c>
      <c r="H89" t="str">
        <f>IF(VLOOKUP($A89,Sheet1!$A:$AA,MATCH(H$1,Sheet1!$A$1:$AA$1,0),FALSE)=0,"",VLOOKUP($A89,Sheet1!$A:$AA,MATCH(H$1,Sheet1!$A$1:$AA$1,0),FALSE))</f>
        <v/>
      </c>
      <c r="I89" t="str">
        <f>IF(VLOOKUP($A89,Sheet1!$A:$AA,MATCH(I$1,Sheet1!$A$1:$AA$1,0),FALSE)=0,"",VLOOKUP($A89,Sheet1!$A:$AA,MATCH(I$1,Sheet1!$A$1:$AA$1,0),FALSE))</f>
        <v/>
      </c>
      <c r="J89" t="str">
        <f>IF(VLOOKUP($A89,Sheet1!$A:$AA,MATCH(J$1,Sheet1!$A$1:$AA$1,0),FALSE)=0,"",VLOOKUP($A89,Sheet1!$A:$AA,MATCH(J$1,Sheet1!$A$1:$AA$1,0),FALSE))</f>
        <v/>
      </c>
      <c r="K89" t="str">
        <f>IF(VLOOKUP($A89,Sheet1!$A:$AA,MATCH(K$1,Sheet1!$A$1:$AA$1,0),FALSE)=0,"",VLOOKUP($A89,Sheet1!$A:$AA,MATCH(K$1,Sheet1!$A$1:$AA$1,0),FALSE))</f>
        <v>ANDALUZA</v>
      </c>
      <c r="L89" t="str">
        <f>IF(VLOOKUP($A89,Sheet1!$A:$AA,MATCH(L$1,Sheet1!$A$1:$AA$1,0),FALSE)=0,"",VLOOKUP($A89,Sheet1!$A:$AA,MATCH(L$1,Sheet1!$A$1:$AA$1,0),FALSE))</f>
        <v/>
      </c>
      <c r="M89" t="str">
        <f>IF(VLOOKUP($A89,Sheet1!$A:$AA,MATCH(M$1,Sheet1!$A$1:$AA$1,0),FALSE)=0,"",VLOOKUP($A89,Sheet1!$A:$AA,MATCH(M$1,Sheet1!$A$1:$AA$1,0),FALSE))</f>
        <v/>
      </c>
      <c r="N89" t="str">
        <f>IF(VLOOKUP($A89,Sheet1!$A:$AA,MATCH(N$1,Sheet1!$A$1:$AA$1,0),FALSE)=0,"",VLOOKUP($A89,Sheet1!$A:$AA,MATCH(N$1,Sheet1!$A$1:$AA$1,0),FALSE))</f>
        <v/>
      </c>
      <c r="O89" t="str">
        <f>IF(VLOOKUP($A89,Sheet1!$A:$AA,MATCH(O$1,Sheet1!$A$1:$AA$1,0),FALSE)=0,"",VLOOKUP($A89,Sheet1!$A:$AA,MATCH(O$1,Sheet1!$A$1:$AA$1,0),FALSE))</f>
        <v/>
      </c>
      <c r="P89" t="str">
        <f>IF(VLOOKUP($A89,Sheet1!$A:$AA,MATCH(P$1,Sheet1!$A$1:$AA$1,0),FALSE)=0,"",VLOOKUP($A89,Sheet1!$A:$AA,MATCH(P$1,Sheet1!$A$1:$AA$1,0),FALSE))</f>
        <v/>
      </c>
      <c r="Q89" t="str">
        <f>IF(VLOOKUP($A89,Sheet1!$A:$AA,MATCH(Q$1,Sheet1!$A$1:$AA$1,0),FALSE)=0,"",VLOOKUP($A89,Sheet1!$A:$AA,MATCH(Q$1,Sheet1!$A$1:$AA$1,0),FALSE))</f>
        <v>F</v>
      </c>
      <c r="R89" s="2" t="str">
        <f>IF(VLOOKUP($A89,Sheet1!$A:$AA,MATCH(R$1,Sheet1!$A$1:$AA$1,0),FALSE)=0,"",VLOOKUP($A89,Sheet1!$A:$AA,MATCH(R$1,Sheet1!$A$1:$AA$1,0),FALSE))</f>
        <v>01/01/1977</v>
      </c>
      <c r="AA89">
        <f ca="1">IF(VLOOKUP($A89,Sheet1!$A:$AA,MATCH(AA$1,Sheet1!$A$1:$AA$1,0),FALSE)=0,"",VLOOKUP($A89,Sheet1!$A:$AA,MATCH(AA$1,Sheet1!$A$1:$AA$1,0),FALSE))</f>
        <v>48</v>
      </c>
    </row>
    <row r="90" spans="1:27" x14ac:dyDescent="0.25">
      <c r="A90">
        <v>16969208</v>
      </c>
      <c r="B90" t="str">
        <f>IF(VLOOKUP($A90,Sheet1!$A:$AA,MATCH(B$1,Sheet1!$A$1:$AA$1,0),FALSE)=0,"",VLOOKUP($A90,Sheet1!$A:$AA,MATCH(B$1,Sheet1!$A$1:$AA$1,0),FALSE))</f>
        <v>García, Mario</v>
      </c>
      <c r="C90" t="str">
        <f>IF(VLOOKUP($A90,Sheet1!$A:$AA,MATCH(C$1,Sheet1!$A$1:$AA$1,0),FALSE)=0,"",VLOOKUP($A90,Sheet1!$A:$AA,MATCH(C$1,Sheet1!$A$1:$AA$1,0),FALSE))</f>
        <v>García</v>
      </c>
      <c r="D90" t="str">
        <f>IF(VLOOKUP($A90,Sheet1!$A:$AA,MATCH(D$1,Sheet1!$A$1:$AA$1,0),FALSE)=0,"",VLOOKUP($A90,Sheet1!$A:$AA,MATCH(D$1,Sheet1!$A$1:$AA$1,0),FALSE))</f>
        <v>Mario</v>
      </c>
      <c r="E90" t="str">
        <f>IF(VLOOKUP($A90,Sheet1!$A:$AA,MATCH(E$1,Sheet1!$A$1:$AA$1,0),FALSE)=0,"",VLOOKUP($A90,Sheet1!$A:$AA,MATCH(E$1,Sheet1!$A$1:$AA$1,0),FALSE))</f>
        <v/>
      </c>
      <c r="F90" t="str">
        <f>IF(VLOOKUP($A90,Sheet1!$A:$AA,MATCH(F$1,Sheet1!$A$1:$AA$1,0),FALSE)=0,"",VLOOKUP($A90,Sheet1!$A:$AA,MATCH(F$1,Sheet1!$A$1:$AA$1,0),FALSE))</f>
        <v/>
      </c>
      <c r="G90" t="str">
        <f>IF(VLOOKUP($A90,Sheet1!$A:$AA,MATCH(G$1,Sheet1!$A$1:$AA$1,0),FALSE)=0,"",VLOOKUP($A90,Sheet1!$A:$AA,MATCH(G$1,Sheet1!$A$1:$AA$1,0),FALSE))</f>
        <v/>
      </c>
      <c r="H90" t="str">
        <f>IF(VLOOKUP($A90,Sheet1!$A:$AA,MATCH(H$1,Sheet1!$A$1:$AA$1,0),FALSE)=0,"",VLOOKUP($A90,Sheet1!$A:$AA,MATCH(H$1,Sheet1!$A$1:$AA$1,0),FALSE))</f>
        <v/>
      </c>
      <c r="I90" t="str">
        <f>IF(VLOOKUP($A90,Sheet1!$A:$AA,MATCH(I$1,Sheet1!$A$1:$AA$1,0),FALSE)=0,"",VLOOKUP($A90,Sheet1!$A:$AA,MATCH(I$1,Sheet1!$A$1:$AA$1,0),FALSE))</f>
        <v/>
      </c>
      <c r="J90" t="str">
        <f>IF(VLOOKUP($A90,Sheet1!$A:$AA,MATCH(J$1,Sheet1!$A$1:$AA$1,0),FALSE)=0,"",VLOOKUP($A90,Sheet1!$A:$AA,MATCH(J$1,Sheet1!$A$1:$AA$1,0),FALSE))</f>
        <v/>
      </c>
      <c r="K90" t="str">
        <f>IF(VLOOKUP($A90,Sheet1!$A:$AA,MATCH(K$1,Sheet1!$A$1:$AA$1,0),FALSE)=0,"",VLOOKUP($A90,Sheet1!$A:$AA,MATCH(K$1,Sheet1!$A$1:$AA$1,0),FALSE))</f>
        <v>ANDALUZA</v>
      </c>
      <c r="L90" t="str">
        <f>IF(VLOOKUP($A90,Sheet1!$A:$AA,MATCH(L$1,Sheet1!$A$1:$AA$1,0),FALSE)=0,"",VLOOKUP($A90,Sheet1!$A:$AA,MATCH(L$1,Sheet1!$A$1:$AA$1,0),FALSE))</f>
        <v/>
      </c>
      <c r="M90" t="str">
        <f>IF(VLOOKUP($A90,Sheet1!$A:$AA,MATCH(M$1,Sheet1!$A$1:$AA$1,0),FALSE)=0,"",VLOOKUP($A90,Sheet1!$A:$AA,MATCH(M$1,Sheet1!$A$1:$AA$1,0),FALSE))</f>
        <v/>
      </c>
      <c r="N90" t="str">
        <f>IF(VLOOKUP($A90,Sheet1!$A:$AA,MATCH(N$1,Sheet1!$A$1:$AA$1,0),FALSE)=0,"",VLOOKUP($A90,Sheet1!$A:$AA,MATCH(N$1,Sheet1!$A$1:$AA$1,0),FALSE))</f>
        <v/>
      </c>
      <c r="O90" t="str">
        <f>IF(VLOOKUP($A90,Sheet1!$A:$AA,MATCH(O$1,Sheet1!$A$1:$AA$1,0),FALSE)=0,"",VLOOKUP($A90,Sheet1!$A:$AA,MATCH(O$1,Sheet1!$A$1:$AA$1,0),FALSE))</f>
        <v/>
      </c>
      <c r="P90" t="str">
        <f>IF(VLOOKUP($A90,Sheet1!$A:$AA,MATCH(P$1,Sheet1!$A$1:$AA$1,0),FALSE)=0,"",VLOOKUP($A90,Sheet1!$A:$AA,MATCH(P$1,Sheet1!$A$1:$AA$1,0),FALSE))</f>
        <v/>
      </c>
      <c r="Q90" t="str">
        <f>IF(VLOOKUP($A90,Sheet1!$A:$AA,MATCH(Q$1,Sheet1!$A$1:$AA$1,0),FALSE)=0,"",VLOOKUP($A90,Sheet1!$A:$AA,MATCH(Q$1,Sheet1!$A$1:$AA$1,0),FALSE))</f>
        <v>M</v>
      </c>
      <c r="R90" s="2" t="str">
        <f>IF(VLOOKUP($A90,Sheet1!$A:$AA,MATCH(R$1,Sheet1!$A$1:$AA$1,0),FALSE)=0,"",VLOOKUP($A90,Sheet1!$A:$AA,MATCH(R$1,Sheet1!$A$1:$AA$1,0),FALSE))</f>
        <v>01/01/1979</v>
      </c>
      <c r="AA90">
        <f ca="1">IF(VLOOKUP($A90,Sheet1!$A:$AA,MATCH(AA$1,Sheet1!$A$1:$AA$1,0),FALSE)=0,"",VLOOKUP($A90,Sheet1!$A:$AA,MATCH(AA$1,Sheet1!$A$1:$AA$1,0),FALSE))</f>
        <v>46</v>
      </c>
    </row>
    <row r="91" spans="1:27" x14ac:dyDescent="0.25">
      <c r="A91">
        <v>16969232</v>
      </c>
      <c r="B91" t="str">
        <f>IF(VLOOKUP($A91,Sheet1!$A:$AA,MATCH(B$1,Sheet1!$A$1:$AA$1,0),FALSE)=0,"",VLOOKUP($A91,Sheet1!$A:$AA,MATCH(B$1,Sheet1!$A$1:$AA$1,0),FALSE))</f>
        <v>Gomez, Maria Luisa</v>
      </c>
      <c r="C91" t="str">
        <f>IF(VLOOKUP($A91,Sheet1!$A:$AA,MATCH(C$1,Sheet1!$A$1:$AA$1,0),FALSE)=0,"",VLOOKUP($A91,Sheet1!$A:$AA,MATCH(C$1,Sheet1!$A$1:$AA$1,0),FALSE))</f>
        <v>Gomez</v>
      </c>
      <c r="D91" t="str">
        <f>IF(VLOOKUP($A91,Sheet1!$A:$AA,MATCH(D$1,Sheet1!$A$1:$AA$1,0),FALSE)=0,"",VLOOKUP($A91,Sheet1!$A:$AA,MATCH(D$1,Sheet1!$A$1:$AA$1,0),FALSE))</f>
        <v>Maria Luisa</v>
      </c>
      <c r="E91" t="str">
        <f>IF(VLOOKUP($A91,Sheet1!$A:$AA,MATCH(E$1,Sheet1!$A$1:$AA$1,0),FALSE)=0,"",VLOOKUP($A91,Sheet1!$A:$AA,MATCH(E$1,Sheet1!$A$1:$AA$1,0),FALSE))</f>
        <v/>
      </c>
      <c r="F91" t="str">
        <f>IF(VLOOKUP($A91,Sheet1!$A:$AA,MATCH(F$1,Sheet1!$A$1:$AA$1,0),FALSE)=0,"",VLOOKUP($A91,Sheet1!$A:$AA,MATCH(F$1,Sheet1!$A$1:$AA$1,0),FALSE))</f>
        <v/>
      </c>
      <c r="G91" t="str">
        <f>IF(VLOOKUP($A91,Sheet1!$A:$AA,MATCH(G$1,Sheet1!$A$1:$AA$1,0),FALSE)=0,"",VLOOKUP($A91,Sheet1!$A:$AA,MATCH(G$1,Sheet1!$A$1:$AA$1,0),FALSE))</f>
        <v/>
      </c>
      <c r="H91" t="str">
        <f>IF(VLOOKUP($A91,Sheet1!$A:$AA,MATCH(H$1,Sheet1!$A$1:$AA$1,0),FALSE)=0,"",VLOOKUP($A91,Sheet1!$A:$AA,MATCH(H$1,Sheet1!$A$1:$AA$1,0),FALSE))</f>
        <v/>
      </c>
      <c r="I91" t="str">
        <f>IF(VLOOKUP($A91,Sheet1!$A:$AA,MATCH(I$1,Sheet1!$A$1:$AA$1,0),FALSE)=0,"",VLOOKUP($A91,Sheet1!$A:$AA,MATCH(I$1,Sheet1!$A$1:$AA$1,0),FALSE))</f>
        <v/>
      </c>
      <c r="J91" t="str">
        <f>IF(VLOOKUP($A91,Sheet1!$A:$AA,MATCH(J$1,Sheet1!$A$1:$AA$1,0),FALSE)=0,"",VLOOKUP($A91,Sheet1!$A:$AA,MATCH(J$1,Sheet1!$A$1:$AA$1,0),FALSE))</f>
        <v/>
      </c>
      <c r="K91" t="str">
        <f>IF(VLOOKUP($A91,Sheet1!$A:$AA,MATCH(K$1,Sheet1!$A$1:$AA$1,0),FALSE)=0,"",VLOOKUP($A91,Sheet1!$A:$AA,MATCH(K$1,Sheet1!$A$1:$AA$1,0),FALSE))</f>
        <v>ANDALUZA</v>
      </c>
      <c r="L91" t="str">
        <f>IF(VLOOKUP($A91,Sheet1!$A:$AA,MATCH(L$1,Sheet1!$A$1:$AA$1,0),FALSE)=0,"",VLOOKUP($A91,Sheet1!$A:$AA,MATCH(L$1,Sheet1!$A$1:$AA$1,0),FALSE))</f>
        <v/>
      </c>
      <c r="M91" t="str">
        <f>IF(VLOOKUP($A91,Sheet1!$A:$AA,MATCH(M$1,Sheet1!$A$1:$AA$1,0),FALSE)=0,"",VLOOKUP($A91,Sheet1!$A:$AA,MATCH(M$1,Sheet1!$A$1:$AA$1,0),FALSE))</f>
        <v/>
      </c>
      <c r="N91" t="str">
        <f>IF(VLOOKUP($A91,Sheet1!$A:$AA,MATCH(N$1,Sheet1!$A$1:$AA$1,0),FALSE)=0,"",VLOOKUP($A91,Sheet1!$A:$AA,MATCH(N$1,Sheet1!$A$1:$AA$1,0),FALSE))</f>
        <v/>
      </c>
      <c r="O91" t="str">
        <f>IF(VLOOKUP($A91,Sheet1!$A:$AA,MATCH(O$1,Sheet1!$A$1:$AA$1,0),FALSE)=0,"",VLOOKUP($A91,Sheet1!$A:$AA,MATCH(O$1,Sheet1!$A$1:$AA$1,0),FALSE))</f>
        <v/>
      </c>
      <c r="P91" t="str">
        <f>IF(VLOOKUP($A91,Sheet1!$A:$AA,MATCH(P$1,Sheet1!$A$1:$AA$1,0),FALSE)=0,"",VLOOKUP($A91,Sheet1!$A:$AA,MATCH(P$1,Sheet1!$A$1:$AA$1,0),FALSE))</f>
        <v/>
      </c>
      <c r="Q91" t="str">
        <f>IF(VLOOKUP($A91,Sheet1!$A:$AA,MATCH(Q$1,Sheet1!$A$1:$AA$1,0),FALSE)=0,"",VLOOKUP($A91,Sheet1!$A:$AA,MATCH(Q$1,Sheet1!$A$1:$AA$1,0),FALSE))</f>
        <v>F</v>
      </c>
      <c r="R91" s="2" t="str">
        <f>IF(VLOOKUP($A91,Sheet1!$A:$AA,MATCH(R$1,Sheet1!$A$1:$AA$1,0),FALSE)=0,"",VLOOKUP($A91,Sheet1!$A:$AA,MATCH(R$1,Sheet1!$A$1:$AA$1,0),FALSE))</f>
        <v>01/01/1976</v>
      </c>
      <c r="AA91">
        <f ca="1">IF(VLOOKUP($A91,Sheet1!$A:$AA,MATCH(AA$1,Sheet1!$A$1:$AA$1,0),FALSE)=0,"",VLOOKUP($A91,Sheet1!$A:$AA,MATCH(AA$1,Sheet1!$A$1:$AA$1,0),FALSE))</f>
        <v>49</v>
      </c>
    </row>
    <row r="92" spans="1:27" x14ac:dyDescent="0.25">
      <c r="A92">
        <v>16969258</v>
      </c>
      <c r="B92" t="str">
        <f>IF(VLOOKUP($A92,Sheet1!$A:$AA,MATCH(B$1,Sheet1!$A$1:$AA$1,0),FALSE)=0,"",VLOOKUP($A92,Sheet1!$A:$AA,MATCH(B$1,Sheet1!$A$1:$AA$1,0),FALSE))</f>
        <v>Carmona, Alberto</v>
      </c>
      <c r="C92" t="str">
        <f>IF(VLOOKUP($A92,Sheet1!$A:$AA,MATCH(C$1,Sheet1!$A$1:$AA$1,0),FALSE)=0,"",VLOOKUP($A92,Sheet1!$A:$AA,MATCH(C$1,Sheet1!$A$1:$AA$1,0),FALSE))</f>
        <v>Carmona</v>
      </c>
      <c r="D92" t="str">
        <f>IF(VLOOKUP($A92,Sheet1!$A:$AA,MATCH(D$1,Sheet1!$A$1:$AA$1,0),FALSE)=0,"",VLOOKUP($A92,Sheet1!$A:$AA,MATCH(D$1,Sheet1!$A$1:$AA$1,0),FALSE))</f>
        <v>Alberto</v>
      </c>
      <c r="E92" t="str">
        <f>IF(VLOOKUP($A92,Sheet1!$A:$AA,MATCH(E$1,Sheet1!$A$1:$AA$1,0),FALSE)=0,"",VLOOKUP($A92,Sheet1!$A:$AA,MATCH(E$1,Sheet1!$A$1:$AA$1,0),FALSE))</f>
        <v/>
      </c>
      <c r="F92" t="str">
        <f>IF(VLOOKUP($A92,Sheet1!$A:$AA,MATCH(F$1,Sheet1!$A$1:$AA$1,0),FALSE)=0,"",VLOOKUP($A92,Sheet1!$A:$AA,MATCH(F$1,Sheet1!$A$1:$AA$1,0),FALSE))</f>
        <v/>
      </c>
      <c r="G92" t="str">
        <f>IF(VLOOKUP($A92,Sheet1!$A:$AA,MATCH(G$1,Sheet1!$A$1:$AA$1,0),FALSE)=0,"",VLOOKUP($A92,Sheet1!$A:$AA,MATCH(G$1,Sheet1!$A$1:$AA$1,0),FALSE))</f>
        <v/>
      </c>
      <c r="H92" t="str">
        <f>IF(VLOOKUP($A92,Sheet1!$A:$AA,MATCH(H$1,Sheet1!$A$1:$AA$1,0),FALSE)=0,"",VLOOKUP($A92,Sheet1!$A:$AA,MATCH(H$1,Sheet1!$A$1:$AA$1,0),FALSE))</f>
        <v/>
      </c>
      <c r="I92" t="str">
        <f>IF(VLOOKUP($A92,Sheet1!$A:$AA,MATCH(I$1,Sheet1!$A$1:$AA$1,0),FALSE)=0,"",VLOOKUP($A92,Sheet1!$A:$AA,MATCH(I$1,Sheet1!$A$1:$AA$1,0),FALSE))</f>
        <v/>
      </c>
      <c r="J92" t="str">
        <f>IF(VLOOKUP($A92,Sheet1!$A:$AA,MATCH(J$1,Sheet1!$A$1:$AA$1,0),FALSE)=0,"",VLOOKUP($A92,Sheet1!$A:$AA,MATCH(J$1,Sheet1!$A$1:$AA$1,0),FALSE))</f>
        <v/>
      </c>
      <c r="K92" t="str">
        <f>IF(VLOOKUP($A92,Sheet1!$A:$AA,MATCH(K$1,Sheet1!$A$1:$AA$1,0),FALSE)=0,"",VLOOKUP($A92,Sheet1!$A:$AA,MATCH(K$1,Sheet1!$A$1:$AA$1,0),FALSE))</f>
        <v>ANDALUZA</v>
      </c>
      <c r="L92" t="str">
        <f>IF(VLOOKUP($A92,Sheet1!$A:$AA,MATCH(L$1,Sheet1!$A$1:$AA$1,0),FALSE)=0,"",VLOOKUP($A92,Sheet1!$A:$AA,MATCH(L$1,Sheet1!$A$1:$AA$1,0),FALSE))</f>
        <v/>
      </c>
      <c r="M92" t="str">
        <f>IF(VLOOKUP($A92,Sheet1!$A:$AA,MATCH(M$1,Sheet1!$A$1:$AA$1,0),FALSE)=0,"",VLOOKUP($A92,Sheet1!$A:$AA,MATCH(M$1,Sheet1!$A$1:$AA$1,0),FALSE))</f>
        <v/>
      </c>
      <c r="N92" t="str">
        <f>IF(VLOOKUP($A92,Sheet1!$A:$AA,MATCH(N$1,Sheet1!$A$1:$AA$1,0),FALSE)=0,"",VLOOKUP($A92,Sheet1!$A:$AA,MATCH(N$1,Sheet1!$A$1:$AA$1,0),FALSE))</f>
        <v/>
      </c>
      <c r="O92" t="str">
        <f>IF(VLOOKUP($A92,Sheet1!$A:$AA,MATCH(O$1,Sheet1!$A$1:$AA$1,0),FALSE)=0,"",VLOOKUP($A92,Sheet1!$A:$AA,MATCH(O$1,Sheet1!$A$1:$AA$1,0),FALSE))</f>
        <v/>
      </c>
      <c r="P92" t="str">
        <f>IF(VLOOKUP($A92,Sheet1!$A:$AA,MATCH(P$1,Sheet1!$A$1:$AA$1,0),FALSE)=0,"",VLOOKUP($A92,Sheet1!$A:$AA,MATCH(P$1,Sheet1!$A$1:$AA$1,0),FALSE))</f>
        <v/>
      </c>
      <c r="Q92" t="str">
        <f>IF(VLOOKUP($A92,Sheet1!$A:$AA,MATCH(Q$1,Sheet1!$A$1:$AA$1,0),FALSE)=0,"",VLOOKUP($A92,Sheet1!$A:$AA,MATCH(Q$1,Sheet1!$A$1:$AA$1,0),FALSE))</f>
        <v>M</v>
      </c>
      <c r="R92" s="2" t="str">
        <f>IF(VLOOKUP($A92,Sheet1!$A:$AA,MATCH(R$1,Sheet1!$A$1:$AA$1,0),FALSE)=0,"",VLOOKUP($A92,Sheet1!$A:$AA,MATCH(R$1,Sheet1!$A$1:$AA$1,0),FALSE))</f>
        <v>01/01/1999</v>
      </c>
      <c r="AA92">
        <f ca="1">IF(VLOOKUP($A92,Sheet1!$A:$AA,MATCH(AA$1,Sheet1!$A$1:$AA$1,0),FALSE)=0,"",VLOOKUP($A92,Sheet1!$A:$AA,MATCH(AA$1,Sheet1!$A$1:$AA$1,0),FALSE))</f>
        <v>26</v>
      </c>
    </row>
    <row r="93" spans="1:27" x14ac:dyDescent="0.25">
      <c r="A93">
        <v>16969266</v>
      </c>
      <c r="B93" t="str">
        <f>IF(VLOOKUP($A93,Sheet1!$A:$AA,MATCH(B$1,Sheet1!$A$1:$AA$1,0),FALSE)=0,"",VLOOKUP($A93,Sheet1!$A:$AA,MATCH(B$1,Sheet1!$A$1:$AA$1,0),FALSE))</f>
        <v>Sanchez, Mari Toñi</v>
      </c>
      <c r="C93" t="str">
        <f>IF(VLOOKUP($A93,Sheet1!$A:$AA,MATCH(C$1,Sheet1!$A$1:$AA$1,0),FALSE)=0,"",VLOOKUP($A93,Sheet1!$A:$AA,MATCH(C$1,Sheet1!$A$1:$AA$1,0),FALSE))</f>
        <v>Sanchez</v>
      </c>
      <c r="D93" t="str">
        <f>IF(VLOOKUP($A93,Sheet1!$A:$AA,MATCH(D$1,Sheet1!$A$1:$AA$1,0),FALSE)=0,"",VLOOKUP($A93,Sheet1!$A:$AA,MATCH(D$1,Sheet1!$A$1:$AA$1,0),FALSE))</f>
        <v>Mari Toñi</v>
      </c>
      <c r="E93" t="str">
        <f>IF(VLOOKUP($A93,Sheet1!$A:$AA,MATCH(E$1,Sheet1!$A$1:$AA$1,0),FALSE)=0,"",VLOOKUP($A93,Sheet1!$A:$AA,MATCH(E$1,Sheet1!$A$1:$AA$1,0),FALSE))</f>
        <v/>
      </c>
      <c r="F93" t="str">
        <f>IF(VLOOKUP($A93,Sheet1!$A:$AA,MATCH(F$1,Sheet1!$A$1:$AA$1,0),FALSE)=0,"",VLOOKUP($A93,Sheet1!$A:$AA,MATCH(F$1,Sheet1!$A$1:$AA$1,0),FALSE))</f>
        <v/>
      </c>
      <c r="G93" t="str">
        <f>IF(VLOOKUP($A93,Sheet1!$A:$AA,MATCH(G$1,Sheet1!$A$1:$AA$1,0),FALSE)=0,"",VLOOKUP($A93,Sheet1!$A:$AA,MATCH(G$1,Sheet1!$A$1:$AA$1,0),FALSE))</f>
        <v/>
      </c>
      <c r="H93" t="str">
        <f>IF(VLOOKUP($A93,Sheet1!$A:$AA,MATCH(H$1,Sheet1!$A$1:$AA$1,0),FALSE)=0,"",VLOOKUP($A93,Sheet1!$A:$AA,MATCH(H$1,Sheet1!$A$1:$AA$1,0),FALSE))</f>
        <v/>
      </c>
      <c r="I93" t="str">
        <f>IF(VLOOKUP($A93,Sheet1!$A:$AA,MATCH(I$1,Sheet1!$A$1:$AA$1,0),FALSE)=0,"",VLOOKUP($A93,Sheet1!$A:$AA,MATCH(I$1,Sheet1!$A$1:$AA$1,0),FALSE))</f>
        <v/>
      </c>
      <c r="J93" t="str">
        <f>IF(VLOOKUP($A93,Sheet1!$A:$AA,MATCH(J$1,Sheet1!$A$1:$AA$1,0),FALSE)=0,"",VLOOKUP($A93,Sheet1!$A:$AA,MATCH(J$1,Sheet1!$A$1:$AA$1,0),FALSE))</f>
        <v/>
      </c>
      <c r="K93" t="str">
        <f>IF(VLOOKUP($A93,Sheet1!$A:$AA,MATCH(K$1,Sheet1!$A$1:$AA$1,0),FALSE)=0,"",VLOOKUP($A93,Sheet1!$A:$AA,MATCH(K$1,Sheet1!$A$1:$AA$1,0),FALSE))</f>
        <v>ANDALUZA</v>
      </c>
      <c r="L93" t="str">
        <f>IF(VLOOKUP($A93,Sheet1!$A:$AA,MATCH(L$1,Sheet1!$A$1:$AA$1,0),FALSE)=0,"",VLOOKUP($A93,Sheet1!$A:$AA,MATCH(L$1,Sheet1!$A$1:$AA$1,0),FALSE))</f>
        <v/>
      </c>
      <c r="M93" t="str">
        <f>IF(VLOOKUP($A93,Sheet1!$A:$AA,MATCH(M$1,Sheet1!$A$1:$AA$1,0),FALSE)=0,"",VLOOKUP($A93,Sheet1!$A:$AA,MATCH(M$1,Sheet1!$A$1:$AA$1,0),FALSE))</f>
        <v/>
      </c>
      <c r="N93" t="str">
        <f>IF(VLOOKUP($A93,Sheet1!$A:$AA,MATCH(N$1,Sheet1!$A$1:$AA$1,0),FALSE)=0,"",VLOOKUP($A93,Sheet1!$A:$AA,MATCH(N$1,Sheet1!$A$1:$AA$1,0),FALSE))</f>
        <v/>
      </c>
      <c r="O93" t="str">
        <f>IF(VLOOKUP($A93,Sheet1!$A:$AA,MATCH(O$1,Sheet1!$A$1:$AA$1,0),FALSE)=0,"",VLOOKUP($A93,Sheet1!$A:$AA,MATCH(O$1,Sheet1!$A$1:$AA$1,0),FALSE))</f>
        <v/>
      </c>
      <c r="P93" t="str">
        <f>IF(VLOOKUP($A93,Sheet1!$A:$AA,MATCH(P$1,Sheet1!$A$1:$AA$1,0),FALSE)=0,"",VLOOKUP($A93,Sheet1!$A:$AA,MATCH(P$1,Sheet1!$A$1:$AA$1,0),FALSE))</f>
        <v/>
      </c>
      <c r="Q93" t="str">
        <f>IF(VLOOKUP($A93,Sheet1!$A:$AA,MATCH(Q$1,Sheet1!$A$1:$AA$1,0),FALSE)=0,"",VLOOKUP($A93,Sheet1!$A:$AA,MATCH(Q$1,Sheet1!$A$1:$AA$1,0),FALSE))</f>
        <v>F</v>
      </c>
      <c r="R93" s="2" t="str">
        <f>IF(VLOOKUP($A93,Sheet1!$A:$AA,MATCH(R$1,Sheet1!$A$1:$AA$1,0),FALSE)=0,"",VLOOKUP($A93,Sheet1!$A:$AA,MATCH(R$1,Sheet1!$A$1:$AA$1,0),FALSE))</f>
        <v>01/01/1981</v>
      </c>
      <c r="AA93">
        <f ca="1">IF(VLOOKUP($A93,Sheet1!$A:$AA,MATCH(AA$1,Sheet1!$A$1:$AA$1,0),FALSE)=0,"",VLOOKUP($A93,Sheet1!$A:$AA,MATCH(AA$1,Sheet1!$A$1:$AA$1,0),FALSE))</f>
        <v>44</v>
      </c>
    </row>
    <row r="94" spans="1:27" x14ac:dyDescent="0.25">
      <c r="A94">
        <v>16969399</v>
      </c>
      <c r="B94" t="str">
        <f>IF(VLOOKUP($A94,Sheet1!$A:$AA,MATCH(B$1,Sheet1!$A$1:$AA$1,0),FALSE)=0,"",VLOOKUP($A94,Sheet1!$A:$AA,MATCH(B$1,Sheet1!$A$1:$AA$1,0),FALSE))</f>
        <v>Elyse, Malka</v>
      </c>
      <c r="C94" t="str">
        <f>IF(VLOOKUP($A94,Sheet1!$A:$AA,MATCH(C$1,Sheet1!$A$1:$AA$1,0),FALSE)=0,"",VLOOKUP($A94,Sheet1!$A:$AA,MATCH(C$1,Sheet1!$A$1:$AA$1,0),FALSE))</f>
        <v>Elyse</v>
      </c>
      <c r="D94" t="str">
        <f>IF(VLOOKUP($A94,Sheet1!$A:$AA,MATCH(D$1,Sheet1!$A$1:$AA$1,0),FALSE)=0,"",VLOOKUP($A94,Sheet1!$A:$AA,MATCH(D$1,Sheet1!$A$1:$AA$1,0),FALSE))</f>
        <v>Malka</v>
      </c>
      <c r="E94" t="str">
        <f>IF(VLOOKUP($A94,Sheet1!$A:$AA,MATCH(E$1,Sheet1!$A$1:$AA$1,0),FALSE)=0,"",VLOOKUP($A94,Sheet1!$A:$AA,MATCH(E$1,Sheet1!$A$1:$AA$1,0),FALSE))</f>
        <v/>
      </c>
      <c r="F94" t="str">
        <f>IF(VLOOKUP($A94,Sheet1!$A:$AA,MATCH(F$1,Sheet1!$A$1:$AA$1,0),FALSE)=0,"",VLOOKUP($A94,Sheet1!$A:$AA,MATCH(F$1,Sheet1!$A$1:$AA$1,0),FALSE))</f>
        <v/>
      </c>
      <c r="G94" t="str">
        <f>IF(VLOOKUP($A94,Sheet1!$A:$AA,MATCH(G$1,Sheet1!$A$1:$AA$1,0),FALSE)=0,"",VLOOKUP($A94,Sheet1!$A:$AA,MATCH(G$1,Sheet1!$A$1:$AA$1,0),FALSE))</f>
        <v/>
      </c>
      <c r="H94" t="str">
        <f>IF(VLOOKUP($A94,Sheet1!$A:$AA,MATCH(H$1,Sheet1!$A$1:$AA$1,0),FALSE)=0,"",VLOOKUP($A94,Sheet1!$A:$AA,MATCH(H$1,Sheet1!$A$1:$AA$1,0),FALSE))</f>
        <v/>
      </c>
      <c r="I94" t="str">
        <f>IF(VLOOKUP($A94,Sheet1!$A:$AA,MATCH(I$1,Sheet1!$A$1:$AA$1,0),FALSE)=0,"",VLOOKUP($A94,Sheet1!$A:$AA,MATCH(I$1,Sheet1!$A$1:$AA$1,0),FALSE))</f>
        <v/>
      </c>
      <c r="J94" t="str">
        <f>IF(VLOOKUP($A94,Sheet1!$A:$AA,MATCH(J$1,Sheet1!$A$1:$AA$1,0),FALSE)=0,"",VLOOKUP($A94,Sheet1!$A:$AA,MATCH(J$1,Sheet1!$A$1:$AA$1,0),FALSE))</f>
        <v/>
      </c>
      <c r="K94" t="str">
        <f>IF(VLOOKUP($A94,Sheet1!$A:$AA,MATCH(K$1,Sheet1!$A$1:$AA$1,0),FALSE)=0,"",VLOOKUP($A94,Sheet1!$A:$AA,MATCH(K$1,Sheet1!$A$1:$AA$1,0),FALSE))</f>
        <v>ANDALUZA</v>
      </c>
      <c r="L94" t="str">
        <f>IF(VLOOKUP($A94,Sheet1!$A:$AA,MATCH(L$1,Sheet1!$A$1:$AA$1,0),FALSE)=0,"",VLOOKUP($A94,Sheet1!$A:$AA,MATCH(L$1,Sheet1!$A$1:$AA$1,0),FALSE))</f>
        <v/>
      </c>
      <c r="M94" t="str">
        <f>IF(VLOOKUP($A94,Sheet1!$A:$AA,MATCH(M$1,Sheet1!$A$1:$AA$1,0),FALSE)=0,"",VLOOKUP($A94,Sheet1!$A:$AA,MATCH(M$1,Sheet1!$A$1:$AA$1,0),FALSE))</f>
        <v/>
      </c>
      <c r="N94" t="str">
        <f>IF(VLOOKUP($A94,Sheet1!$A:$AA,MATCH(N$1,Sheet1!$A$1:$AA$1,0),FALSE)=0,"",VLOOKUP($A94,Sheet1!$A:$AA,MATCH(N$1,Sheet1!$A$1:$AA$1,0),FALSE))</f>
        <v/>
      </c>
      <c r="O94" t="str">
        <f>IF(VLOOKUP($A94,Sheet1!$A:$AA,MATCH(O$1,Sheet1!$A$1:$AA$1,0),FALSE)=0,"",VLOOKUP($A94,Sheet1!$A:$AA,MATCH(O$1,Sheet1!$A$1:$AA$1,0),FALSE))</f>
        <v/>
      </c>
      <c r="P94" t="str">
        <f>IF(VLOOKUP($A94,Sheet1!$A:$AA,MATCH(P$1,Sheet1!$A$1:$AA$1,0),FALSE)=0,"",VLOOKUP($A94,Sheet1!$A:$AA,MATCH(P$1,Sheet1!$A$1:$AA$1,0),FALSE))</f>
        <v/>
      </c>
      <c r="Q94" t="str">
        <f>IF(VLOOKUP($A94,Sheet1!$A:$AA,MATCH(Q$1,Sheet1!$A$1:$AA$1,0),FALSE)=0,"",VLOOKUP($A94,Sheet1!$A:$AA,MATCH(Q$1,Sheet1!$A$1:$AA$1,0),FALSE))</f>
        <v>F</v>
      </c>
      <c r="R94" s="2" t="str">
        <f>IF(VLOOKUP($A94,Sheet1!$A:$AA,MATCH(R$1,Sheet1!$A$1:$AA$1,0),FALSE)=0,"",VLOOKUP($A94,Sheet1!$A:$AA,MATCH(R$1,Sheet1!$A$1:$AA$1,0),FALSE))</f>
        <v>01/01/2000</v>
      </c>
      <c r="AA94">
        <f ca="1">IF(VLOOKUP($A94,Sheet1!$A:$AA,MATCH(AA$1,Sheet1!$A$1:$AA$1,0),FALSE)=0,"",VLOOKUP($A94,Sheet1!$A:$AA,MATCH(AA$1,Sheet1!$A$1:$AA$1,0),FALSE))</f>
        <v>25</v>
      </c>
    </row>
    <row r="95" spans="1:27" x14ac:dyDescent="0.25">
      <c r="A95">
        <v>16969745</v>
      </c>
      <c r="B95" t="str">
        <f>IF(VLOOKUP($A95,Sheet1!$A:$AA,MATCH(B$1,Sheet1!$A$1:$AA$1,0),FALSE)=0,"",VLOOKUP($A95,Sheet1!$A:$AA,MATCH(B$1,Sheet1!$A$1:$AA$1,0),FALSE))</f>
        <v>Ruiz, Sergio</v>
      </c>
      <c r="C95" t="str">
        <f>IF(VLOOKUP($A95,Sheet1!$A:$AA,MATCH(C$1,Sheet1!$A$1:$AA$1,0),FALSE)=0,"",VLOOKUP($A95,Sheet1!$A:$AA,MATCH(C$1,Sheet1!$A$1:$AA$1,0),FALSE))</f>
        <v>Ruiz</v>
      </c>
      <c r="D95" t="str">
        <f>IF(VLOOKUP($A95,Sheet1!$A:$AA,MATCH(D$1,Sheet1!$A$1:$AA$1,0),FALSE)=0,"",VLOOKUP($A95,Sheet1!$A:$AA,MATCH(D$1,Sheet1!$A$1:$AA$1,0),FALSE))</f>
        <v>Sergio</v>
      </c>
      <c r="E95" t="str">
        <f>IF(VLOOKUP($A95,Sheet1!$A:$AA,MATCH(E$1,Sheet1!$A$1:$AA$1,0),FALSE)=0,"",VLOOKUP($A95,Sheet1!$A:$AA,MATCH(E$1,Sheet1!$A$1:$AA$1,0),FALSE))</f>
        <v/>
      </c>
      <c r="F95" t="str">
        <f>IF(VLOOKUP($A95,Sheet1!$A:$AA,MATCH(F$1,Sheet1!$A$1:$AA$1,0),FALSE)=0,"",VLOOKUP($A95,Sheet1!$A:$AA,MATCH(F$1,Sheet1!$A$1:$AA$1,0),FALSE))</f>
        <v/>
      </c>
      <c r="G95" t="str">
        <f>IF(VLOOKUP($A95,Sheet1!$A:$AA,MATCH(G$1,Sheet1!$A$1:$AA$1,0),FALSE)=0,"",VLOOKUP($A95,Sheet1!$A:$AA,MATCH(G$1,Sheet1!$A$1:$AA$1,0),FALSE))</f>
        <v/>
      </c>
      <c r="H95" t="str">
        <f>IF(VLOOKUP($A95,Sheet1!$A:$AA,MATCH(H$1,Sheet1!$A$1:$AA$1,0),FALSE)=0,"",VLOOKUP($A95,Sheet1!$A:$AA,MATCH(H$1,Sheet1!$A$1:$AA$1,0),FALSE))</f>
        <v/>
      </c>
      <c r="I95" t="str">
        <f>IF(VLOOKUP($A95,Sheet1!$A:$AA,MATCH(I$1,Sheet1!$A$1:$AA$1,0),FALSE)=0,"",VLOOKUP($A95,Sheet1!$A:$AA,MATCH(I$1,Sheet1!$A$1:$AA$1,0),FALSE))</f>
        <v/>
      </c>
      <c r="J95" t="str">
        <f>IF(VLOOKUP($A95,Sheet1!$A:$AA,MATCH(J$1,Sheet1!$A$1:$AA$1,0),FALSE)=0,"",VLOOKUP($A95,Sheet1!$A:$AA,MATCH(J$1,Sheet1!$A$1:$AA$1,0),FALSE))</f>
        <v/>
      </c>
      <c r="K95" t="str">
        <f>IF(VLOOKUP($A95,Sheet1!$A:$AA,MATCH(K$1,Sheet1!$A$1:$AA$1,0),FALSE)=0,"",VLOOKUP($A95,Sheet1!$A:$AA,MATCH(K$1,Sheet1!$A$1:$AA$1,0),FALSE))</f>
        <v>ANDALUZA</v>
      </c>
      <c r="L95" t="str">
        <f>IF(VLOOKUP($A95,Sheet1!$A:$AA,MATCH(L$1,Sheet1!$A$1:$AA$1,0),FALSE)=0,"",VLOOKUP($A95,Sheet1!$A:$AA,MATCH(L$1,Sheet1!$A$1:$AA$1,0),FALSE))</f>
        <v/>
      </c>
      <c r="M95" t="str">
        <f>IF(VLOOKUP($A95,Sheet1!$A:$AA,MATCH(M$1,Sheet1!$A$1:$AA$1,0),FALSE)=0,"",VLOOKUP($A95,Sheet1!$A:$AA,MATCH(M$1,Sheet1!$A$1:$AA$1,0),FALSE))</f>
        <v/>
      </c>
      <c r="N95" t="str">
        <f>IF(VLOOKUP($A95,Sheet1!$A:$AA,MATCH(N$1,Sheet1!$A$1:$AA$1,0),FALSE)=0,"",VLOOKUP($A95,Sheet1!$A:$AA,MATCH(N$1,Sheet1!$A$1:$AA$1,0),FALSE))</f>
        <v/>
      </c>
      <c r="O95" t="str">
        <f>IF(VLOOKUP($A95,Sheet1!$A:$AA,MATCH(O$1,Sheet1!$A$1:$AA$1,0),FALSE)=0,"",VLOOKUP($A95,Sheet1!$A:$AA,MATCH(O$1,Sheet1!$A$1:$AA$1,0),FALSE))</f>
        <v/>
      </c>
      <c r="P95" t="str">
        <f>IF(VLOOKUP($A95,Sheet1!$A:$AA,MATCH(P$1,Sheet1!$A$1:$AA$1,0),FALSE)=0,"",VLOOKUP($A95,Sheet1!$A:$AA,MATCH(P$1,Sheet1!$A$1:$AA$1,0),FALSE))</f>
        <v/>
      </c>
      <c r="Q95" t="str">
        <f>IF(VLOOKUP($A95,Sheet1!$A:$AA,MATCH(Q$1,Sheet1!$A$1:$AA$1,0),FALSE)=0,"",VLOOKUP($A95,Sheet1!$A:$AA,MATCH(Q$1,Sheet1!$A$1:$AA$1,0),FALSE))</f>
        <v>M</v>
      </c>
      <c r="R95" s="2" t="str">
        <f>IF(VLOOKUP($A95,Sheet1!$A:$AA,MATCH(R$1,Sheet1!$A$1:$AA$1,0),FALSE)=0,"",VLOOKUP($A95,Sheet1!$A:$AA,MATCH(R$1,Sheet1!$A$1:$AA$1,0),FALSE))</f>
        <v>01/01/1975</v>
      </c>
      <c r="AA95">
        <f ca="1">IF(VLOOKUP($A95,Sheet1!$A:$AA,MATCH(AA$1,Sheet1!$A$1:$AA$1,0),FALSE)=0,"",VLOOKUP($A95,Sheet1!$A:$AA,MATCH(AA$1,Sheet1!$A$1:$AA$1,0),FALSE))</f>
        <v>50</v>
      </c>
    </row>
    <row r="96" spans="1:27" x14ac:dyDescent="0.25">
      <c r="A96">
        <v>16969753</v>
      </c>
      <c r="B96" t="str">
        <f>IF(VLOOKUP($A96,Sheet1!$A:$AA,MATCH(B$1,Sheet1!$A$1:$AA$1,0),FALSE)=0,"",VLOOKUP($A96,Sheet1!$A:$AA,MATCH(B$1,Sheet1!$A$1:$AA$1,0),FALSE))</f>
        <v>Pérez González, Antonio</v>
      </c>
      <c r="C96" t="str">
        <f>IF(VLOOKUP($A96,Sheet1!$A:$AA,MATCH(C$1,Sheet1!$A$1:$AA$1,0),FALSE)=0,"",VLOOKUP($A96,Sheet1!$A:$AA,MATCH(C$1,Sheet1!$A$1:$AA$1,0),FALSE))</f>
        <v>Pérez González</v>
      </c>
      <c r="D96" t="str">
        <f>IF(VLOOKUP($A96,Sheet1!$A:$AA,MATCH(D$1,Sheet1!$A$1:$AA$1,0),FALSE)=0,"",VLOOKUP($A96,Sheet1!$A:$AA,MATCH(D$1,Sheet1!$A$1:$AA$1,0),FALSE))</f>
        <v>Antonio</v>
      </c>
      <c r="E96" t="str">
        <f>IF(VLOOKUP($A96,Sheet1!$A:$AA,MATCH(E$1,Sheet1!$A$1:$AA$1,0),FALSE)=0,"",VLOOKUP($A96,Sheet1!$A:$AA,MATCH(E$1,Sheet1!$A$1:$AA$1,0),FALSE))</f>
        <v/>
      </c>
      <c r="F96" t="str">
        <f>IF(VLOOKUP($A96,Sheet1!$A:$AA,MATCH(F$1,Sheet1!$A$1:$AA$1,0),FALSE)=0,"",VLOOKUP($A96,Sheet1!$A:$AA,MATCH(F$1,Sheet1!$A$1:$AA$1,0),FALSE))</f>
        <v/>
      </c>
      <c r="G96" t="str">
        <f>IF(VLOOKUP($A96,Sheet1!$A:$AA,MATCH(G$1,Sheet1!$A$1:$AA$1,0),FALSE)=0,"",VLOOKUP($A96,Sheet1!$A:$AA,MATCH(G$1,Sheet1!$A$1:$AA$1,0),FALSE))</f>
        <v/>
      </c>
      <c r="H96" t="str">
        <f>IF(VLOOKUP($A96,Sheet1!$A:$AA,MATCH(H$1,Sheet1!$A$1:$AA$1,0),FALSE)=0,"",VLOOKUP($A96,Sheet1!$A:$AA,MATCH(H$1,Sheet1!$A$1:$AA$1,0),FALSE))</f>
        <v/>
      </c>
      <c r="I96" t="str">
        <f>IF(VLOOKUP($A96,Sheet1!$A:$AA,MATCH(I$1,Sheet1!$A$1:$AA$1,0),FALSE)=0,"",VLOOKUP($A96,Sheet1!$A:$AA,MATCH(I$1,Sheet1!$A$1:$AA$1,0),FALSE))</f>
        <v/>
      </c>
      <c r="J96" t="str">
        <f>IF(VLOOKUP($A96,Sheet1!$A:$AA,MATCH(J$1,Sheet1!$A$1:$AA$1,0),FALSE)=0,"",VLOOKUP($A96,Sheet1!$A:$AA,MATCH(J$1,Sheet1!$A$1:$AA$1,0),FALSE))</f>
        <v/>
      </c>
      <c r="K96" t="str">
        <f>IF(VLOOKUP($A96,Sheet1!$A:$AA,MATCH(K$1,Sheet1!$A$1:$AA$1,0),FALSE)=0,"",VLOOKUP($A96,Sheet1!$A:$AA,MATCH(K$1,Sheet1!$A$1:$AA$1,0),FALSE))</f>
        <v>ANDALUZA</v>
      </c>
      <c r="L96" t="str">
        <f>IF(VLOOKUP($A96,Sheet1!$A:$AA,MATCH(L$1,Sheet1!$A$1:$AA$1,0),FALSE)=0,"",VLOOKUP($A96,Sheet1!$A:$AA,MATCH(L$1,Sheet1!$A$1:$AA$1,0),FALSE))</f>
        <v/>
      </c>
      <c r="M96" t="str">
        <f>IF(VLOOKUP($A96,Sheet1!$A:$AA,MATCH(M$1,Sheet1!$A$1:$AA$1,0),FALSE)=0,"",VLOOKUP($A96,Sheet1!$A:$AA,MATCH(M$1,Sheet1!$A$1:$AA$1,0),FALSE))</f>
        <v/>
      </c>
      <c r="N96" t="str">
        <f>IF(VLOOKUP($A96,Sheet1!$A:$AA,MATCH(N$1,Sheet1!$A$1:$AA$1,0),FALSE)=0,"",VLOOKUP($A96,Sheet1!$A:$AA,MATCH(N$1,Sheet1!$A$1:$AA$1,0),FALSE))</f>
        <v/>
      </c>
      <c r="O96" t="str">
        <f>IF(VLOOKUP($A96,Sheet1!$A:$AA,MATCH(O$1,Sheet1!$A$1:$AA$1,0),FALSE)=0,"",VLOOKUP($A96,Sheet1!$A:$AA,MATCH(O$1,Sheet1!$A$1:$AA$1,0),FALSE))</f>
        <v/>
      </c>
      <c r="P96" t="str">
        <f>IF(VLOOKUP($A96,Sheet1!$A:$AA,MATCH(P$1,Sheet1!$A$1:$AA$1,0),FALSE)=0,"",VLOOKUP($A96,Sheet1!$A:$AA,MATCH(P$1,Sheet1!$A$1:$AA$1,0),FALSE))</f>
        <v/>
      </c>
      <c r="Q96" t="str">
        <f>IF(VLOOKUP($A96,Sheet1!$A:$AA,MATCH(Q$1,Sheet1!$A$1:$AA$1,0),FALSE)=0,"",VLOOKUP($A96,Sheet1!$A:$AA,MATCH(Q$1,Sheet1!$A$1:$AA$1,0),FALSE))</f>
        <v>M</v>
      </c>
      <c r="R96" s="2" t="str">
        <f>IF(VLOOKUP($A96,Sheet1!$A:$AA,MATCH(R$1,Sheet1!$A$1:$AA$1,0),FALSE)=0,"",VLOOKUP($A96,Sheet1!$A:$AA,MATCH(R$1,Sheet1!$A$1:$AA$1,0),FALSE))</f>
        <v>01/01/1999</v>
      </c>
      <c r="AA96">
        <f ca="1">IF(VLOOKUP($A96,Sheet1!$A:$AA,MATCH(AA$1,Sheet1!$A$1:$AA$1,0),FALSE)=0,"",VLOOKUP($A96,Sheet1!$A:$AA,MATCH(AA$1,Sheet1!$A$1:$AA$1,0),FALSE))</f>
        <v>26</v>
      </c>
    </row>
    <row r="97" spans="1:27" x14ac:dyDescent="0.25">
      <c r="A97">
        <v>16970403</v>
      </c>
      <c r="B97" t="str">
        <f>IF(VLOOKUP($A97,Sheet1!$A:$AA,MATCH(B$1,Sheet1!$A$1:$AA$1,0),FALSE)=0,"",VLOOKUP($A97,Sheet1!$A:$AA,MATCH(B$1,Sheet1!$A$1:$AA$1,0),FALSE))</f>
        <v>Fernández Duque, Paco</v>
      </c>
      <c r="C97" t="str">
        <f>IF(VLOOKUP($A97,Sheet1!$A:$AA,MATCH(C$1,Sheet1!$A$1:$AA$1,0),FALSE)=0,"",VLOOKUP($A97,Sheet1!$A:$AA,MATCH(C$1,Sheet1!$A$1:$AA$1,0),FALSE))</f>
        <v>Fernández Duque</v>
      </c>
      <c r="D97" t="str">
        <f>IF(VLOOKUP($A97,Sheet1!$A:$AA,MATCH(D$1,Sheet1!$A$1:$AA$1,0),FALSE)=0,"",VLOOKUP($A97,Sheet1!$A:$AA,MATCH(D$1,Sheet1!$A$1:$AA$1,0),FALSE))</f>
        <v>Paco</v>
      </c>
      <c r="E97" t="str">
        <f>IF(VLOOKUP($A97,Sheet1!$A:$AA,MATCH(E$1,Sheet1!$A$1:$AA$1,0),FALSE)=0,"",VLOOKUP($A97,Sheet1!$A:$AA,MATCH(E$1,Sheet1!$A$1:$AA$1,0),FALSE))</f>
        <v/>
      </c>
      <c r="F97" t="str">
        <f>IF(VLOOKUP($A97,Sheet1!$A:$AA,MATCH(F$1,Sheet1!$A$1:$AA$1,0),FALSE)=0,"",VLOOKUP($A97,Sheet1!$A:$AA,MATCH(F$1,Sheet1!$A$1:$AA$1,0),FALSE))</f>
        <v/>
      </c>
      <c r="G97" t="str">
        <f>IF(VLOOKUP($A97,Sheet1!$A:$AA,MATCH(G$1,Sheet1!$A$1:$AA$1,0),FALSE)=0,"",VLOOKUP($A97,Sheet1!$A:$AA,MATCH(G$1,Sheet1!$A$1:$AA$1,0),FALSE))</f>
        <v/>
      </c>
      <c r="H97" t="str">
        <f>IF(VLOOKUP($A97,Sheet1!$A:$AA,MATCH(H$1,Sheet1!$A$1:$AA$1,0),FALSE)=0,"",VLOOKUP($A97,Sheet1!$A:$AA,MATCH(H$1,Sheet1!$A$1:$AA$1,0),FALSE))</f>
        <v/>
      </c>
      <c r="I97" t="str">
        <f>IF(VLOOKUP($A97,Sheet1!$A:$AA,MATCH(I$1,Sheet1!$A$1:$AA$1,0),FALSE)=0,"",VLOOKUP($A97,Sheet1!$A:$AA,MATCH(I$1,Sheet1!$A$1:$AA$1,0),FALSE))</f>
        <v/>
      </c>
      <c r="J97" t="str">
        <f>IF(VLOOKUP($A97,Sheet1!$A:$AA,MATCH(J$1,Sheet1!$A$1:$AA$1,0),FALSE)=0,"",VLOOKUP($A97,Sheet1!$A:$AA,MATCH(J$1,Sheet1!$A$1:$AA$1,0),FALSE))</f>
        <v/>
      </c>
      <c r="K97" t="str">
        <f>IF(VLOOKUP($A97,Sheet1!$A:$AA,MATCH(K$1,Sheet1!$A$1:$AA$1,0),FALSE)=0,"",VLOOKUP($A97,Sheet1!$A:$AA,MATCH(K$1,Sheet1!$A$1:$AA$1,0),FALSE))</f>
        <v>ANDALUZA</v>
      </c>
      <c r="L97" t="str">
        <f>IF(VLOOKUP($A97,Sheet1!$A:$AA,MATCH(L$1,Sheet1!$A$1:$AA$1,0),FALSE)=0,"",VLOOKUP($A97,Sheet1!$A:$AA,MATCH(L$1,Sheet1!$A$1:$AA$1,0),FALSE))</f>
        <v/>
      </c>
      <c r="M97" t="str">
        <f>IF(VLOOKUP($A97,Sheet1!$A:$AA,MATCH(M$1,Sheet1!$A$1:$AA$1,0),FALSE)=0,"",VLOOKUP($A97,Sheet1!$A:$AA,MATCH(M$1,Sheet1!$A$1:$AA$1,0),FALSE))</f>
        <v/>
      </c>
      <c r="N97" t="str">
        <f>IF(VLOOKUP($A97,Sheet1!$A:$AA,MATCH(N$1,Sheet1!$A$1:$AA$1,0),FALSE)=0,"",VLOOKUP($A97,Sheet1!$A:$AA,MATCH(N$1,Sheet1!$A$1:$AA$1,0),FALSE))</f>
        <v/>
      </c>
      <c r="O97" t="str">
        <f>IF(VLOOKUP($A97,Sheet1!$A:$AA,MATCH(O$1,Sheet1!$A$1:$AA$1,0),FALSE)=0,"",VLOOKUP($A97,Sheet1!$A:$AA,MATCH(O$1,Sheet1!$A$1:$AA$1,0),FALSE))</f>
        <v/>
      </c>
      <c r="P97" t="str">
        <f>IF(VLOOKUP($A97,Sheet1!$A:$AA,MATCH(P$1,Sheet1!$A$1:$AA$1,0),FALSE)=0,"",VLOOKUP($A97,Sheet1!$A:$AA,MATCH(P$1,Sheet1!$A$1:$AA$1,0),FALSE))</f>
        <v/>
      </c>
      <c r="Q97" t="str">
        <f>IF(VLOOKUP($A97,Sheet1!$A:$AA,MATCH(Q$1,Sheet1!$A$1:$AA$1,0),FALSE)=0,"",VLOOKUP($A97,Sheet1!$A:$AA,MATCH(Q$1,Sheet1!$A$1:$AA$1,0),FALSE))</f>
        <v>M</v>
      </c>
      <c r="R97" s="2" t="str">
        <f>IF(VLOOKUP($A97,Sheet1!$A:$AA,MATCH(R$1,Sheet1!$A$1:$AA$1,0),FALSE)=0,"",VLOOKUP($A97,Sheet1!$A:$AA,MATCH(R$1,Sheet1!$A$1:$AA$1,0),FALSE))</f>
        <v>01/01/1958</v>
      </c>
      <c r="AA97">
        <f ca="1">IF(VLOOKUP($A97,Sheet1!$A:$AA,MATCH(AA$1,Sheet1!$A$1:$AA$1,0),FALSE)=0,"",VLOOKUP($A97,Sheet1!$A:$AA,MATCH(AA$1,Sheet1!$A$1:$AA$1,0),FALSE))</f>
        <v>67</v>
      </c>
    </row>
    <row r="98" spans="1:27" x14ac:dyDescent="0.25">
      <c r="A98">
        <v>16970411</v>
      </c>
      <c r="B98" t="str">
        <f>IF(VLOOKUP($A98,Sheet1!$A:$AA,MATCH(B$1,Sheet1!$A$1:$AA$1,0),FALSE)=0,"",VLOOKUP($A98,Sheet1!$A:$AA,MATCH(B$1,Sheet1!$A$1:$AA$1,0),FALSE))</f>
        <v>Lobato, Claudia</v>
      </c>
      <c r="C98" t="str">
        <f>IF(VLOOKUP($A98,Sheet1!$A:$AA,MATCH(C$1,Sheet1!$A$1:$AA$1,0),FALSE)=0,"",VLOOKUP($A98,Sheet1!$A:$AA,MATCH(C$1,Sheet1!$A$1:$AA$1,0),FALSE))</f>
        <v>Lobato</v>
      </c>
      <c r="D98" t="str">
        <f>IF(VLOOKUP($A98,Sheet1!$A:$AA,MATCH(D$1,Sheet1!$A$1:$AA$1,0),FALSE)=0,"",VLOOKUP($A98,Sheet1!$A:$AA,MATCH(D$1,Sheet1!$A$1:$AA$1,0),FALSE))</f>
        <v>Claudia</v>
      </c>
      <c r="E98" t="str">
        <f>IF(VLOOKUP($A98,Sheet1!$A:$AA,MATCH(E$1,Sheet1!$A$1:$AA$1,0),FALSE)=0,"",VLOOKUP($A98,Sheet1!$A:$AA,MATCH(E$1,Sheet1!$A$1:$AA$1,0),FALSE))</f>
        <v/>
      </c>
      <c r="F98" t="str">
        <f>IF(VLOOKUP($A98,Sheet1!$A:$AA,MATCH(F$1,Sheet1!$A$1:$AA$1,0),FALSE)=0,"",VLOOKUP($A98,Sheet1!$A:$AA,MATCH(F$1,Sheet1!$A$1:$AA$1,0),FALSE))</f>
        <v/>
      </c>
      <c r="G98" t="str">
        <f>IF(VLOOKUP($A98,Sheet1!$A:$AA,MATCH(G$1,Sheet1!$A$1:$AA$1,0),FALSE)=0,"",VLOOKUP($A98,Sheet1!$A:$AA,MATCH(G$1,Sheet1!$A$1:$AA$1,0),FALSE))</f>
        <v/>
      </c>
      <c r="H98" t="str">
        <f>IF(VLOOKUP($A98,Sheet1!$A:$AA,MATCH(H$1,Sheet1!$A$1:$AA$1,0),FALSE)=0,"",VLOOKUP($A98,Sheet1!$A:$AA,MATCH(H$1,Sheet1!$A$1:$AA$1,0),FALSE))</f>
        <v/>
      </c>
      <c r="I98" t="str">
        <f>IF(VLOOKUP($A98,Sheet1!$A:$AA,MATCH(I$1,Sheet1!$A$1:$AA$1,0),FALSE)=0,"",VLOOKUP($A98,Sheet1!$A:$AA,MATCH(I$1,Sheet1!$A$1:$AA$1,0),FALSE))</f>
        <v/>
      </c>
      <c r="J98" t="str">
        <f>IF(VLOOKUP($A98,Sheet1!$A:$AA,MATCH(J$1,Sheet1!$A$1:$AA$1,0),FALSE)=0,"",VLOOKUP($A98,Sheet1!$A:$AA,MATCH(J$1,Sheet1!$A$1:$AA$1,0),FALSE))</f>
        <v/>
      </c>
      <c r="K98" t="str">
        <f>IF(VLOOKUP($A98,Sheet1!$A:$AA,MATCH(K$1,Sheet1!$A$1:$AA$1,0),FALSE)=0,"",VLOOKUP($A98,Sheet1!$A:$AA,MATCH(K$1,Sheet1!$A$1:$AA$1,0),FALSE))</f>
        <v>ANDALUZA</v>
      </c>
      <c r="L98" t="str">
        <f>IF(VLOOKUP($A98,Sheet1!$A:$AA,MATCH(L$1,Sheet1!$A$1:$AA$1,0),FALSE)=0,"",VLOOKUP($A98,Sheet1!$A:$AA,MATCH(L$1,Sheet1!$A$1:$AA$1,0),FALSE))</f>
        <v/>
      </c>
      <c r="M98" t="str">
        <f>IF(VLOOKUP($A98,Sheet1!$A:$AA,MATCH(M$1,Sheet1!$A$1:$AA$1,0),FALSE)=0,"",VLOOKUP($A98,Sheet1!$A:$AA,MATCH(M$1,Sheet1!$A$1:$AA$1,0),FALSE))</f>
        <v/>
      </c>
      <c r="N98" t="str">
        <f>IF(VLOOKUP($A98,Sheet1!$A:$AA,MATCH(N$1,Sheet1!$A$1:$AA$1,0),FALSE)=0,"",VLOOKUP($A98,Sheet1!$A:$AA,MATCH(N$1,Sheet1!$A$1:$AA$1,0),FALSE))</f>
        <v/>
      </c>
      <c r="O98" t="str">
        <f>IF(VLOOKUP($A98,Sheet1!$A:$AA,MATCH(O$1,Sheet1!$A$1:$AA$1,0),FALSE)=0,"",VLOOKUP($A98,Sheet1!$A:$AA,MATCH(O$1,Sheet1!$A$1:$AA$1,0),FALSE))</f>
        <v/>
      </c>
      <c r="P98" t="str">
        <f>IF(VLOOKUP($A98,Sheet1!$A:$AA,MATCH(P$1,Sheet1!$A$1:$AA$1,0),FALSE)=0,"",VLOOKUP($A98,Sheet1!$A:$AA,MATCH(P$1,Sheet1!$A$1:$AA$1,0),FALSE))</f>
        <v/>
      </c>
      <c r="Q98" t="str">
        <f>IF(VLOOKUP($A98,Sheet1!$A:$AA,MATCH(Q$1,Sheet1!$A$1:$AA$1,0),FALSE)=0,"",VLOOKUP($A98,Sheet1!$A:$AA,MATCH(Q$1,Sheet1!$A$1:$AA$1,0),FALSE))</f>
        <v>F</v>
      </c>
      <c r="R98" s="2" t="str">
        <f>IF(VLOOKUP($A98,Sheet1!$A:$AA,MATCH(R$1,Sheet1!$A$1:$AA$1,0),FALSE)=0,"",VLOOKUP($A98,Sheet1!$A:$AA,MATCH(R$1,Sheet1!$A$1:$AA$1,0),FALSE))</f>
        <v>01/01/2008</v>
      </c>
      <c r="AA98">
        <f ca="1">IF(VLOOKUP($A98,Sheet1!$A:$AA,MATCH(AA$1,Sheet1!$A$1:$AA$1,0),FALSE)=0,"",VLOOKUP($A98,Sheet1!$A:$AA,MATCH(AA$1,Sheet1!$A$1:$AA$1,0),FALSE))</f>
        <v>17</v>
      </c>
    </row>
    <row r="99" spans="1:27" x14ac:dyDescent="0.25">
      <c r="A99">
        <v>16970429</v>
      </c>
      <c r="B99" t="str">
        <f>IF(VLOOKUP($A99,Sheet1!$A:$AA,MATCH(B$1,Sheet1!$A$1:$AA$1,0),FALSE)=0,"",VLOOKUP($A99,Sheet1!$A:$AA,MATCH(B$1,Sheet1!$A$1:$AA$1,0),FALSE))</f>
        <v>Campos, Juan Pedro</v>
      </c>
      <c r="C99" t="str">
        <f>IF(VLOOKUP($A99,Sheet1!$A:$AA,MATCH(C$1,Sheet1!$A$1:$AA$1,0),FALSE)=0,"",VLOOKUP($A99,Sheet1!$A:$AA,MATCH(C$1,Sheet1!$A$1:$AA$1,0),FALSE))</f>
        <v>Campos</v>
      </c>
      <c r="D99" t="str">
        <f>IF(VLOOKUP($A99,Sheet1!$A:$AA,MATCH(D$1,Sheet1!$A$1:$AA$1,0),FALSE)=0,"",VLOOKUP($A99,Sheet1!$A:$AA,MATCH(D$1,Sheet1!$A$1:$AA$1,0),FALSE))</f>
        <v>Juan Pedro</v>
      </c>
      <c r="E99" t="str">
        <f>IF(VLOOKUP($A99,Sheet1!$A:$AA,MATCH(E$1,Sheet1!$A$1:$AA$1,0),FALSE)=0,"",VLOOKUP($A99,Sheet1!$A:$AA,MATCH(E$1,Sheet1!$A$1:$AA$1,0),FALSE))</f>
        <v/>
      </c>
      <c r="F99" t="str">
        <f>IF(VLOOKUP($A99,Sheet1!$A:$AA,MATCH(F$1,Sheet1!$A$1:$AA$1,0),FALSE)=0,"",VLOOKUP($A99,Sheet1!$A:$AA,MATCH(F$1,Sheet1!$A$1:$AA$1,0),FALSE))</f>
        <v/>
      </c>
      <c r="G99" t="str">
        <f>IF(VLOOKUP($A99,Sheet1!$A:$AA,MATCH(G$1,Sheet1!$A$1:$AA$1,0),FALSE)=0,"",VLOOKUP($A99,Sheet1!$A:$AA,MATCH(G$1,Sheet1!$A$1:$AA$1,0),FALSE))</f>
        <v/>
      </c>
      <c r="H99" t="str">
        <f>IF(VLOOKUP($A99,Sheet1!$A:$AA,MATCH(H$1,Sheet1!$A$1:$AA$1,0),FALSE)=0,"",VLOOKUP($A99,Sheet1!$A:$AA,MATCH(H$1,Sheet1!$A$1:$AA$1,0),FALSE))</f>
        <v/>
      </c>
      <c r="I99" t="str">
        <f>IF(VLOOKUP($A99,Sheet1!$A:$AA,MATCH(I$1,Sheet1!$A$1:$AA$1,0),FALSE)=0,"",VLOOKUP($A99,Sheet1!$A:$AA,MATCH(I$1,Sheet1!$A$1:$AA$1,0),FALSE))</f>
        <v/>
      </c>
      <c r="J99" t="str">
        <f>IF(VLOOKUP($A99,Sheet1!$A:$AA,MATCH(J$1,Sheet1!$A$1:$AA$1,0),FALSE)=0,"",VLOOKUP($A99,Sheet1!$A:$AA,MATCH(J$1,Sheet1!$A$1:$AA$1,0),FALSE))</f>
        <v/>
      </c>
      <c r="K99" t="str">
        <f>IF(VLOOKUP($A99,Sheet1!$A:$AA,MATCH(K$1,Sheet1!$A$1:$AA$1,0),FALSE)=0,"",VLOOKUP($A99,Sheet1!$A:$AA,MATCH(K$1,Sheet1!$A$1:$AA$1,0),FALSE))</f>
        <v>ANDALUZA</v>
      </c>
      <c r="L99" t="str">
        <f>IF(VLOOKUP($A99,Sheet1!$A:$AA,MATCH(L$1,Sheet1!$A$1:$AA$1,0),FALSE)=0,"",VLOOKUP($A99,Sheet1!$A:$AA,MATCH(L$1,Sheet1!$A$1:$AA$1,0),FALSE))</f>
        <v/>
      </c>
      <c r="M99" t="str">
        <f>IF(VLOOKUP($A99,Sheet1!$A:$AA,MATCH(M$1,Sheet1!$A$1:$AA$1,0),FALSE)=0,"",VLOOKUP($A99,Sheet1!$A:$AA,MATCH(M$1,Sheet1!$A$1:$AA$1,0),FALSE))</f>
        <v/>
      </c>
      <c r="N99" t="str">
        <f>IF(VLOOKUP($A99,Sheet1!$A:$AA,MATCH(N$1,Sheet1!$A$1:$AA$1,0),FALSE)=0,"",VLOOKUP($A99,Sheet1!$A:$AA,MATCH(N$1,Sheet1!$A$1:$AA$1,0),FALSE))</f>
        <v/>
      </c>
      <c r="O99" t="str">
        <f>IF(VLOOKUP($A99,Sheet1!$A:$AA,MATCH(O$1,Sheet1!$A$1:$AA$1,0),FALSE)=0,"",VLOOKUP($A99,Sheet1!$A:$AA,MATCH(O$1,Sheet1!$A$1:$AA$1,0),FALSE))</f>
        <v/>
      </c>
      <c r="P99" t="str">
        <f>IF(VLOOKUP($A99,Sheet1!$A:$AA,MATCH(P$1,Sheet1!$A$1:$AA$1,0),FALSE)=0,"",VLOOKUP($A99,Sheet1!$A:$AA,MATCH(P$1,Sheet1!$A$1:$AA$1,0),FALSE))</f>
        <v/>
      </c>
      <c r="Q99" t="str">
        <f>IF(VLOOKUP($A99,Sheet1!$A:$AA,MATCH(Q$1,Sheet1!$A$1:$AA$1,0),FALSE)=0,"",VLOOKUP($A99,Sheet1!$A:$AA,MATCH(Q$1,Sheet1!$A$1:$AA$1,0),FALSE))</f>
        <v>M</v>
      </c>
      <c r="R99" s="2" t="str">
        <f>IF(VLOOKUP($A99,Sheet1!$A:$AA,MATCH(R$1,Sheet1!$A$1:$AA$1,0),FALSE)=0,"",VLOOKUP($A99,Sheet1!$A:$AA,MATCH(R$1,Sheet1!$A$1:$AA$1,0),FALSE))</f>
        <v>01/01/1995</v>
      </c>
      <c r="AA99">
        <f ca="1">IF(VLOOKUP($A99,Sheet1!$A:$AA,MATCH(AA$1,Sheet1!$A$1:$AA$1,0),FALSE)=0,"",VLOOKUP($A99,Sheet1!$A:$AA,MATCH(AA$1,Sheet1!$A$1:$AA$1,0),FALSE))</f>
        <v>30</v>
      </c>
    </row>
    <row r="100" spans="1:27" x14ac:dyDescent="0.25">
      <c r="A100">
        <v>16970437</v>
      </c>
      <c r="B100" t="str">
        <f>IF(VLOOKUP($A100,Sheet1!$A:$AA,MATCH(B$1,Sheet1!$A$1:$AA$1,0),FALSE)=0,"",VLOOKUP($A100,Sheet1!$A:$AA,MATCH(B$1,Sheet1!$A$1:$AA$1,0),FALSE))</f>
        <v>Expósito, Guillermo</v>
      </c>
      <c r="C100" t="str">
        <f>IF(VLOOKUP($A100,Sheet1!$A:$AA,MATCH(C$1,Sheet1!$A$1:$AA$1,0),FALSE)=0,"",VLOOKUP($A100,Sheet1!$A:$AA,MATCH(C$1,Sheet1!$A$1:$AA$1,0),FALSE))</f>
        <v>Expósito</v>
      </c>
      <c r="D100" t="str">
        <f>IF(VLOOKUP($A100,Sheet1!$A:$AA,MATCH(D$1,Sheet1!$A$1:$AA$1,0),FALSE)=0,"",VLOOKUP($A100,Sheet1!$A:$AA,MATCH(D$1,Sheet1!$A$1:$AA$1,0),FALSE))</f>
        <v>Guillermo</v>
      </c>
      <c r="E100" t="str">
        <f>IF(VLOOKUP($A100,Sheet1!$A:$AA,MATCH(E$1,Sheet1!$A$1:$AA$1,0),FALSE)=0,"",VLOOKUP($A100,Sheet1!$A:$AA,MATCH(E$1,Sheet1!$A$1:$AA$1,0),FALSE))</f>
        <v/>
      </c>
      <c r="F100" t="str">
        <f>IF(VLOOKUP($A100,Sheet1!$A:$AA,MATCH(F$1,Sheet1!$A$1:$AA$1,0),FALSE)=0,"",VLOOKUP($A100,Sheet1!$A:$AA,MATCH(F$1,Sheet1!$A$1:$AA$1,0),FALSE))</f>
        <v/>
      </c>
      <c r="G100" t="str">
        <f>IF(VLOOKUP($A100,Sheet1!$A:$AA,MATCH(G$1,Sheet1!$A$1:$AA$1,0),FALSE)=0,"",VLOOKUP($A100,Sheet1!$A:$AA,MATCH(G$1,Sheet1!$A$1:$AA$1,0),FALSE))</f>
        <v/>
      </c>
      <c r="H100" t="str">
        <f>IF(VLOOKUP($A100,Sheet1!$A:$AA,MATCH(H$1,Sheet1!$A$1:$AA$1,0),FALSE)=0,"",VLOOKUP($A100,Sheet1!$A:$AA,MATCH(H$1,Sheet1!$A$1:$AA$1,0),FALSE))</f>
        <v/>
      </c>
      <c r="I100" t="str">
        <f>IF(VLOOKUP($A100,Sheet1!$A:$AA,MATCH(I$1,Sheet1!$A$1:$AA$1,0),FALSE)=0,"",VLOOKUP($A100,Sheet1!$A:$AA,MATCH(I$1,Sheet1!$A$1:$AA$1,0),FALSE))</f>
        <v/>
      </c>
      <c r="J100" t="str">
        <f>IF(VLOOKUP($A100,Sheet1!$A:$AA,MATCH(J$1,Sheet1!$A$1:$AA$1,0),FALSE)=0,"",VLOOKUP($A100,Sheet1!$A:$AA,MATCH(J$1,Sheet1!$A$1:$AA$1,0),FALSE))</f>
        <v/>
      </c>
      <c r="K100" t="str">
        <f>IF(VLOOKUP($A100,Sheet1!$A:$AA,MATCH(K$1,Sheet1!$A$1:$AA$1,0),FALSE)=0,"",VLOOKUP($A100,Sheet1!$A:$AA,MATCH(K$1,Sheet1!$A$1:$AA$1,0),FALSE))</f>
        <v>ANDALUZA</v>
      </c>
      <c r="L100" t="str">
        <f>IF(VLOOKUP($A100,Sheet1!$A:$AA,MATCH(L$1,Sheet1!$A$1:$AA$1,0),FALSE)=0,"",VLOOKUP($A100,Sheet1!$A:$AA,MATCH(L$1,Sheet1!$A$1:$AA$1,0),FALSE))</f>
        <v/>
      </c>
      <c r="M100" t="str">
        <f>IF(VLOOKUP($A100,Sheet1!$A:$AA,MATCH(M$1,Sheet1!$A$1:$AA$1,0),FALSE)=0,"",VLOOKUP($A100,Sheet1!$A:$AA,MATCH(M$1,Sheet1!$A$1:$AA$1,0),FALSE))</f>
        <v/>
      </c>
      <c r="N100" t="str">
        <f>IF(VLOOKUP($A100,Sheet1!$A:$AA,MATCH(N$1,Sheet1!$A$1:$AA$1,0),FALSE)=0,"",VLOOKUP($A100,Sheet1!$A:$AA,MATCH(N$1,Sheet1!$A$1:$AA$1,0),FALSE))</f>
        <v/>
      </c>
      <c r="O100" t="str">
        <f>IF(VLOOKUP($A100,Sheet1!$A:$AA,MATCH(O$1,Sheet1!$A$1:$AA$1,0),FALSE)=0,"",VLOOKUP($A100,Sheet1!$A:$AA,MATCH(O$1,Sheet1!$A$1:$AA$1,0),FALSE))</f>
        <v/>
      </c>
      <c r="P100" t="str">
        <f>IF(VLOOKUP($A100,Sheet1!$A:$AA,MATCH(P$1,Sheet1!$A$1:$AA$1,0),FALSE)=0,"",VLOOKUP($A100,Sheet1!$A:$AA,MATCH(P$1,Sheet1!$A$1:$AA$1,0),FALSE))</f>
        <v/>
      </c>
      <c r="Q100" t="str">
        <f>IF(VLOOKUP($A100,Sheet1!$A:$AA,MATCH(Q$1,Sheet1!$A$1:$AA$1,0),FALSE)=0,"",VLOOKUP($A100,Sheet1!$A:$AA,MATCH(Q$1,Sheet1!$A$1:$AA$1,0),FALSE))</f>
        <v>M</v>
      </c>
      <c r="R100" s="2" t="str">
        <f>IF(VLOOKUP($A100,Sheet1!$A:$AA,MATCH(R$1,Sheet1!$A$1:$AA$1,0),FALSE)=0,"",VLOOKUP($A100,Sheet1!$A:$AA,MATCH(R$1,Sheet1!$A$1:$AA$1,0),FALSE))</f>
        <v>01/01/1992</v>
      </c>
      <c r="AA100">
        <f ca="1">IF(VLOOKUP($A100,Sheet1!$A:$AA,MATCH(AA$1,Sheet1!$A$1:$AA$1,0),FALSE)=0,"",VLOOKUP($A100,Sheet1!$A:$AA,MATCH(AA$1,Sheet1!$A$1:$AA$1,0),FALSE))</f>
        <v>33</v>
      </c>
    </row>
  </sheetData>
  <conditionalFormatting sqref="C1">
    <cfRule type="duplicateValues" dxfId="7" priority="11"/>
  </conditionalFormatting>
  <conditionalFormatting sqref="A1">
    <cfRule type="duplicateValues" dxfId="6" priority="10"/>
  </conditionalFormatting>
  <conditionalFormatting sqref="B1">
    <cfRule type="duplicateValues" dxfId="5" priority="9"/>
  </conditionalFormatting>
  <conditionalFormatting sqref="E1">
    <cfRule type="duplicateValues" dxfId="4" priority="8"/>
  </conditionalFormatting>
  <conditionalFormatting sqref="A21:A39">
    <cfRule type="duplicateValues" dxfId="3" priority="13"/>
  </conditionalFormatting>
  <conditionalFormatting sqref="A10:A20">
    <cfRule type="duplicateValues" dxfId="2" priority="16"/>
  </conditionalFormatting>
  <conditionalFormatting sqref="A10:A39">
    <cfRule type="duplicateValues" dxfId="1" priority="18"/>
  </conditionalFormatting>
  <conditionalFormatting sqref="A2:A9">
    <cfRule type="duplicateValues" dxfId="0" priority="19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sqref="A1:XFD1"/>
    </sheetView>
  </sheetViews>
  <sheetFormatPr baseColWidth="10" defaultRowHeight="15" x14ac:dyDescent="0.25"/>
  <cols>
    <col min="1" max="16384" width="11.42578125" style="5"/>
  </cols>
  <sheetData>
    <row r="1" spans="1:6" x14ac:dyDescent="0.25">
      <c r="A1" s="5" t="s">
        <v>421</v>
      </c>
      <c r="B1" s="5" t="s">
        <v>420</v>
      </c>
      <c r="C1" s="5" t="s">
        <v>419</v>
      </c>
      <c r="D1" s="5" t="s">
        <v>418</v>
      </c>
      <c r="E1" s="5" t="s">
        <v>1</v>
      </c>
      <c r="F1" s="5" t="s">
        <v>417</v>
      </c>
    </row>
    <row r="2" spans="1:6" x14ac:dyDescent="0.25">
      <c r="A2" s="5">
        <v>6836467</v>
      </c>
      <c r="B2" s="5">
        <v>3180</v>
      </c>
      <c r="C2" s="5" t="s">
        <v>416</v>
      </c>
      <c r="D2" s="5" t="s">
        <v>415</v>
      </c>
      <c r="E2" s="5" t="s">
        <v>106</v>
      </c>
      <c r="F2" s="5">
        <v>1</v>
      </c>
    </row>
    <row r="3" spans="1:6" x14ac:dyDescent="0.25">
      <c r="A3" s="5">
        <v>6723903</v>
      </c>
      <c r="B3" s="5">
        <v>3060</v>
      </c>
      <c r="C3" s="5" t="s">
        <v>414</v>
      </c>
      <c r="D3" s="5" t="s">
        <v>413</v>
      </c>
      <c r="E3" s="5" t="s">
        <v>112</v>
      </c>
      <c r="F3" s="5">
        <v>2</v>
      </c>
    </row>
    <row r="4" spans="1:6" x14ac:dyDescent="0.25">
      <c r="A4" s="5">
        <v>10768466</v>
      </c>
      <c r="B4" s="5">
        <v>3000</v>
      </c>
      <c r="C4" s="5" t="s">
        <v>412</v>
      </c>
      <c r="D4" s="5" t="s">
        <v>411</v>
      </c>
      <c r="E4" s="5" t="s">
        <v>95</v>
      </c>
      <c r="F4" s="5">
        <v>3</v>
      </c>
    </row>
    <row r="5" spans="1:6" x14ac:dyDescent="0.25">
      <c r="A5" s="5">
        <v>10767319</v>
      </c>
      <c r="B5" s="5">
        <v>2340</v>
      </c>
      <c r="C5" s="5" t="s">
        <v>410</v>
      </c>
      <c r="D5" s="5" t="s">
        <v>409</v>
      </c>
      <c r="E5" s="5" t="s">
        <v>37</v>
      </c>
      <c r="F5" s="5">
        <v>4</v>
      </c>
    </row>
    <row r="6" spans="1:6" x14ac:dyDescent="0.25">
      <c r="A6" s="5">
        <v>3039890</v>
      </c>
      <c r="B6" s="5">
        <v>1690</v>
      </c>
      <c r="C6" s="5" t="s">
        <v>408</v>
      </c>
      <c r="D6" s="5" t="s">
        <v>407</v>
      </c>
      <c r="E6" s="5" t="s">
        <v>121</v>
      </c>
      <c r="F6" s="5">
        <v>5</v>
      </c>
    </row>
    <row r="7" spans="1:6" x14ac:dyDescent="0.25">
      <c r="A7" s="5">
        <v>16307820</v>
      </c>
      <c r="B7" s="5">
        <v>540</v>
      </c>
      <c r="C7" s="5" t="s">
        <v>406</v>
      </c>
      <c r="D7" s="5" t="s">
        <v>405</v>
      </c>
      <c r="E7" s="5" t="s">
        <v>38</v>
      </c>
      <c r="F7" s="5">
        <v>6</v>
      </c>
    </row>
    <row r="8" spans="1:6" x14ac:dyDescent="0.25">
      <c r="A8" s="5">
        <v>14043335</v>
      </c>
      <c r="B8" s="5">
        <v>500</v>
      </c>
      <c r="C8" s="5" t="s">
        <v>404</v>
      </c>
      <c r="D8" s="5" t="s">
        <v>404</v>
      </c>
      <c r="E8" s="5" t="s">
        <v>44</v>
      </c>
      <c r="F8" s="5">
        <v>7</v>
      </c>
    </row>
    <row r="9" spans="1:6" x14ac:dyDescent="0.25">
      <c r="A9" s="5">
        <v>13464954</v>
      </c>
      <c r="B9" s="5">
        <v>495</v>
      </c>
      <c r="C9" s="5" t="s">
        <v>36</v>
      </c>
      <c r="D9" s="5" t="s">
        <v>403</v>
      </c>
      <c r="E9" s="5" t="s">
        <v>69</v>
      </c>
      <c r="F9" s="5">
        <v>8</v>
      </c>
    </row>
    <row r="10" spans="1:6" x14ac:dyDescent="0.25">
      <c r="A10" s="5">
        <v>11855642</v>
      </c>
      <c r="B10" s="5">
        <v>335</v>
      </c>
      <c r="C10" s="5" t="s">
        <v>402</v>
      </c>
      <c r="D10" s="5" t="s">
        <v>364</v>
      </c>
      <c r="E10" s="5" t="s">
        <v>116</v>
      </c>
      <c r="F10" s="5">
        <v>9</v>
      </c>
    </row>
    <row r="11" spans="1:6" x14ac:dyDescent="0.25">
      <c r="A11" s="5">
        <v>13005526</v>
      </c>
      <c r="B11" s="5">
        <v>250</v>
      </c>
      <c r="C11" s="5" t="s">
        <v>380</v>
      </c>
      <c r="D11" s="5" t="s">
        <v>401</v>
      </c>
      <c r="E11" s="5" t="s">
        <v>37</v>
      </c>
      <c r="F11" s="5">
        <v>10</v>
      </c>
    </row>
    <row r="12" spans="1:6" x14ac:dyDescent="0.25">
      <c r="A12" s="5">
        <v>7404007</v>
      </c>
      <c r="B12" s="5">
        <v>180</v>
      </c>
      <c r="C12" s="5" t="s">
        <v>386</v>
      </c>
      <c r="D12" s="5" t="s">
        <v>400</v>
      </c>
      <c r="E12" s="5" t="s">
        <v>20</v>
      </c>
      <c r="F12" s="5">
        <v>11</v>
      </c>
    </row>
    <row r="13" spans="1:6" x14ac:dyDescent="0.25">
      <c r="A13" s="5">
        <v>10770742</v>
      </c>
      <c r="B13" s="5">
        <v>180</v>
      </c>
      <c r="C13" s="5" t="s">
        <v>399</v>
      </c>
      <c r="D13" s="5" t="s">
        <v>21</v>
      </c>
      <c r="F13" s="5">
        <v>12</v>
      </c>
    </row>
    <row r="14" spans="1:6" x14ac:dyDescent="0.25">
      <c r="A14" s="5">
        <v>16954449</v>
      </c>
      <c r="B14" s="5">
        <v>180</v>
      </c>
      <c r="C14" s="5" t="s">
        <v>359</v>
      </c>
      <c r="D14" s="5" t="s">
        <v>81</v>
      </c>
      <c r="E14" s="5" t="s">
        <v>366</v>
      </c>
      <c r="F14" s="5">
        <v>13</v>
      </c>
    </row>
    <row r="15" spans="1:6" x14ac:dyDescent="0.25">
      <c r="A15" s="5">
        <v>10768565</v>
      </c>
      <c r="B15" s="5">
        <v>90</v>
      </c>
      <c r="C15" s="5" t="s">
        <v>398</v>
      </c>
      <c r="D15" s="5" t="s">
        <v>397</v>
      </c>
      <c r="E15" s="5" t="s">
        <v>46</v>
      </c>
      <c r="F15" s="5">
        <v>14</v>
      </c>
    </row>
    <row r="16" spans="1:6" x14ac:dyDescent="0.25">
      <c r="A16" s="5">
        <v>10768929</v>
      </c>
      <c r="B16" s="5">
        <v>90</v>
      </c>
      <c r="C16" s="5" t="s">
        <v>396</v>
      </c>
      <c r="D16" s="5" t="s">
        <v>395</v>
      </c>
      <c r="E16" s="5" t="s">
        <v>45</v>
      </c>
      <c r="F16" s="5">
        <v>15</v>
      </c>
    </row>
    <row r="17" spans="1:6" x14ac:dyDescent="0.25">
      <c r="A17" s="5">
        <v>10768523</v>
      </c>
      <c r="B17" s="5">
        <v>90</v>
      </c>
      <c r="C17" s="5" t="s">
        <v>394</v>
      </c>
      <c r="D17" s="5" t="s">
        <v>69</v>
      </c>
      <c r="E17" s="5" t="s">
        <v>66</v>
      </c>
      <c r="F17" s="5">
        <v>16</v>
      </c>
    </row>
    <row r="18" spans="1:6" x14ac:dyDescent="0.25">
      <c r="A18" s="5">
        <v>16954556</v>
      </c>
      <c r="B18" s="5">
        <v>90</v>
      </c>
      <c r="C18" s="5" t="s">
        <v>377</v>
      </c>
      <c r="D18" s="5" t="s">
        <v>393</v>
      </c>
      <c r="E18" s="5" t="s">
        <v>40</v>
      </c>
      <c r="F18" s="5">
        <v>17</v>
      </c>
    </row>
    <row r="19" spans="1:6" x14ac:dyDescent="0.25">
      <c r="A19" s="5">
        <v>10768060</v>
      </c>
      <c r="B19" s="5">
        <v>45</v>
      </c>
      <c r="C19" s="5" t="s">
        <v>392</v>
      </c>
      <c r="D19" s="5" t="s">
        <v>391</v>
      </c>
      <c r="E19" s="5" t="s">
        <v>180</v>
      </c>
      <c r="F19" s="5">
        <v>18</v>
      </c>
    </row>
    <row r="20" spans="1:6" x14ac:dyDescent="0.25">
      <c r="A20" s="5">
        <v>4646743</v>
      </c>
      <c r="B20" s="5">
        <v>45</v>
      </c>
      <c r="C20" s="5" t="s">
        <v>390</v>
      </c>
      <c r="D20" s="5" t="s">
        <v>389</v>
      </c>
      <c r="E20" s="5" t="s">
        <v>63</v>
      </c>
      <c r="F20" s="5">
        <v>19</v>
      </c>
    </row>
    <row r="21" spans="1:6" x14ac:dyDescent="0.25">
      <c r="A21" s="5">
        <v>10775403</v>
      </c>
      <c r="B21" s="5">
        <v>45</v>
      </c>
      <c r="C21" s="5" t="s">
        <v>378</v>
      </c>
      <c r="D21" s="5" t="s">
        <v>388</v>
      </c>
      <c r="E21" s="5" t="s">
        <v>387</v>
      </c>
      <c r="F21" s="5">
        <v>20</v>
      </c>
    </row>
    <row r="22" spans="1:6" x14ac:dyDescent="0.25">
      <c r="A22" s="5">
        <v>12092433</v>
      </c>
      <c r="B22" s="5">
        <v>45</v>
      </c>
      <c r="C22" s="5" t="s">
        <v>386</v>
      </c>
      <c r="D22" s="5" t="s">
        <v>385</v>
      </c>
      <c r="E22" s="5" t="s">
        <v>66</v>
      </c>
      <c r="F22" s="5">
        <v>21</v>
      </c>
    </row>
    <row r="23" spans="1:6" x14ac:dyDescent="0.25">
      <c r="A23" s="5">
        <v>9425598</v>
      </c>
      <c r="B23" s="5">
        <v>45</v>
      </c>
      <c r="C23" s="5" t="s">
        <v>360</v>
      </c>
      <c r="D23" s="5" t="s">
        <v>375</v>
      </c>
      <c r="E23" s="5" t="s">
        <v>49</v>
      </c>
      <c r="F23" s="5">
        <v>22</v>
      </c>
    </row>
    <row r="24" spans="1:6" x14ac:dyDescent="0.25">
      <c r="A24" s="5">
        <v>12092467</v>
      </c>
      <c r="B24" s="5">
        <v>45</v>
      </c>
      <c r="C24" s="5" t="s">
        <v>384</v>
      </c>
      <c r="D24" s="5" t="s">
        <v>383</v>
      </c>
      <c r="E24" s="5" t="s">
        <v>382</v>
      </c>
      <c r="F24" s="5">
        <v>23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Cotejar</vt:lpstr>
      <vt:lpstr>Master Final Madrid 2024</vt:lpstr>
      <vt:lpstr>CTO.ANDALUCIA 2025</vt:lpstr>
      <vt:lpstr>FORMULAS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triJuankar .</cp:lastModifiedBy>
  <dcterms:created xsi:type="dcterms:W3CDTF">2024-06-13T16:11:31Z</dcterms:created>
  <dcterms:modified xsi:type="dcterms:W3CDTF">2025-03-01T19:39:29Z</dcterms:modified>
</cp:coreProperties>
</file>